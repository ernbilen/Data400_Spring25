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/>
  <mc:AlternateContent xmlns:mc="http://schemas.openxmlformats.org/markup-compatibility/2006">
    <mc:Choice Requires="x15">
      <x15ac:absPath xmlns:x15ac="http://schemas.microsoft.com/office/spreadsheetml/2010/11/ac" url="/Volumes/USB/Spring 2025/"/>
    </mc:Choice>
  </mc:AlternateContent>
  <xr:revisionPtr revIDLastSave="0" documentId="13_ncr:1_{6F7FB656-DBC7-1C47-B84C-4E73504F3803}" xr6:coauthVersionLast="47" xr6:coauthVersionMax="47" xr10:uidLastSave="{00000000-0000-0000-0000-000000000000}"/>
  <bookViews>
    <workbookView xWindow="0" yWindow="500" windowWidth="28800" windowHeight="15280" xr2:uid="{582C6B1C-587B-4245-A081-86CFFE16358E}"/>
  </bookViews>
  <sheets>
    <sheet name="Target 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H2" i="1"/>
  <c r="F2" i="1" l="1"/>
  <c r="K2" i="1" s="1"/>
  <c r="F3" i="1"/>
  <c r="K3" i="1" s="1"/>
  <c r="F4" i="1"/>
  <c r="K4" i="1" s="1"/>
  <c r="F5" i="1"/>
  <c r="K5" i="1" s="1"/>
  <c r="F7" i="1"/>
  <c r="K7" i="1" s="1"/>
  <c r="F12" i="1"/>
  <c r="K12" i="1" s="1"/>
  <c r="F16" i="1"/>
  <c r="K16" i="1" s="1"/>
  <c r="F17" i="1"/>
  <c r="K17" i="1" s="1"/>
  <c r="F20" i="1"/>
  <c r="K20" i="1" s="1"/>
  <c r="F24" i="1"/>
  <c r="K24" i="1" s="1"/>
  <c r="F25" i="1"/>
  <c r="K25" i="1" s="1"/>
  <c r="F26" i="1"/>
  <c r="K26" i="1" s="1"/>
  <c r="F27" i="1"/>
  <c r="K27" i="1" s="1"/>
  <c r="F29" i="1"/>
  <c r="K29" i="1" s="1"/>
  <c r="F32" i="1"/>
  <c r="K32" i="1" s="1"/>
  <c r="F33" i="1"/>
  <c r="K33" i="1" s="1"/>
  <c r="F38" i="1"/>
  <c r="K38" i="1" s="1"/>
  <c r="F39" i="1"/>
  <c r="K39" i="1" s="1"/>
  <c r="F45" i="1"/>
  <c r="K45" i="1" s="1"/>
  <c r="F51" i="1"/>
  <c r="K51" i="1" s="1"/>
  <c r="F52" i="1"/>
  <c r="K52" i="1" s="1"/>
  <c r="F53" i="1"/>
  <c r="K53" i="1" s="1"/>
  <c r="F56" i="1"/>
  <c r="K56" i="1" s="1"/>
  <c r="F57" i="1"/>
  <c r="K57" i="1" s="1"/>
  <c r="F60" i="1"/>
  <c r="K60" i="1" s="1"/>
  <c r="F61" i="1"/>
  <c r="K61" i="1" s="1"/>
  <c r="F64" i="1"/>
  <c r="K64" i="1" s="1"/>
  <c r="F65" i="1"/>
  <c r="K65" i="1" s="1"/>
  <c r="F66" i="1"/>
  <c r="K66" i="1" s="1"/>
  <c r="F67" i="1"/>
  <c r="K67" i="1" s="1"/>
  <c r="F68" i="1"/>
  <c r="K68" i="1" s="1"/>
  <c r="F69" i="1"/>
  <c r="K69" i="1" s="1"/>
  <c r="F70" i="1"/>
  <c r="K70" i="1" s="1"/>
  <c r="F71" i="1"/>
  <c r="K71" i="1" s="1"/>
  <c r="F72" i="1"/>
  <c r="K72" i="1" s="1"/>
  <c r="F73" i="1"/>
  <c r="K73" i="1" s="1"/>
  <c r="F74" i="1"/>
  <c r="K74" i="1" s="1"/>
  <c r="F75" i="1"/>
  <c r="K75" i="1" s="1"/>
  <c r="F76" i="1"/>
  <c r="K76" i="1" s="1"/>
  <c r="F77" i="1"/>
  <c r="K77" i="1" s="1"/>
  <c r="F89" i="1"/>
  <c r="K89" i="1" s="1"/>
  <c r="F130" i="1"/>
  <c r="K130" i="1" s="1"/>
  <c r="F131" i="1"/>
  <c r="K131" i="1" s="1"/>
  <c r="F132" i="1"/>
  <c r="K132" i="1" s="1"/>
  <c r="F133" i="1"/>
  <c r="K133" i="1" s="1"/>
  <c r="F134" i="1"/>
  <c r="K134" i="1" s="1"/>
  <c r="F135" i="1"/>
  <c r="K135" i="1" s="1"/>
  <c r="F136" i="1"/>
  <c r="K136" i="1" s="1"/>
  <c r="F139" i="1"/>
  <c r="K139" i="1" s="1"/>
  <c r="F169" i="1"/>
  <c r="K169" i="1" s="1"/>
  <c r="F182" i="1"/>
  <c r="K182" i="1" s="1"/>
  <c r="F208" i="1"/>
  <c r="K208" i="1" s="1"/>
  <c r="F209" i="1"/>
  <c r="K209" i="1" s="1"/>
  <c r="F210" i="1"/>
  <c r="K210" i="1" s="1"/>
  <c r="F211" i="1"/>
  <c r="K211" i="1" s="1"/>
  <c r="F252" i="1"/>
  <c r="K252" i="1" s="1"/>
  <c r="F253" i="1"/>
  <c r="K253" i="1" s="1"/>
  <c r="F256" i="1"/>
  <c r="K256" i="1" s="1"/>
  <c r="F257" i="1"/>
  <c r="K257" i="1" s="1"/>
  <c r="F258" i="1"/>
  <c r="K258" i="1" s="1"/>
  <c r="F261" i="1"/>
  <c r="K261" i="1" s="1"/>
  <c r="F263" i="1"/>
  <c r="K263" i="1" s="1"/>
  <c r="F264" i="1"/>
  <c r="K264" i="1" s="1"/>
  <c r="F272" i="1"/>
  <c r="K272" i="1" s="1"/>
  <c r="F273" i="1"/>
  <c r="K273" i="1" s="1"/>
  <c r="F279" i="1"/>
  <c r="K279" i="1" s="1"/>
  <c r="F282" i="1"/>
  <c r="K282" i="1" s="1"/>
  <c r="F283" i="1"/>
  <c r="K283" i="1" s="1"/>
  <c r="F288" i="1"/>
  <c r="K288" i="1" s="1"/>
  <c r="F289" i="1"/>
  <c r="K289" i="1" s="1"/>
  <c r="F291" i="1"/>
  <c r="K291" i="1" s="1"/>
  <c r="F297" i="1"/>
  <c r="K297" i="1" s="1"/>
  <c r="F304" i="1"/>
  <c r="K304" i="1" s="1"/>
  <c r="F305" i="1"/>
  <c r="K305" i="1" s="1"/>
  <c r="F306" i="1"/>
  <c r="K306" i="1" s="1"/>
  <c r="F307" i="1"/>
  <c r="K307" i="1" s="1"/>
  <c r="F309" i="1"/>
  <c r="K309" i="1" s="1"/>
  <c r="F310" i="1"/>
  <c r="K310" i="1" s="1"/>
  <c r="F311" i="1"/>
  <c r="K311" i="1" s="1"/>
  <c r="F315" i="1"/>
  <c r="K315" i="1" s="1"/>
  <c r="F318" i="1"/>
  <c r="K318" i="1" s="1"/>
  <c r="F323" i="1"/>
  <c r="K323" i="1" s="1"/>
  <c r="F326" i="1"/>
  <c r="K326" i="1" s="1"/>
  <c r="F327" i="1"/>
  <c r="K327" i="1" s="1"/>
  <c r="F332" i="1"/>
  <c r="K332" i="1" s="1"/>
  <c r="F333" i="1"/>
  <c r="K333" i="1" s="1"/>
  <c r="F334" i="1"/>
  <c r="K334" i="1" s="1"/>
  <c r="F335" i="1"/>
  <c r="K335" i="1" s="1"/>
  <c r="F340" i="1"/>
  <c r="K340" i="1" s="1"/>
  <c r="F341" i="1"/>
  <c r="K341" i="1" s="1"/>
  <c r="F342" i="1"/>
  <c r="K342" i="1" s="1"/>
  <c r="F343" i="1"/>
  <c r="K343" i="1" s="1"/>
  <c r="F344" i="1"/>
  <c r="K344" i="1" s="1"/>
  <c r="F345" i="1"/>
  <c r="K345" i="1" s="1"/>
  <c r="F346" i="1"/>
  <c r="K346" i="1" s="1"/>
  <c r="F347" i="1"/>
  <c r="K347" i="1" s="1"/>
  <c r="F348" i="1"/>
  <c r="K348" i="1" s="1"/>
  <c r="F349" i="1"/>
  <c r="K349" i="1" s="1"/>
  <c r="F350" i="1"/>
  <c r="K350" i="1" s="1"/>
  <c r="F351" i="1"/>
  <c r="K351" i="1" s="1"/>
  <c r="F352" i="1"/>
  <c r="K352" i="1" s="1"/>
  <c r="F353" i="1"/>
  <c r="K353" i="1" s="1"/>
  <c r="F354" i="1"/>
  <c r="K354" i="1" s="1"/>
  <c r="F355" i="1"/>
  <c r="K355" i="1" s="1"/>
  <c r="F356" i="1"/>
  <c r="K356" i="1" s="1"/>
  <c r="F357" i="1"/>
  <c r="K357" i="1" s="1"/>
  <c r="F358" i="1"/>
  <c r="K358" i="1" s="1"/>
  <c r="F359" i="1"/>
  <c r="K359" i="1" s="1"/>
  <c r="F361" i="1"/>
  <c r="K361" i="1" s="1"/>
  <c r="F363" i="1"/>
  <c r="K363" i="1" s="1"/>
  <c r="F366" i="1"/>
  <c r="K366" i="1" s="1"/>
  <c r="F384" i="1"/>
  <c r="K384" i="1" s="1"/>
  <c r="F385" i="1"/>
  <c r="K385" i="1" s="1"/>
  <c r="F386" i="1"/>
  <c r="K386" i="1" s="1"/>
  <c r="F387" i="1"/>
  <c r="K387" i="1" s="1"/>
  <c r="F388" i="1"/>
  <c r="K388" i="1" s="1"/>
  <c r="F389" i="1"/>
  <c r="K389" i="1" s="1"/>
  <c r="F390" i="1"/>
  <c r="K390" i="1" s="1"/>
  <c r="F392" i="1"/>
  <c r="K392" i="1" s="1"/>
  <c r="F394" i="1"/>
  <c r="K394" i="1" s="1"/>
  <c r="F395" i="1"/>
  <c r="K395" i="1" s="1"/>
  <c r="F396" i="1"/>
  <c r="K396" i="1" s="1"/>
  <c r="F397" i="1"/>
  <c r="K397" i="1" s="1"/>
  <c r="F398" i="1"/>
  <c r="K398" i="1" s="1"/>
  <c r="F399" i="1"/>
  <c r="K399" i="1" s="1"/>
  <c r="F400" i="1"/>
  <c r="K400" i="1" s="1"/>
  <c r="F401" i="1"/>
  <c r="K401" i="1" s="1"/>
  <c r="F402" i="1"/>
  <c r="K402" i="1" s="1"/>
  <c r="F403" i="1"/>
  <c r="K403" i="1" s="1"/>
  <c r="F404" i="1"/>
  <c r="K404" i="1" s="1"/>
  <c r="F405" i="1"/>
  <c r="K405" i="1" s="1"/>
  <c r="F406" i="1"/>
  <c r="K406" i="1" s="1"/>
  <c r="F407" i="1"/>
  <c r="K407" i="1" s="1"/>
  <c r="F408" i="1"/>
  <c r="K408" i="1" s="1"/>
  <c r="F409" i="1"/>
  <c r="K409" i="1" s="1"/>
  <c r="F410" i="1"/>
  <c r="K410" i="1" s="1"/>
  <c r="F411" i="1"/>
  <c r="K411" i="1" s="1"/>
  <c r="F412" i="1"/>
  <c r="K412" i="1" s="1"/>
  <c r="F413" i="1"/>
  <c r="K413" i="1" s="1"/>
  <c r="F414" i="1"/>
  <c r="K414" i="1" s="1"/>
  <c r="F415" i="1"/>
  <c r="K415" i="1" s="1"/>
  <c r="F416" i="1"/>
  <c r="K416" i="1" s="1"/>
  <c r="F420" i="1"/>
  <c r="K420" i="1" s="1"/>
  <c r="F422" i="1"/>
  <c r="K422" i="1" s="1"/>
  <c r="F423" i="1"/>
  <c r="K423" i="1" s="1"/>
  <c r="F424" i="1"/>
  <c r="K424" i="1" s="1"/>
  <c r="F425" i="1"/>
  <c r="K425" i="1" s="1"/>
  <c r="F426" i="1"/>
  <c r="K426" i="1" s="1"/>
  <c r="F428" i="1"/>
  <c r="K428" i="1" s="1"/>
  <c r="F429" i="1"/>
  <c r="K429" i="1" s="1"/>
  <c r="F431" i="1"/>
  <c r="K431" i="1" s="1"/>
  <c r="F432" i="1"/>
  <c r="K432" i="1" s="1"/>
  <c r="F433" i="1"/>
  <c r="K433" i="1" s="1"/>
  <c r="F434" i="1"/>
  <c r="K434" i="1" s="1"/>
  <c r="F435" i="1"/>
  <c r="K435" i="1" s="1"/>
  <c r="F436" i="1"/>
  <c r="K436" i="1" s="1"/>
  <c r="F437" i="1"/>
  <c r="K437" i="1" s="1"/>
  <c r="F438" i="1"/>
  <c r="K438" i="1" s="1"/>
  <c r="F439" i="1"/>
  <c r="K439" i="1" s="1"/>
  <c r="F440" i="1"/>
  <c r="K440" i="1" s="1"/>
  <c r="F441" i="1"/>
  <c r="K441" i="1" s="1"/>
  <c r="F442" i="1"/>
  <c r="K442" i="1" s="1"/>
  <c r="F443" i="1"/>
  <c r="K443" i="1" s="1"/>
  <c r="F444" i="1"/>
  <c r="K444" i="1" s="1"/>
  <c r="F445" i="1"/>
  <c r="K445" i="1" s="1"/>
  <c r="F446" i="1"/>
  <c r="K446" i="1" s="1"/>
  <c r="F447" i="1"/>
  <c r="K447" i="1" s="1"/>
  <c r="F448" i="1"/>
  <c r="K448" i="1" s="1"/>
  <c r="F449" i="1"/>
  <c r="K449" i="1" s="1"/>
  <c r="F450" i="1"/>
  <c r="K450" i="1" s="1"/>
  <c r="F451" i="1"/>
  <c r="K451" i="1" s="1"/>
  <c r="F452" i="1"/>
  <c r="K452" i="1" s="1"/>
  <c r="F454" i="1"/>
  <c r="K454" i="1" s="1"/>
  <c r="F455" i="1"/>
  <c r="K455" i="1" s="1"/>
  <c r="F456" i="1"/>
  <c r="K456" i="1" s="1"/>
  <c r="F457" i="1"/>
  <c r="K457" i="1" s="1"/>
  <c r="F458" i="1"/>
  <c r="K458" i="1" s="1"/>
  <c r="F459" i="1"/>
  <c r="K459" i="1" s="1"/>
  <c r="F460" i="1"/>
  <c r="K460" i="1" s="1"/>
  <c r="F461" i="1"/>
  <c r="K461" i="1" s="1"/>
  <c r="F462" i="1"/>
  <c r="K462" i="1" s="1"/>
  <c r="F463" i="1"/>
  <c r="K463" i="1" s="1"/>
  <c r="F464" i="1"/>
  <c r="K464" i="1" s="1"/>
  <c r="F465" i="1"/>
  <c r="K465" i="1" s="1"/>
  <c r="F466" i="1"/>
  <c r="K466" i="1" s="1"/>
  <c r="F467" i="1"/>
  <c r="K467" i="1" s="1"/>
  <c r="F468" i="1"/>
  <c r="K468" i="1" s="1"/>
  <c r="F469" i="1"/>
  <c r="K469" i="1" s="1"/>
  <c r="F470" i="1"/>
  <c r="K470" i="1" s="1"/>
  <c r="F471" i="1"/>
  <c r="K471" i="1" s="1"/>
  <c r="F483" i="1"/>
  <c r="K483" i="1" s="1"/>
  <c r="F487" i="1"/>
  <c r="K487" i="1" s="1"/>
  <c r="F488" i="1"/>
  <c r="K488" i="1" s="1"/>
  <c r="F489" i="1"/>
  <c r="K489" i="1" s="1"/>
  <c r="F490" i="1"/>
  <c r="K490" i="1" s="1"/>
  <c r="F493" i="1"/>
  <c r="K493" i="1" s="1"/>
  <c r="F495" i="1"/>
  <c r="K495" i="1" s="1"/>
  <c r="F502" i="1"/>
  <c r="K502" i="1" s="1"/>
  <c r="F505" i="1"/>
  <c r="K505" i="1" s="1"/>
  <c r="F508" i="1"/>
  <c r="K508" i="1" s="1"/>
  <c r="F510" i="1"/>
  <c r="K510" i="1" s="1"/>
  <c r="F511" i="1"/>
  <c r="K511" i="1" s="1"/>
  <c r="F514" i="1"/>
  <c r="K514" i="1" s="1"/>
  <c r="F515" i="1"/>
  <c r="K515" i="1" s="1"/>
  <c r="F516" i="1"/>
  <c r="K516" i="1" s="1"/>
  <c r="F519" i="1"/>
  <c r="K519" i="1" s="1"/>
  <c r="F524" i="1"/>
  <c r="K524" i="1" s="1"/>
  <c r="F525" i="1"/>
  <c r="K525" i="1" s="1"/>
  <c r="F527" i="1"/>
  <c r="K527" i="1" s="1"/>
  <c r="F528" i="1"/>
  <c r="K528" i="1" s="1"/>
  <c r="F531" i="1"/>
  <c r="K531" i="1" s="1"/>
  <c r="F541" i="1"/>
  <c r="K541" i="1" s="1"/>
  <c r="F551" i="1"/>
  <c r="K551" i="1" s="1"/>
  <c r="F552" i="1"/>
  <c r="K552" i="1" s="1"/>
  <c r="F553" i="1"/>
  <c r="K553" i="1" s="1"/>
  <c r="F554" i="1"/>
  <c r="K554" i="1" s="1"/>
  <c r="F555" i="1"/>
  <c r="K555" i="1" s="1"/>
  <c r="F556" i="1"/>
  <c r="K556" i="1" s="1"/>
  <c r="F557" i="1"/>
  <c r="K557" i="1" s="1"/>
  <c r="F558" i="1"/>
  <c r="K558" i="1" s="1"/>
  <c r="F559" i="1"/>
  <c r="K559" i="1" s="1"/>
  <c r="F562" i="1"/>
  <c r="K562" i="1" s="1"/>
  <c r="F563" i="1"/>
  <c r="K563" i="1" s="1"/>
  <c r="F564" i="1"/>
  <c r="K564" i="1" s="1"/>
  <c r="F565" i="1"/>
  <c r="K565" i="1" s="1"/>
  <c r="F575" i="1"/>
  <c r="K575" i="1" s="1"/>
  <c r="F594" i="1"/>
  <c r="K594" i="1" s="1"/>
  <c r="F595" i="1"/>
  <c r="K595" i="1" s="1"/>
  <c r="F599" i="1"/>
  <c r="K599" i="1" s="1"/>
  <c r="F600" i="1"/>
  <c r="K600" i="1" s="1"/>
  <c r="F601" i="1"/>
  <c r="K601" i="1" s="1"/>
  <c r="F602" i="1"/>
  <c r="K602" i="1" s="1"/>
  <c r="F603" i="1"/>
  <c r="K603" i="1" s="1"/>
  <c r="F621" i="1"/>
  <c r="K621" i="1" s="1"/>
  <c r="F631" i="1"/>
  <c r="K631" i="1" s="1"/>
  <c r="F634" i="1"/>
  <c r="K634" i="1" s="1"/>
  <c r="F643" i="1"/>
  <c r="K643" i="1" s="1"/>
  <c r="F644" i="1"/>
  <c r="K644" i="1" s="1"/>
  <c r="F645" i="1"/>
  <c r="K645" i="1" s="1"/>
  <c r="F646" i="1"/>
  <c r="K646" i="1" s="1"/>
  <c r="F647" i="1"/>
  <c r="K647" i="1" s="1"/>
  <c r="F648" i="1"/>
  <c r="K648" i="1" s="1"/>
  <c r="F649" i="1"/>
  <c r="K649" i="1" s="1"/>
  <c r="F650" i="1"/>
  <c r="K650" i="1" s="1"/>
  <c r="F654" i="1"/>
  <c r="K654" i="1" s="1"/>
  <c r="F655" i="1"/>
  <c r="K655" i="1" s="1"/>
  <c r="F656" i="1"/>
  <c r="K656" i="1" s="1"/>
  <c r="F657" i="1"/>
  <c r="K657" i="1" s="1"/>
  <c r="F658" i="1"/>
  <c r="K658" i="1" s="1"/>
  <c r="F659" i="1"/>
  <c r="K659" i="1" s="1"/>
  <c r="F660" i="1"/>
  <c r="K660" i="1" s="1"/>
  <c r="F661" i="1"/>
  <c r="K661" i="1" s="1"/>
  <c r="F662" i="1"/>
  <c r="K662" i="1" s="1"/>
  <c r="F663" i="1"/>
  <c r="K663" i="1" s="1"/>
  <c r="F664" i="1"/>
  <c r="K664" i="1" s="1"/>
  <c r="F665" i="1"/>
  <c r="K665" i="1" s="1"/>
  <c r="F666" i="1"/>
  <c r="K666" i="1" s="1"/>
  <c r="F667" i="1"/>
  <c r="K667" i="1" s="1"/>
  <c r="F671" i="1"/>
  <c r="K671" i="1" s="1"/>
  <c r="F672" i="1"/>
  <c r="K672" i="1" s="1"/>
  <c r="F673" i="1"/>
  <c r="K673" i="1" s="1"/>
  <c r="F674" i="1"/>
  <c r="K674" i="1" s="1"/>
  <c r="F675" i="1"/>
  <c r="K675" i="1" s="1"/>
  <c r="F676" i="1"/>
  <c r="K676" i="1" s="1"/>
  <c r="F677" i="1"/>
  <c r="K677" i="1" s="1"/>
  <c r="F678" i="1"/>
  <c r="K678" i="1" s="1"/>
  <c r="F679" i="1"/>
  <c r="K679" i="1" s="1"/>
  <c r="F681" i="1"/>
  <c r="K681" i="1" s="1"/>
  <c r="F682" i="1"/>
  <c r="K682" i="1" s="1"/>
  <c r="F683" i="1"/>
  <c r="K683" i="1" s="1"/>
  <c r="F685" i="1"/>
  <c r="K685" i="1" s="1"/>
  <c r="F686" i="1"/>
  <c r="K686" i="1" s="1"/>
  <c r="F687" i="1"/>
  <c r="K687" i="1" s="1"/>
  <c r="F688" i="1"/>
  <c r="K688" i="1" s="1"/>
  <c r="F689" i="1"/>
  <c r="K689" i="1" s="1"/>
  <c r="F690" i="1"/>
  <c r="K690" i="1" s="1"/>
  <c r="F691" i="1"/>
  <c r="K691" i="1" s="1"/>
  <c r="F692" i="1"/>
  <c r="K692" i="1" s="1"/>
  <c r="F693" i="1"/>
  <c r="K693" i="1" s="1"/>
  <c r="F694" i="1"/>
  <c r="K694" i="1" s="1"/>
  <c r="F695" i="1"/>
  <c r="K695" i="1" s="1"/>
  <c r="F696" i="1"/>
  <c r="K696" i="1" s="1"/>
  <c r="F697" i="1"/>
  <c r="K697" i="1" s="1"/>
  <c r="F698" i="1"/>
  <c r="K698" i="1" s="1"/>
  <c r="F699" i="1"/>
  <c r="K699" i="1" s="1"/>
  <c r="F700" i="1"/>
  <c r="K700" i="1" s="1"/>
  <c r="F701" i="1"/>
  <c r="K701" i="1" s="1"/>
  <c r="F702" i="1"/>
  <c r="K702" i="1" s="1"/>
  <c r="F703" i="1"/>
  <c r="K703" i="1" s="1"/>
  <c r="F704" i="1"/>
  <c r="K704" i="1" s="1"/>
  <c r="F705" i="1"/>
  <c r="K705" i="1" s="1"/>
  <c r="F706" i="1"/>
  <c r="K706" i="1" s="1"/>
  <c r="F707" i="1"/>
  <c r="K707" i="1" s="1"/>
  <c r="F708" i="1"/>
  <c r="K708" i="1" s="1"/>
  <c r="F709" i="1"/>
  <c r="K709" i="1" s="1"/>
  <c r="F710" i="1"/>
  <c r="K710" i="1" s="1"/>
  <c r="F711" i="1"/>
  <c r="K711" i="1" s="1"/>
  <c r="F712" i="1"/>
  <c r="K712" i="1" s="1"/>
  <c r="F713" i="1"/>
  <c r="K713" i="1" s="1"/>
  <c r="F714" i="1"/>
  <c r="K714" i="1" s="1"/>
  <c r="F715" i="1"/>
  <c r="K715" i="1" s="1"/>
  <c r="F716" i="1"/>
  <c r="K716" i="1" s="1"/>
  <c r="F717" i="1"/>
  <c r="K717" i="1" s="1"/>
  <c r="F719" i="1"/>
  <c r="K719" i="1" s="1"/>
  <c r="F720" i="1"/>
  <c r="K720" i="1" s="1"/>
  <c r="F721" i="1"/>
  <c r="K721" i="1" s="1"/>
  <c r="F724" i="1"/>
  <c r="K724" i="1" s="1"/>
  <c r="F725" i="1"/>
  <c r="K725" i="1" s="1"/>
  <c r="F726" i="1"/>
  <c r="K726" i="1" s="1"/>
  <c r="F727" i="1"/>
  <c r="K727" i="1" s="1"/>
  <c r="F731" i="1"/>
  <c r="K731" i="1" s="1"/>
  <c r="F732" i="1"/>
  <c r="K732" i="1" s="1"/>
  <c r="F733" i="1"/>
  <c r="K733" i="1" s="1"/>
  <c r="F735" i="1"/>
  <c r="K735" i="1" s="1"/>
  <c r="F736" i="1"/>
  <c r="K736" i="1" s="1"/>
  <c r="F737" i="1"/>
  <c r="K737" i="1" s="1"/>
  <c r="F738" i="1"/>
  <c r="K738" i="1" s="1"/>
  <c r="F742" i="1"/>
  <c r="K742" i="1" s="1"/>
  <c r="F744" i="1"/>
  <c r="K744" i="1" s="1"/>
  <c r="F745" i="1"/>
  <c r="K745" i="1" s="1"/>
  <c r="F746" i="1"/>
  <c r="K746" i="1" s="1"/>
  <c r="F747" i="1"/>
  <c r="K747" i="1" s="1"/>
  <c r="F748" i="1"/>
  <c r="K748" i="1" s="1"/>
  <c r="F749" i="1"/>
  <c r="K749" i="1" s="1"/>
  <c r="F750" i="1"/>
  <c r="K750" i="1" s="1"/>
  <c r="F751" i="1"/>
  <c r="K751" i="1" s="1"/>
  <c r="F768" i="1"/>
  <c r="K768" i="1" s="1"/>
  <c r="F769" i="1"/>
  <c r="K769" i="1" s="1"/>
  <c r="F772" i="1"/>
  <c r="K772" i="1" s="1"/>
  <c r="F773" i="1"/>
  <c r="K773" i="1" s="1"/>
  <c r="F776" i="1"/>
  <c r="K776" i="1" s="1"/>
  <c r="F782" i="1"/>
  <c r="K782" i="1" s="1"/>
  <c r="F783" i="1"/>
  <c r="K783" i="1" s="1"/>
  <c r="F784" i="1"/>
  <c r="K784" i="1" s="1"/>
  <c r="F785" i="1"/>
  <c r="K785" i="1" s="1"/>
  <c r="F786" i="1"/>
  <c r="K786" i="1" s="1"/>
  <c r="F787" i="1"/>
  <c r="K787" i="1" s="1"/>
  <c r="F791" i="1"/>
  <c r="K791" i="1" s="1"/>
  <c r="F792" i="1"/>
  <c r="K792" i="1" s="1"/>
  <c r="F793" i="1"/>
  <c r="K793" i="1" s="1"/>
  <c r="F803" i="1"/>
  <c r="K803" i="1" s="1"/>
  <c r="F804" i="1"/>
  <c r="K804" i="1" s="1"/>
  <c r="F813" i="1"/>
  <c r="K813" i="1" s="1"/>
  <c r="F818" i="1"/>
  <c r="K818" i="1" s="1"/>
  <c r="F835" i="1"/>
  <c r="K835" i="1" s="1"/>
  <c r="F836" i="1"/>
  <c r="K836" i="1" s="1"/>
  <c r="F838" i="1"/>
  <c r="K838" i="1" s="1"/>
  <c r="F842" i="1"/>
  <c r="K842" i="1" s="1"/>
  <c r="F855" i="1"/>
  <c r="K855" i="1" s="1"/>
  <c r="F856" i="1"/>
  <c r="K856" i="1" s="1"/>
  <c r="F857" i="1"/>
  <c r="K857" i="1" s="1"/>
  <c r="F858" i="1"/>
  <c r="K858" i="1" s="1"/>
  <c r="F859" i="1"/>
  <c r="K859" i="1" s="1"/>
  <c r="F860" i="1"/>
  <c r="K860" i="1" s="1"/>
  <c r="F861" i="1"/>
  <c r="K861" i="1" s="1"/>
  <c r="F862" i="1"/>
  <c r="K862" i="1" s="1"/>
  <c r="F863" i="1"/>
  <c r="K863" i="1" s="1"/>
  <c r="F864" i="1"/>
  <c r="K864" i="1" s="1"/>
  <c r="F865" i="1"/>
  <c r="K865" i="1" s="1"/>
  <c r="F866" i="1"/>
  <c r="K866" i="1" s="1"/>
  <c r="F867" i="1"/>
  <c r="K867" i="1" s="1"/>
  <c r="F868" i="1"/>
  <c r="K868" i="1" s="1"/>
  <c r="F869" i="1"/>
  <c r="K869" i="1" s="1"/>
  <c r="F870" i="1"/>
  <c r="K870" i="1" s="1"/>
  <c r="F872" i="1"/>
  <c r="K872" i="1" s="1"/>
  <c r="F876" i="1"/>
  <c r="K876" i="1" s="1"/>
  <c r="F882" i="1"/>
  <c r="K882" i="1" s="1"/>
  <c r="F885" i="1"/>
  <c r="K885" i="1" s="1"/>
  <c r="F895" i="1"/>
  <c r="K895" i="1" s="1"/>
  <c r="F896" i="1"/>
  <c r="K896" i="1" s="1"/>
  <c r="F899" i="1"/>
  <c r="K899" i="1" s="1"/>
  <c r="F900" i="1"/>
  <c r="K900" i="1" s="1"/>
  <c r="F901" i="1"/>
  <c r="K901" i="1" s="1"/>
  <c r="F902" i="1"/>
  <c r="K902" i="1" s="1"/>
  <c r="F903" i="1"/>
  <c r="K903" i="1" s="1"/>
  <c r="F904" i="1"/>
  <c r="K904" i="1" s="1"/>
  <c r="F905" i="1"/>
  <c r="K905" i="1" s="1"/>
  <c r="F906" i="1"/>
  <c r="K906" i="1" s="1"/>
  <c r="F907" i="1"/>
  <c r="K907" i="1" s="1"/>
  <c r="F908" i="1"/>
  <c r="K908" i="1" s="1"/>
  <c r="F909" i="1"/>
  <c r="K909" i="1" s="1"/>
  <c r="F910" i="1"/>
  <c r="K910" i="1" s="1"/>
  <c r="F911" i="1"/>
  <c r="K911" i="1" s="1"/>
  <c r="F912" i="1"/>
  <c r="K912" i="1" s="1"/>
  <c r="F913" i="1"/>
  <c r="K913" i="1" s="1"/>
  <c r="F914" i="1"/>
  <c r="K914" i="1" s="1"/>
  <c r="F915" i="1"/>
  <c r="K915" i="1" s="1"/>
  <c r="F921" i="1"/>
  <c r="K921" i="1" s="1"/>
  <c r="F935" i="1"/>
  <c r="K935" i="1" s="1"/>
  <c r="F936" i="1"/>
  <c r="K936" i="1" s="1"/>
  <c r="F954" i="1"/>
  <c r="K954" i="1" s="1"/>
  <c r="F955" i="1"/>
  <c r="K955" i="1" s="1"/>
  <c r="F956" i="1"/>
  <c r="K956" i="1" s="1"/>
  <c r="F957" i="1"/>
  <c r="K957" i="1" s="1"/>
  <c r="F958" i="1"/>
  <c r="K958" i="1" s="1"/>
  <c r="F959" i="1"/>
  <c r="K959" i="1" s="1"/>
  <c r="F960" i="1"/>
  <c r="K960" i="1" s="1"/>
  <c r="F961" i="1"/>
  <c r="K961" i="1" s="1"/>
  <c r="F962" i="1"/>
  <c r="K962" i="1" s="1"/>
  <c r="F963" i="1"/>
  <c r="K963" i="1" s="1"/>
  <c r="F964" i="1"/>
  <c r="K964" i="1" s="1"/>
  <c r="F965" i="1"/>
  <c r="K965" i="1" s="1"/>
  <c r="F966" i="1"/>
  <c r="K966" i="1" s="1"/>
  <c r="F967" i="1"/>
  <c r="K967" i="1" s="1"/>
  <c r="F968" i="1"/>
  <c r="K968" i="1" s="1"/>
  <c r="F969" i="1"/>
  <c r="K969" i="1" s="1"/>
  <c r="F970" i="1"/>
  <c r="K970" i="1" s="1"/>
  <c r="F971" i="1"/>
  <c r="K971" i="1" s="1"/>
  <c r="F972" i="1"/>
  <c r="K972" i="1" s="1"/>
  <c r="F973" i="1"/>
  <c r="K973" i="1" s="1"/>
  <c r="F974" i="1"/>
  <c r="K974" i="1" s="1"/>
  <c r="F975" i="1"/>
  <c r="K975" i="1" s="1"/>
  <c r="F976" i="1"/>
  <c r="K976" i="1" s="1"/>
  <c r="F977" i="1"/>
  <c r="K977" i="1" s="1"/>
  <c r="F978" i="1"/>
  <c r="K978" i="1" s="1"/>
  <c r="F979" i="1"/>
  <c r="K979" i="1" s="1"/>
  <c r="F980" i="1"/>
  <c r="K980" i="1" s="1"/>
  <c r="F981" i="1"/>
  <c r="K981" i="1" s="1"/>
  <c r="F982" i="1"/>
  <c r="K982" i="1" s="1"/>
  <c r="F983" i="1"/>
  <c r="K983" i="1" s="1"/>
  <c r="F984" i="1"/>
  <c r="K984" i="1" s="1"/>
  <c r="F985" i="1"/>
  <c r="K985" i="1" s="1"/>
  <c r="F986" i="1"/>
  <c r="K986" i="1" s="1"/>
  <c r="F987" i="1"/>
  <c r="K987" i="1" s="1"/>
  <c r="F988" i="1"/>
  <c r="K988" i="1" s="1"/>
  <c r="F989" i="1"/>
  <c r="K989" i="1" s="1"/>
  <c r="F994" i="1"/>
  <c r="K994" i="1" s="1"/>
  <c r="F995" i="1"/>
  <c r="K995" i="1" s="1"/>
  <c r="F996" i="1"/>
  <c r="K996" i="1" s="1"/>
  <c r="F997" i="1"/>
  <c r="K997" i="1" s="1"/>
  <c r="F998" i="1"/>
  <c r="K998" i="1" s="1"/>
  <c r="F1002" i="1"/>
  <c r="K1002" i="1" s="1"/>
  <c r="F1003" i="1"/>
  <c r="K1003" i="1" s="1"/>
  <c r="E78" i="1"/>
  <c r="F78" i="1" s="1"/>
  <c r="K78" i="1" s="1"/>
  <c r="E79" i="1"/>
  <c r="F79" i="1" s="1"/>
  <c r="K79" i="1" s="1"/>
  <c r="E80" i="1"/>
  <c r="F80" i="1" s="1"/>
  <c r="K80" i="1" s="1"/>
  <c r="E142" i="1"/>
  <c r="F142" i="1" s="1"/>
  <c r="K142" i="1" s="1"/>
  <c r="E115" i="1"/>
  <c r="F115" i="1" s="1"/>
  <c r="K115" i="1" s="1"/>
  <c r="E126" i="1"/>
  <c r="F126" i="1" s="1"/>
  <c r="K126" i="1" s="1"/>
  <c r="E150" i="1"/>
  <c r="F150" i="1" s="1"/>
  <c r="K150" i="1" s="1"/>
  <c r="E127" i="1"/>
  <c r="F127" i="1" s="1"/>
  <c r="K127" i="1" s="1"/>
  <c r="F116" i="1"/>
  <c r="K116" i="1" s="1"/>
  <c r="E145" i="1"/>
  <c r="F145" i="1" s="1"/>
  <c r="K145" i="1" s="1"/>
  <c r="E151" i="1"/>
  <c r="F151" i="1" s="1"/>
  <c r="K151" i="1" s="1"/>
  <c r="E138" i="1"/>
  <c r="F138" i="1" s="1"/>
  <c r="K138" i="1" s="1"/>
  <c r="E124" i="1"/>
  <c r="F124" i="1" s="1"/>
  <c r="K124" i="1" s="1"/>
  <c r="E148" i="1"/>
  <c r="F148" i="1" s="1"/>
  <c r="K148" i="1" s="1"/>
  <c r="E123" i="1"/>
  <c r="F123" i="1" s="1"/>
  <c r="K123" i="1" s="1"/>
  <c r="E129" i="1"/>
  <c r="F129" i="1" s="1"/>
  <c r="K129" i="1" s="1"/>
  <c r="E128" i="1"/>
  <c r="F128" i="1" s="1"/>
  <c r="K128" i="1" s="1"/>
  <c r="E119" i="1"/>
  <c r="F119" i="1" s="1"/>
  <c r="K119" i="1" s="1"/>
  <c r="E118" i="1"/>
  <c r="F118" i="1" s="1"/>
  <c r="K118" i="1" s="1"/>
  <c r="E149" i="1"/>
  <c r="F149" i="1" s="1"/>
  <c r="K149" i="1" s="1"/>
  <c r="E120" i="1"/>
  <c r="F120" i="1" s="1"/>
  <c r="K120" i="1" s="1"/>
  <c r="E114" i="1"/>
  <c r="F114" i="1" s="1"/>
  <c r="K114" i="1" s="1"/>
  <c r="E125" i="1"/>
  <c r="F125" i="1" s="1"/>
  <c r="K125" i="1" s="1"/>
  <c r="E137" i="1"/>
  <c r="F137" i="1" s="1"/>
  <c r="K137" i="1" s="1"/>
  <c r="E122" i="1"/>
  <c r="F122" i="1" s="1"/>
  <c r="K122" i="1" s="1"/>
  <c r="E121" i="1"/>
  <c r="F121" i="1" s="1"/>
  <c r="K121" i="1" s="1"/>
  <c r="E141" i="1"/>
  <c r="F141" i="1" s="1"/>
  <c r="K141" i="1" s="1"/>
  <c r="E144" i="1"/>
  <c r="F144" i="1" s="1"/>
  <c r="K144" i="1" s="1"/>
  <c r="E143" i="1"/>
  <c r="F143" i="1" s="1"/>
  <c r="K143" i="1" s="1"/>
  <c r="E147" i="1"/>
  <c r="F147" i="1" s="1"/>
  <c r="K147" i="1" s="1"/>
  <c r="E112" i="1"/>
  <c r="F112" i="1" s="1"/>
  <c r="K112" i="1" s="1"/>
  <c r="E113" i="1"/>
  <c r="F113" i="1" s="1"/>
  <c r="K113" i="1" s="1"/>
  <c r="E140" i="1"/>
  <c r="F140" i="1" s="1"/>
  <c r="K140" i="1" s="1"/>
  <c r="E146" i="1"/>
  <c r="F146" i="1" s="1"/>
  <c r="K146" i="1" s="1"/>
  <c r="F117" i="1"/>
  <c r="K117" i="1" s="1"/>
  <c r="E58" i="1"/>
  <c r="F58" i="1" s="1"/>
  <c r="K58" i="1" s="1"/>
  <c r="E54" i="1"/>
  <c r="F54" i="1" s="1"/>
  <c r="K54" i="1" s="1"/>
  <c r="E55" i="1"/>
  <c r="F55" i="1" s="1"/>
  <c r="K55" i="1" s="1"/>
  <c r="E30" i="1"/>
  <c r="F30" i="1" s="1"/>
  <c r="K30" i="1" s="1"/>
  <c r="E14" i="1"/>
  <c r="F14" i="1" s="1"/>
  <c r="K14" i="1" s="1"/>
  <c r="E10" i="1"/>
  <c r="F10" i="1" s="1"/>
  <c r="K10" i="1" s="1"/>
  <c r="E21" i="1"/>
  <c r="F21" i="1" s="1"/>
  <c r="K21" i="1" s="1"/>
  <c r="E18" i="1"/>
  <c r="F18" i="1" s="1"/>
  <c r="K18" i="1" s="1"/>
  <c r="E46" i="1"/>
  <c r="F46" i="1" s="1"/>
  <c r="K46" i="1" s="1"/>
  <c r="E49" i="1"/>
  <c r="F49" i="1" s="1"/>
  <c r="K49" i="1" s="1"/>
  <c r="E62" i="1"/>
  <c r="F62" i="1" s="1"/>
  <c r="K62" i="1" s="1"/>
  <c r="E13" i="1"/>
  <c r="F13" i="1" s="1"/>
  <c r="K13" i="1" s="1"/>
  <c r="E40" i="1"/>
  <c r="F40" i="1" s="1"/>
  <c r="K40" i="1" s="1"/>
  <c r="E15" i="1"/>
  <c r="F15" i="1" s="1"/>
  <c r="K15" i="1" s="1"/>
  <c r="E36" i="1"/>
  <c r="F36" i="1" s="1"/>
  <c r="K36" i="1" s="1"/>
  <c r="E63" i="1"/>
  <c r="F63" i="1" s="1"/>
  <c r="K63" i="1" s="1"/>
  <c r="E59" i="1"/>
  <c r="F59" i="1" s="1"/>
  <c r="K59" i="1" s="1"/>
  <c r="E48" i="1"/>
  <c r="F48" i="1" s="1"/>
  <c r="K48" i="1" s="1"/>
  <c r="E50" i="1"/>
  <c r="F50" i="1" s="1"/>
  <c r="K50" i="1" s="1"/>
  <c r="E47" i="1"/>
  <c r="F47" i="1" s="1"/>
  <c r="K47" i="1" s="1"/>
  <c r="E42" i="1"/>
  <c r="F42" i="1" s="1"/>
  <c r="K42" i="1" s="1"/>
  <c r="E43" i="1"/>
  <c r="F43" i="1" s="1"/>
  <c r="K43" i="1" s="1"/>
  <c r="E41" i="1"/>
  <c r="F41" i="1" s="1"/>
  <c r="K41" i="1" s="1"/>
  <c r="E28" i="1"/>
  <c r="F28" i="1" s="1"/>
  <c r="K28" i="1" s="1"/>
  <c r="E31" i="1"/>
  <c r="F31" i="1" s="1"/>
  <c r="K31" i="1" s="1"/>
  <c r="E9" i="1"/>
  <c r="F9" i="1" s="1"/>
  <c r="K9" i="1" s="1"/>
  <c r="E34" i="1"/>
  <c r="F34" i="1" s="1"/>
  <c r="K34" i="1" s="1"/>
  <c r="E44" i="1"/>
  <c r="F44" i="1" s="1"/>
  <c r="K44" i="1" s="1"/>
  <c r="E22" i="1"/>
  <c r="F22" i="1" s="1"/>
  <c r="K22" i="1" s="1"/>
  <c r="E19" i="1"/>
  <c r="F19" i="1" s="1"/>
  <c r="K19" i="1" s="1"/>
  <c r="E35" i="1"/>
  <c r="F35" i="1" s="1"/>
  <c r="K35" i="1" s="1"/>
  <c r="E8" i="1"/>
  <c r="F8" i="1" s="1"/>
  <c r="K8" i="1" s="1"/>
  <c r="E11" i="1"/>
  <c r="F11" i="1" s="1"/>
  <c r="K11" i="1" s="1"/>
  <c r="E37" i="1"/>
  <c r="F37" i="1" s="1"/>
  <c r="K37" i="1" s="1"/>
  <c r="E6" i="1"/>
  <c r="F6" i="1" s="1"/>
  <c r="K6" i="1" s="1"/>
  <c r="E23" i="1"/>
  <c r="F23" i="1" s="1"/>
  <c r="K23" i="1" s="1"/>
  <c r="E892" i="1"/>
  <c r="F892" i="1" s="1"/>
  <c r="K892" i="1" s="1"/>
  <c r="E893" i="1"/>
  <c r="F893" i="1" s="1"/>
  <c r="K893" i="1" s="1"/>
  <c r="E890" i="1"/>
  <c r="F890" i="1" s="1"/>
  <c r="K890" i="1" s="1"/>
  <c r="E891" i="1"/>
  <c r="F891" i="1" s="1"/>
  <c r="K891" i="1" s="1"/>
  <c r="E883" i="1"/>
  <c r="F883" i="1" s="1"/>
  <c r="K883" i="1" s="1"/>
  <c r="E877" i="1"/>
  <c r="F877" i="1" s="1"/>
  <c r="K877" i="1" s="1"/>
  <c r="E898" i="1"/>
  <c r="F898" i="1" s="1"/>
  <c r="K898" i="1" s="1"/>
  <c r="E888" i="1"/>
  <c r="F888" i="1" s="1"/>
  <c r="K888" i="1" s="1"/>
  <c r="E886" i="1"/>
  <c r="F886" i="1" s="1"/>
  <c r="K886" i="1" s="1"/>
  <c r="E884" i="1"/>
  <c r="F884" i="1" s="1"/>
  <c r="K884" i="1" s="1"/>
  <c r="E880" i="1"/>
  <c r="F880" i="1" s="1"/>
  <c r="K880" i="1" s="1"/>
  <c r="E887" i="1"/>
  <c r="F887" i="1" s="1"/>
  <c r="K887" i="1" s="1"/>
  <c r="E889" i="1"/>
  <c r="F889" i="1" s="1"/>
  <c r="K889" i="1" s="1"/>
  <c r="E879" i="1"/>
  <c r="F879" i="1" s="1"/>
  <c r="K879" i="1" s="1"/>
  <c r="E897" i="1"/>
  <c r="F897" i="1" s="1"/>
  <c r="K897" i="1" s="1"/>
  <c r="E878" i="1"/>
  <c r="F878" i="1" s="1"/>
  <c r="K878" i="1" s="1"/>
  <c r="E881" i="1"/>
  <c r="F881" i="1" s="1"/>
  <c r="K881" i="1" s="1"/>
  <c r="E894" i="1"/>
  <c r="F894" i="1" s="1"/>
  <c r="K894" i="1" s="1"/>
  <c r="E778" i="1"/>
  <c r="F778" i="1" s="1"/>
  <c r="K778" i="1" s="1"/>
  <c r="E775" i="1"/>
  <c r="F775" i="1" s="1"/>
  <c r="K775" i="1" s="1"/>
  <c r="E777" i="1"/>
  <c r="F777" i="1" s="1"/>
  <c r="K777" i="1" s="1"/>
  <c r="E781" i="1"/>
  <c r="F781" i="1" s="1"/>
  <c r="K781" i="1" s="1"/>
  <c r="E770" i="1"/>
  <c r="F770" i="1" s="1"/>
  <c r="K770" i="1" s="1"/>
  <c r="F767" i="1"/>
  <c r="K767" i="1" s="1"/>
  <c r="E779" i="1"/>
  <c r="F779" i="1" s="1"/>
  <c r="K779" i="1" s="1"/>
  <c r="F765" i="1"/>
  <c r="K765" i="1" s="1"/>
  <c r="E774" i="1"/>
  <c r="F774" i="1" s="1"/>
  <c r="K774" i="1" s="1"/>
  <c r="E780" i="1"/>
  <c r="F780" i="1" s="1"/>
  <c r="K780" i="1" s="1"/>
  <c r="E771" i="1"/>
  <c r="F771" i="1" s="1"/>
  <c r="K771" i="1" s="1"/>
  <c r="F766" i="1"/>
  <c r="K766" i="1" s="1"/>
  <c r="E651" i="1"/>
  <c r="F651" i="1" s="1"/>
  <c r="K651" i="1" s="1"/>
  <c r="E652" i="1"/>
  <c r="F652" i="1" s="1"/>
  <c r="K652" i="1" s="1"/>
  <c r="E653" i="1"/>
  <c r="F653" i="1" s="1"/>
  <c r="K653" i="1" s="1"/>
  <c r="E670" i="1"/>
  <c r="F670" i="1" s="1"/>
  <c r="K670" i="1" s="1"/>
  <c r="F668" i="1"/>
  <c r="K668" i="1" s="1"/>
  <c r="F669" i="1"/>
  <c r="K669" i="1" s="1"/>
  <c r="E873" i="1"/>
  <c r="F873" i="1" s="1"/>
  <c r="K873" i="1" s="1"/>
  <c r="E875" i="1"/>
  <c r="F875" i="1" s="1"/>
  <c r="K875" i="1" s="1"/>
  <c r="E874" i="1"/>
  <c r="F874" i="1" s="1"/>
  <c r="K874" i="1" s="1"/>
  <c r="E871" i="1"/>
  <c r="F871" i="1" s="1"/>
  <c r="K871" i="1" s="1"/>
  <c r="E739" i="1"/>
  <c r="F739" i="1" s="1"/>
  <c r="K739" i="1" s="1"/>
  <c r="E728" i="1"/>
  <c r="F728" i="1" s="1"/>
  <c r="K728" i="1" s="1"/>
  <c r="E722" i="1"/>
  <c r="F722" i="1" s="1"/>
  <c r="K722" i="1" s="1"/>
  <c r="E723" i="1"/>
  <c r="F723" i="1" s="1"/>
  <c r="K723" i="1" s="1"/>
  <c r="E743" i="1"/>
  <c r="F743" i="1" s="1"/>
  <c r="K743" i="1" s="1"/>
  <c r="E729" i="1"/>
  <c r="F729" i="1" s="1"/>
  <c r="K729" i="1" s="1"/>
  <c r="E741" i="1"/>
  <c r="F741" i="1" s="1"/>
  <c r="K741" i="1" s="1"/>
  <c r="E734" i="1"/>
  <c r="F734" i="1" s="1"/>
  <c r="K734" i="1" s="1"/>
  <c r="E740" i="1"/>
  <c r="F740" i="1" s="1"/>
  <c r="K740" i="1" s="1"/>
  <c r="E730" i="1"/>
  <c r="F730" i="1" s="1"/>
  <c r="K730" i="1" s="1"/>
  <c r="E476" i="1"/>
  <c r="F476" i="1" s="1"/>
  <c r="K476" i="1" s="1"/>
  <c r="E255" i="1"/>
  <c r="F255" i="1" s="1"/>
  <c r="K255" i="1" s="1"/>
  <c r="E482" i="1"/>
  <c r="F482" i="1" s="1"/>
  <c r="K482" i="1" s="1"/>
  <c r="E481" i="1"/>
  <c r="F481" i="1" s="1"/>
  <c r="K481" i="1" s="1"/>
  <c r="E484" i="1"/>
  <c r="F484" i="1" s="1"/>
  <c r="K484" i="1" s="1"/>
  <c r="E475" i="1"/>
  <c r="F475" i="1" s="1"/>
  <c r="K475" i="1" s="1"/>
  <c r="E259" i="1"/>
  <c r="F259" i="1" s="1"/>
  <c r="K259" i="1" s="1"/>
  <c r="E260" i="1"/>
  <c r="F260" i="1" s="1"/>
  <c r="K260" i="1" s="1"/>
  <c r="E473" i="1"/>
  <c r="F473" i="1" s="1"/>
  <c r="K473" i="1" s="1"/>
  <c r="E478" i="1"/>
  <c r="F478" i="1" s="1"/>
  <c r="K478" i="1" s="1"/>
  <c r="E480" i="1"/>
  <c r="F480" i="1" s="1"/>
  <c r="K480" i="1" s="1"/>
  <c r="E477" i="1"/>
  <c r="F477" i="1" s="1"/>
  <c r="K477" i="1" s="1"/>
  <c r="E479" i="1"/>
  <c r="F479" i="1" s="1"/>
  <c r="K479" i="1" s="1"/>
  <c r="E472" i="1"/>
  <c r="F472" i="1" s="1"/>
  <c r="K472" i="1" s="1"/>
  <c r="E474" i="1"/>
  <c r="F474" i="1" s="1"/>
  <c r="K474" i="1" s="1"/>
  <c r="E718" i="1"/>
  <c r="F718" i="1" s="1"/>
  <c r="K718" i="1" s="1"/>
  <c r="E254" i="1"/>
  <c r="F254" i="1" s="1"/>
  <c r="K254" i="1" s="1"/>
  <c r="E421" i="1"/>
  <c r="F421" i="1" s="1"/>
  <c r="K421" i="1" s="1"/>
  <c r="F251" i="1"/>
  <c r="K251" i="1" s="1"/>
  <c r="E507" i="1"/>
  <c r="F507" i="1" s="1"/>
  <c r="K507" i="1" s="1"/>
  <c r="E485" i="1"/>
  <c r="F485" i="1" s="1"/>
  <c r="K485" i="1" s="1"/>
  <c r="E503" i="1"/>
  <c r="F503" i="1" s="1"/>
  <c r="K503" i="1" s="1"/>
  <c r="E504" i="1"/>
  <c r="F504" i="1" s="1"/>
  <c r="K504" i="1" s="1"/>
  <c r="E486" i="1"/>
  <c r="F486" i="1" s="1"/>
  <c r="K486" i="1" s="1"/>
  <c r="E499" i="1"/>
  <c r="F499" i="1" s="1"/>
  <c r="K499" i="1" s="1"/>
  <c r="E496" i="1"/>
  <c r="F496" i="1" s="1"/>
  <c r="K496" i="1" s="1"/>
  <c r="E506" i="1"/>
  <c r="F506" i="1" s="1"/>
  <c r="K506" i="1" s="1"/>
  <c r="E498" i="1"/>
  <c r="F498" i="1" s="1"/>
  <c r="K498" i="1" s="1"/>
  <c r="E513" i="1"/>
  <c r="F513" i="1" s="1"/>
  <c r="K513" i="1" s="1"/>
  <c r="E512" i="1"/>
  <c r="F512" i="1" s="1"/>
  <c r="K512" i="1" s="1"/>
  <c r="E491" i="1"/>
  <c r="F491" i="1" s="1"/>
  <c r="K491" i="1" s="1"/>
  <c r="E497" i="1"/>
  <c r="F497" i="1" s="1"/>
  <c r="K497" i="1" s="1"/>
  <c r="E925" i="1"/>
  <c r="F925" i="1" s="1"/>
  <c r="K925" i="1" s="1"/>
  <c r="E924" i="1"/>
  <c r="F924" i="1" s="1"/>
  <c r="K924" i="1" s="1"/>
  <c r="E500" i="1"/>
  <c r="F500" i="1" s="1"/>
  <c r="K500" i="1" s="1"/>
  <c r="E492" i="1"/>
  <c r="F492" i="1" s="1"/>
  <c r="K492" i="1" s="1"/>
  <c r="E509" i="1"/>
  <c r="F509" i="1" s="1"/>
  <c r="K509" i="1" s="1"/>
  <c r="E494" i="1"/>
  <c r="F494" i="1" s="1"/>
  <c r="K494" i="1" s="1"/>
  <c r="E501" i="1"/>
  <c r="F501" i="1" s="1"/>
  <c r="K501" i="1" s="1"/>
  <c r="E199" i="1"/>
  <c r="F199" i="1" s="1"/>
  <c r="K199" i="1" s="1"/>
  <c r="E195" i="1"/>
  <c r="F195" i="1" s="1"/>
  <c r="K195" i="1" s="1"/>
  <c r="E194" i="1"/>
  <c r="F194" i="1" s="1"/>
  <c r="K194" i="1" s="1"/>
  <c r="E189" i="1"/>
  <c r="F189" i="1" s="1"/>
  <c r="K189" i="1" s="1"/>
  <c r="E197" i="1"/>
  <c r="F197" i="1" s="1"/>
  <c r="K197" i="1" s="1"/>
  <c r="E192" i="1"/>
  <c r="F192" i="1" s="1"/>
  <c r="K192" i="1" s="1"/>
  <c r="E196" i="1"/>
  <c r="F196" i="1" s="1"/>
  <c r="K196" i="1" s="1"/>
  <c r="E183" i="1"/>
  <c r="F183" i="1" s="1"/>
  <c r="K183" i="1" s="1"/>
  <c r="E190" i="1"/>
  <c r="F190" i="1" s="1"/>
  <c r="K190" i="1" s="1"/>
  <c r="E187" i="1"/>
  <c r="F187" i="1" s="1"/>
  <c r="K187" i="1" s="1"/>
  <c r="E198" i="1"/>
  <c r="F198" i="1" s="1"/>
  <c r="K198" i="1" s="1"/>
  <c r="E171" i="1"/>
  <c r="F171" i="1" s="1"/>
  <c r="K171" i="1" s="1"/>
  <c r="E170" i="1"/>
  <c r="F170" i="1" s="1"/>
  <c r="K170" i="1" s="1"/>
  <c r="E181" i="1"/>
  <c r="F181" i="1" s="1"/>
  <c r="K181" i="1" s="1"/>
  <c r="E186" i="1"/>
  <c r="F186" i="1" s="1"/>
  <c r="K186" i="1" s="1"/>
  <c r="E176" i="1"/>
  <c r="F176" i="1" s="1"/>
  <c r="K176" i="1" s="1"/>
  <c r="E188" i="1"/>
  <c r="F188" i="1" s="1"/>
  <c r="K188" i="1" s="1"/>
  <c r="E172" i="1"/>
  <c r="F172" i="1" s="1"/>
  <c r="K172" i="1" s="1"/>
  <c r="E175" i="1"/>
  <c r="F175" i="1" s="1"/>
  <c r="K175" i="1" s="1"/>
  <c r="E191" i="1"/>
  <c r="F191" i="1" s="1"/>
  <c r="K191" i="1" s="1"/>
  <c r="E179" i="1"/>
  <c r="F179" i="1" s="1"/>
  <c r="K179" i="1" s="1"/>
  <c r="E177" i="1"/>
  <c r="F177" i="1" s="1"/>
  <c r="K177" i="1" s="1"/>
  <c r="E184" i="1"/>
  <c r="F184" i="1" s="1"/>
  <c r="K184" i="1" s="1"/>
  <c r="E174" i="1"/>
  <c r="F174" i="1" s="1"/>
  <c r="K174" i="1" s="1"/>
  <c r="E173" i="1"/>
  <c r="F173" i="1" s="1"/>
  <c r="K173" i="1" s="1"/>
  <c r="E178" i="1"/>
  <c r="F178" i="1" s="1"/>
  <c r="K178" i="1" s="1"/>
  <c r="E201" i="1"/>
  <c r="F201" i="1" s="1"/>
  <c r="K201" i="1" s="1"/>
  <c r="E202" i="1"/>
  <c r="F202" i="1" s="1"/>
  <c r="K202" i="1" s="1"/>
  <c r="E204" i="1"/>
  <c r="F204" i="1" s="1"/>
  <c r="K204" i="1" s="1"/>
  <c r="E180" i="1"/>
  <c r="F180" i="1" s="1"/>
  <c r="K180" i="1" s="1"/>
  <c r="E203" i="1"/>
  <c r="F203" i="1" s="1"/>
  <c r="K203" i="1" s="1"/>
  <c r="E185" i="1"/>
  <c r="F185" i="1" s="1"/>
  <c r="K185" i="1" s="1"/>
  <c r="E200" i="1"/>
  <c r="F200" i="1" s="1"/>
  <c r="K200" i="1" s="1"/>
  <c r="E193" i="1"/>
  <c r="F193" i="1" s="1"/>
  <c r="K193" i="1" s="1"/>
  <c r="E206" i="1"/>
  <c r="F206" i="1" s="1"/>
  <c r="K206" i="1" s="1"/>
  <c r="E207" i="1"/>
  <c r="F207" i="1" s="1"/>
  <c r="K207" i="1" s="1"/>
  <c r="E205" i="1"/>
  <c r="F205" i="1" s="1"/>
  <c r="K205" i="1" s="1"/>
  <c r="E799" i="1"/>
  <c r="F799" i="1" s="1"/>
  <c r="K799" i="1" s="1"/>
  <c r="E808" i="1"/>
  <c r="F808" i="1" s="1"/>
  <c r="K808" i="1" s="1"/>
  <c r="E807" i="1"/>
  <c r="F807" i="1" s="1"/>
  <c r="K807" i="1" s="1"/>
  <c r="E801" i="1"/>
  <c r="F801" i="1" s="1"/>
  <c r="K801" i="1" s="1"/>
  <c r="E797" i="1"/>
  <c r="F797" i="1" s="1"/>
  <c r="K797" i="1" s="1"/>
  <c r="E802" i="1"/>
  <c r="F802" i="1" s="1"/>
  <c r="K802" i="1" s="1"/>
  <c r="E574" i="1"/>
  <c r="F574" i="1" s="1"/>
  <c r="K574" i="1" s="1"/>
  <c r="E798" i="1"/>
  <c r="F798" i="1" s="1"/>
  <c r="K798" i="1" s="1"/>
  <c r="E789" i="1"/>
  <c r="F789" i="1" s="1"/>
  <c r="K789" i="1" s="1"/>
  <c r="E796" i="1"/>
  <c r="F796" i="1" s="1"/>
  <c r="K796" i="1" s="1"/>
  <c r="E794" i="1"/>
  <c r="F794" i="1" s="1"/>
  <c r="K794" i="1" s="1"/>
  <c r="E811" i="1"/>
  <c r="F811" i="1" s="1"/>
  <c r="K811" i="1" s="1"/>
  <c r="E795" i="1"/>
  <c r="F795" i="1" s="1"/>
  <c r="K795" i="1" s="1"/>
  <c r="E809" i="1"/>
  <c r="F809" i="1" s="1"/>
  <c r="K809" i="1" s="1"/>
  <c r="E800" i="1"/>
  <c r="F800" i="1" s="1"/>
  <c r="K800" i="1" s="1"/>
  <c r="E812" i="1"/>
  <c r="F812" i="1" s="1"/>
  <c r="K812" i="1" s="1"/>
  <c r="E805" i="1"/>
  <c r="F805" i="1" s="1"/>
  <c r="K805" i="1" s="1"/>
  <c r="E788" i="1"/>
  <c r="F788" i="1" s="1"/>
  <c r="K788" i="1" s="1"/>
  <c r="E806" i="1"/>
  <c r="F806" i="1" s="1"/>
  <c r="K806" i="1" s="1"/>
  <c r="E810" i="1"/>
  <c r="F810" i="1" s="1"/>
  <c r="K810" i="1" s="1"/>
  <c r="E790" i="1"/>
  <c r="F790" i="1" s="1"/>
  <c r="K790" i="1" s="1"/>
  <c r="E168" i="1"/>
  <c r="F168" i="1" s="1"/>
  <c r="K168" i="1" s="1"/>
  <c r="E427" i="1"/>
  <c r="F427" i="1" s="1"/>
  <c r="K427" i="1" s="1"/>
  <c r="E453" i="1"/>
  <c r="F453" i="1" s="1"/>
  <c r="K453" i="1" s="1"/>
  <c r="E430" i="1"/>
  <c r="F430" i="1" s="1"/>
  <c r="K430" i="1" s="1"/>
  <c r="E375" i="1"/>
  <c r="F375" i="1" s="1"/>
  <c r="K375" i="1" s="1"/>
  <c r="E374" i="1"/>
  <c r="F374" i="1" s="1"/>
  <c r="K374" i="1" s="1"/>
  <c r="E372" i="1"/>
  <c r="F372" i="1" s="1"/>
  <c r="K372" i="1" s="1"/>
  <c r="E376" i="1"/>
  <c r="F376" i="1" s="1"/>
  <c r="K376" i="1" s="1"/>
  <c r="E377" i="1"/>
  <c r="F377" i="1" s="1"/>
  <c r="K377" i="1" s="1"/>
  <c r="E367" i="1"/>
  <c r="F367" i="1" s="1"/>
  <c r="K367" i="1" s="1"/>
  <c r="E368" i="1"/>
  <c r="F368" i="1" s="1"/>
  <c r="K368" i="1" s="1"/>
  <c r="E382" i="1"/>
  <c r="F382" i="1" s="1"/>
  <c r="K382" i="1" s="1"/>
  <c r="E371" i="1"/>
  <c r="F371" i="1" s="1"/>
  <c r="K371" i="1" s="1"/>
  <c r="E383" i="1"/>
  <c r="F383" i="1" s="1"/>
  <c r="K383" i="1" s="1"/>
  <c r="E373" i="1"/>
  <c r="F373" i="1" s="1"/>
  <c r="K373" i="1" s="1"/>
  <c r="E370" i="1"/>
  <c r="F370" i="1" s="1"/>
  <c r="K370" i="1" s="1"/>
  <c r="E379" i="1"/>
  <c r="F379" i="1" s="1"/>
  <c r="K379" i="1" s="1"/>
  <c r="E381" i="1"/>
  <c r="F381" i="1" s="1"/>
  <c r="K381" i="1" s="1"/>
  <c r="E380" i="1"/>
  <c r="F380" i="1" s="1"/>
  <c r="K380" i="1" s="1"/>
  <c r="E369" i="1"/>
  <c r="F369" i="1" s="1"/>
  <c r="K369" i="1" s="1"/>
  <c r="E378" i="1"/>
  <c r="F378" i="1" s="1"/>
  <c r="K378" i="1" s="1"/>
  <c r="E1000" i="1"/>
  <c r="F1000" i="1" s="1"/>
  <c r="K1000" i="1" s="1"/>
  <c r="E1001" i="1"/>
  <c r="F1001" i="1" s="1"/>
  <c r="K1001" i="1" s="1"/>
  <c r="E992" i="1"/>
  <c r="F992" i="1" s="1"/>
  <c r="K992" i="1" s="1"/>
  <c r="E993" i="1"/>
  <c r="F993" i="1" s="1"/>
  <c r="K993" i="1" s="1"/>
  <c r="E999" i="1"/>
  <c r="F999" i="1" s="1"/>
  <c r="K999" i="1" s="1"/>
  <c r="E990" i="1"/>
  <c r="F990" i="1" s="1"/>
  <c r="K990" i="1" s="1"/>
  <c r="E991" i="1"/>
  <c r="F991" i="1" s="1"/>
  <c r="K991" i="1" s="1"/>
  <c r="E609" i="1"/>
  <c r="F609" i="1" s="1"/>
  <c r="K609" i="1" s="1"/>
  <c r="E611" i="1"/>
  <c r="F611" i="1" s="1"/>
  <c r="K611" i="1" s="1"/>
  <c r="E606" i="1"/>
  <c r="F606" i="1" s="1"/>
  <c r="K606" i="1" s="1"/>
  <c r="E612" i="1"/>
  <c r="F612" i="1" s="1"/>
  <c r="K612" i="1" s="1"/>
  <c r="E623" i="1"/>
  <c r="F623" i="1" s="1"/>
  <c r="K623" i="1" s="1"/>
  <c r="E615" i="1"/>
  <c r="F615" i="1" s="1"/>
  <c r="K615" i="1" s="1"/>
  <c r="E636" i="1"/>
  <c r="F636" i="1" s="1"/>
  <c r="K636" i="1" s="1"/>
  <c r="E642" i="1"/>
  <c r="F642" i="1" s="1"/>
  <c r="K642" i="1" s="1"/>
  <c r="E632" i="1"/>
  <c r="F632" i="1" s="1"/>
  <c r="K632" i="1" s="1"/>
  <c r="E626" i="1"/>
  <c r="F626" i="1" s="1"/>
  <c r="K626" i="1" s="1"/>
  <c r="E629" i="1"/>
  <c r="F629" i="1" s="1"/>
  <c r="K629" i="1" s="1"/>
  <c r="E604" i="1"/>
  <c r="F604" i="1" s="1"/>
  <c r="K604" i="1" s="1"/>
  <c r="E630" i="1"/>
  <c r="F630" i="1" s="1"/>
  <c r="K630" i="1" s="1"/>
  <c r="E618" i="1"/>
  <c r="F618" i="1" s="1"/>
  <c r="K618" i="1" s="1"/>
  <c r="E605" i="1"/>
  <c r="F605" i="1" s="1"/>
  <c r="K605" i="1" s="1"/>
  <c r="E641" i="1"/>
  <c r="F641" i="1" s="1"/>
  <c r="K641" i="1" s="1"/>
  <c r="E620" i="1"/>
  <c r="F620" i="1" s="1"/>
  <c r="K620" i="1" s="1"/>
  <c r="E635" i="1"/>
  <c r="F635" i="1" s="1"/>
  <c r="K635" i="1" s="1"/>
  <c r="E637" i="1"/>
  <c r="F637" i="1" s="1"/>
  <c r="K637" i="1" s="1"/>
  <c r="E610" i="1"/>
  <c r="F610" i="1" s="1"/>
  <c r="K610" i="1" s="1"/>
  <c r="E614" i="1"/>
  <c r="F614" i="1" s="1"/>
  <c r="K614" i="1" s="1"/>
  <c r="E619" i="1"/>
  <c r="F619" i="1" s="1"/>
  <c r="K619" i="1" s="1"/>
  <c r="E608" i="1"/>
  <c r="F608" i="1" s="1"/>
  <c r="K608" i="1" s="1"/>
  <c r="E622" i="1"/>
  <c r="F622" i="1" s="1"/>
  <c r="K622" i="1" s="1"/>
  <c r="E607" i="1"/>
  <c r="F607" i="1" s="1"/>
  <c r="K607" i="1" s="1"/>
  <c r="E638" i="1"/>
  <c r="F638" i="1" s="1"/>
  <c r="K638" i="1" s="1"/>
  <c r="E639" i="1"/>
  <c r="F639" i="1" s="1"/>
  <c r="K639" i="1" s="1"/>
  <c r="E633" i="1"/>
  <c r="F633" i="1" s="1"/>
  <c r="K633" i="1" s="1"/>
  <c r="E624" i="1"/>
  <c r="F624" i="1" s="1"/>
  <c r="K624" i="1" s="1"/>
  <c r="E625" i="1"/>
  <c r="F625" i="1" s="1"/>
  <c r="K625" i="1" s="1"/>
  <c r="E627" i="1"/>
  <c r="F627" i="1" s="1"/>
  <c r="K627" i="1" s="1"/>
  <c r="E617" i="1"/>
  <c r="F617" i="1" s="1"/>
  <c r="K617" i="1" s="1"/>
  <c r="E628" i="1"/>
  <c r="F628" i="1" s="1"/>
  <c r="K628" i="1" s="1"/>
  <c r="E640" i="1"/>
  <c r="F640" i="1" s="1"/>
  <c r="K640" i="1" s="1"/>
  <c r="E613" i="1"/>
  <c r="F613" i="1" s="1"/>
  <c r="K613" i="1" s="1"/>
  <c r="E616" i="1"/>
  <c r="F616" i="1" s="1"/>
  <c r="K616" i="1" s="1"/>
  <c r="E522" i="1"/>
  <c r="F522" i="1" s="1"/>
  <c r="K522" i="1" s="1"/>
  <c r="E523" i="1"/>
  <c r="F523" i="1" s="1"/>
  <c r="K523" i="1" s="1"/>
  <c r="E520" i="1"/>
  <c r="F520" i="1" s="1"/>
  <c r="K520" i="1" s="1"/>
  <c r="E518" i="1"/>
  <c r="F518" i="1" s="1"/>
  <c r="K518" i="1" s="1"/>
  <c r="E526" i="1"/>
  <c r="F526" i="1" s="1"/>
  <c r="K526" i="1" s="1"/>
  <c r="E529" i="1"/>
  <c r="F529" i="1" s="1"/>
  <c r="K529" i="1" s="1"/>
  <c r="E517" i="1"/>
  <c r="F517" i="1" s="1"/>
  <c r="K517" i="1" s="1"/>
  <c r="E521" i="1"/>
  <c r="F521" i="1" s="1"/>
  <c r="K521" i="1" s="1"/>
  <c r="E532" i="1"/>
  <c r="F532" i="1" s="1"/>
  <c r="K532" i="1" s="1"/>
  <c r="E530" i="1"/>
  <c r="F530" i="1" s="1"/>
  <c r="K530" i="1" s="1"/>
  <c r="E827" i="1"/>
  <c r="F827" i="1" s="1"/>
  <c r="K827" i="1" s="1"/>
  <c r="E817" i="1"/>
  <c r="F817" i="1" s="1"/>
  <c r="K817" i="1" s="1"/>
  <c r="E822" i="1"/>
  <c r="F822" i="1" s="1"/>
  <c r="K822" i="1" s="1"/>
  <c r="E828" i="1"/>
  <c r="F828" i="1" s="1"/>
  <c r="K828" i="1" s="1"/>
  <c r="E830" i="1"/>
  <c r="F830" i="1" s="1"/>
  <c r="K830" i="1" s="1"/>
  <c r="E824" i="1"/>
  <c r="F824" i="1" s="1"/>
  <c r="K824" i="1" s="1"/>
  <c r="E821" i="1"/>
  <c r="F821" i="1" s="1"/>
  <c r="K821" i="1" s="1"/>
  <c r="E826" i="1"/>
  <c r="F826" i="1" s="1"/>
  <c r="K826" i="1" s="1"/>
  <c r="E820" i="1"/>
  <c r="F820" i="1" s="1"/>
  <c r="K820" i="1" s="1"/>
  <c r="E833" i="1"/>
  <c r="F833" i="1" s="1"/>
  <c r="K833" i="1" s="1"/>
  <c r="E832" i="1"/>
  <c r="F832" i="1" s="1"/>
  <c r="K832" i="1" s="1"/>
  <c r="E819" i="1"/>
  <c r="F819" i="1" s="1"/>
  <c r="K819" i="1" s="1"/>
  <c r="E837" i="1"/>
  <c r="F837" i="1" s="1"/>
  <c r="K837" i="1" s="1"/>
  <c r="E823" i="1"/>
  <c r="F823" i="1" s="1"/>
  <c r="K823" i="1" s="1"/>
  <c r="E831" i="1"/>
  <c r="F831" i="1" s="1"/>
  <c r="K831" i="1" s="1"/>
  <c r="E816" i="1"/>
  <c r="F816" i="1" s="1"/>
  <c r="K816" i="1" s="1"/>
  <c r="E814" i="1"/>
  <c r="F814" i="1" s="1"/>
  <c r="K814" i="1" s="1"/>
  <c r="E825" i="1"/>
  <c r="F825" i="1" s="1"/>
  <c r="K825" i="1" s="1"/>
  <c r="E829" i="1"/>
  <c r="F829" i="1" s="1"/>
  <c r="K829" i="1" s="1"/>
  <c r="E815" i="1"/>
  <c r="F815" i="1" s="1"/>
  <c r="K815" i="1" s="1"/>
  <c r="E834" i="1"/>
  <c r="F834" i="1" s="1"/>
  <c r="K834" i="1" s="1"/>
  <c r="E947" i="1"/>
  <c r="F947" i="1" s="1"/>
  <c r="K947" i="1" s="1"/>
  <c r="E951" i="1"/>
  <c r="F951" i="1" s="1"/>
  <c r="K951" i="1" s="1"/>
  <c r="E950" i="1"/>
  <c r="F950" i="1" s="1"/>
  <c r="K950" i="1" s="1"/>
  <c r="E952" i="1"/>
  <c r="F952" i="1" s="1"/>
  <c r="K952" i="1" s="1"/>
  <c r="E953" i="1"/>
  <c r="F953" i="1" s="1"/>
  <c r="K953" i="1" s="1"/>
  <c r="E949" i="1"/>
  <c r="F949" i="1" s="1"/>
  <c r="K949" i="1" s="1"/>
  <c r="E948" i="1"/>
  <c r="F948" i="1" s="1"/>
  <c r="K948" i="1" s="1"/>
  <c r="E550" i="1"/>
  <c r="F550" i="1" s="1"/>
  <c r="K550" i="1" s="1"/>
  <c r="E538" i="1"/>
  <c r="F538" i="1" s="1"/>
  <c r="K538" i="1" s="1"/>
  <c r="E549" i="1"/>
  <c r="F549" i="1" s="1"/>
  <c r="K549" i="1" s="1"/>
  <c r="E534" i="1"/>
  <c r="F534" i="1" s="1"/>
  <c r="K534" i="1" s="1"/>
  <c r="E543" i="1"/>
  <c r="F543" i="1" s="1"/>
  <c r="K543" i="1" s="1"/>
  <c r="E545" i="1"/>
  <c r="F545" i="1" s="1"/>
  <c r="K545" i="1" s="1"/>
  <c r="E542" i="1"/>
  <c r="F542" i="1" s="1"/>
  <c r="K542" i="1" s="1"/>
  <c r="E544" i="1"/>
  <c r="F544" i="1" s="1"/>
  <c r="K544" i="1" s="1"/>
  <c r="E533" i="1"/>
  <c r="F533" i="1" s="1"/>
  <c r="K533" i="1" s="1"/>
  <c r="E539" i="1"/>
  <c r="F539" i="1" s="1"/>
  <c r="K539" i="1" s="1"/>
  <c r="E540" i="1"/>
  <c r="F540" i="1" s="1"/>
  <c r="K540" i="1" s="1"/>
  <c r="E535" i="1"/>
  <c r="F535" i="1" s="1"/>
  <c r="K535" i="1" s="1"/>
  <c r="E537" i="1"/>
  <c r="F537" i="1" s="1"/>
  <c r="K537" i="1" s="1"/>
  <c r="E536" i="1"/>
  <c r="F536" i="1" s="1"/>
  <c r="K536" i="1" s="1"/>
  <c r="E546" i="1"/>
  <c r="F546" i="1" s="1"/>
  <c r="K546" i="1" s="1"/>
  <c r="E547" i="1"/>
  <c r="F547" i="1" s="1"/>
  <c r="K547" i="1" s="1"/>
  <c r="E548" i="1"/>
  <c r="F548" i="1" s="1"/>
  <c r="K548" i="1" s="1"/>
  <c r="D977" i="1"/>
  <c r="D973" i="1"/>
  <c r="D982" i="1"/>
  <c r="D983" i="1"/>
  <c r="D972" i="1"/>
  <c r="D971" i="1"/>
  <c r="D988" i="1"/>
  <c r="D989" i="1"/>
  <c r="D525" i="1"/>
  <c r="D528" i="1"/>
  <c r="D522" i="1"/>
  <c r="D524" i="1"/>
  <c r="D527" i="1"/>
  <c r="D519" i="1"/>
  <c r="D523" i="1"/>
  <c r="D520" i="1"/>
  <c r="D518" i="1"/>
  <c r="D526" i="1"/>
  <c r="D529" i="1"/>
  <c r="D517" i="1"/>
  <c r="D521" i="1"/>
  <c r="D532" i="1"/>
  <c r="D531" i="1"/>
  <c r="D530" i="1"/>
  <c r="D516" i="1"/>
  <c r="D827" i="1"/>
  <c r="D817" i="1"/>
  <c r="D822" i="1"/>
  <c r="D828" i="1"/>
  <c r="D830" i="1"/>
  <c r="D824" i="1"/>
  <c r="D821" i="1"/>
  <c r="D826" i="1"/>
  <c r="D820" i="1"/>
  <c r="D835" i="1"/>
  <c r="D833" i="1"/>
  <c r="D832" i="1"/>
  <c r="D819" i="1"/>
  <c r="D837" i="1"/>
  <c r="D836" i="1"/>
  <c r="D823" i="1"/>
  <c r="D831" i="1"/>
  <c r="D816" i="1"/>
  <c r="D814" i="1"/>
  <c r="D825" i="1"/>
  <c r="D829" i="1"/>
  <c r="D818" i="1"/>
  <c r="D838" i="1"/>
  <c r="D815" i="1"/>
  <c r="D834" i="1"/>
  <c r="D947" i="1"/>
  <c r="D951" i="1"/>
  <c r="D950" i="1"/>
  <c r="D952" i="1"/>
  <c r="D953" i="1"/>
  <c r="D949" i="1"/>
  <c r="D948" i="1"/>
  <c r="D550" i="1"/>
  <c r="D538" i="1"/>
  <c r="D549" i="1"/>
  <c r="D534" i="1"/>
  <c r="D543" i="1"/>
  <c r="D545" i="1"/>
  <c r="D542" i="1"/>
  <c r="D544" i="1"/>
  <c r="D533" i="1"/>
  <c r="D539" i="1"/>
  <c r="D540" i="1"/>
  <c r="D535" i="1"/>
  <c r="D537" i="1"/>
  <c r="D541" i="1"/>
  <c r="D536" i="1"/>
  <c r="D546" i="1"/>
  <c r="D547" i="1"/>
  <c r="D548" i="1"/>
  <c r="D125" i="1"/>
  <c r="D137" i="1"/>
  <c r="D122" i="1"/>
  <c r="D121" i="1"/>
  <c r="D141" i="1"/>
  <c r="D144" i="1"/>
  <c r="D143" i="1"/>
  <c r="D147" i="1"/>
  <c r="D112" i="1"/>
  <c r="D113" i="1"/>
  <c r="D140" i="1"/>
  <c r="D146" i="1"/>
  <c r="D117" i="1"/>
  <c r="D60" i="1"/>
  <c r="D16" i="1"/>
  <c r="D38" i="1"/>
  <c r="D58" i="1"/>
  <c r="D54" i="1"/>
  <c r="D55" i="1"/>
  <c r="D51" i="1"/>
  <c r="D30" i="1"/>
  <c r="D14" i="1"/>
  <c r="D10" i="1"/>
  <c r="D21" i="1"/>
  <c r="D18" i="1"/>
  <c r="D46" i="1"/>
  <c r="D49" i="1"/>
  <c r="D61" i="1"/>
  <c r="D62" i="1"/>
  <c r="D52" i="1"/>
  <c r="D13" i="1"/>
  <c r="D40" i="1"/>
  <c r="D17" i="1"/>
  <c r="D15" i="1"/>
  <c r="D53" i="1"/>
  <c r="D64" i="1"/>
  <c r="D36" i="1"/>
  <c r="D63" i="1"/>
  <c r="D59" i="1"/>
  <c r="D48" i="1"/>
  <c r="D50" i="1"/>
  <c r="D25" i="1"/>
  <c r="D45" i="1"/>
  <c r="D24" i="1"/>
  <c r="D56" i="1"/>
  <c r="D47" i="1"/>
  <c r="D42" i="1"/>
  <c r="D43" i="1"/>
  <c r="D39" i="1"/>
  <c r="D20" i="1"/>
  <c r="D41" i="1"/>
  <c r="D33" i="1"/>
  <c r="D2" i="1"/>
  <c r="D12" i="1"/>
  <c r="D3" i="1"/>
  <c r="D4" i="1"/>
  <c r="D28" i="1"/>
  <c r="D31" i="1"/>
  <c r="D9" i="1"/>
  <c r="D34" i="1"/>
  <c r="D5" i="1"/>
  <c r="D44" i="1"/>
  <c r="D22" i="1"/>
  <c r="D19" i="1"/>
  <c r="D35" i="1"/>
  <c r="D8" i="1"/>
  <c r="D11" i="1"/>
  <c r="D37" i="1"/>
  <c r="D7" i="1"/>
  <c r="D6" i="1"/>
  <c r="D32" i="1"/>
  <c r="D57" i="1"/>
  <c r="D23" i="1"/>
  <c r="D26" i="1"/>
  <c r="D27" i="1"/>
  <c r="D29" i="1"/>
  <c r="D892" i="1"/>
  <c r="D893" i="1"/>
  <c r="D890" i="1"/>
  <c r="D891" i="1"/>
  <c r="D896" i="1"/>
  <c r="D882" i="1"/>
  <c r="D883" i="1"/>
  <c r="D877" i="1"/>
  <c r="D898" i="1"/>
  <c r="D888" i="1"/>
  <c r="D886" i="1"/>
  <c r="D884" i="1"/>
  <c r="D880" i="1"/>
  <c r="D887" i="1"/>
  <c r="D889" i="1"/>
  <c r="D879" i="1"/>
  <c r="D897" i="1"/>
  <c r="D878" i="1"/>
  <c r="D881" i="1"/>
  <c r="D894" i="1"/>
  <c r="D885" i="1"/>
  <c r="D899" i="1"/>
  <c r="D895" i="1"/>
  <c r="D778" i="1"/>
  <c r="D787" i="1"/>
  <c r="D775" i="1"/>
  <c r="D768" i="1"/>
  <c r="D783" i="1"/>
  <c r="D786" i="1"/>
  <c r="D777" i="1"/>
  <c r="D785" i="1"/>
  <c r="D781" i="1"/>
  <c r="D776" i="1"/>
  <c r="D784" i="1"/>
  <c r="D769" i="1"/>
  <c r="D782" i="1"/>
  <c r="D773" i="1"/>
  <c r="D770" i="1"/>
  <c r="D767" i="1"/>
  <c r="D772" i="1"/>
  <c r="D779" i="1"/>
  <c r="D765" i="1"/>
  <c r="D774" i="1"/>
  <c r="D780" i="1"/>
  <c r="D771" i="1"/>
  <c r="D766" i="1"/>
  <c r="D651" i="1"/>
  <c r="D645" i="1"/>
  <c r="D650" i="1"/>
  <c r="D652" i="1"/>
  <c r="D649" i="1"/>
  <c r="D646" i="1"/>
  <c r="D648" i="1"/>
  <c r="D647" i="1"/>
  <c r="D643" i="1"/>
  <c r="D653" i="1"/>
  <c r="D644" i="1"/>
  <c r="D654" i="1"/>
  <c r="D663" i="1"/>
  <c r="D670" i="1"/>
  <c r="D662" i="1"/>
  <c r="D657" i="1"/>
  <c r="D665" i="1"/>
  <c r="D658" i="1"/>
  <c r="D655" i="1"/>
  <c r="D660" i="1"/>
  <c r="D666" i="1"/>
  <c r="D668" i="1"/>
  <c r="D667" i="1"/>
  <c r="D659" i="1"/>
  <c r="D656" i="1"/>
  <c r="D661" i="1"/>
  <c r="D664" i="1"/>
  <c r="D669" i="1"/>
  <c r="D873" i="1"/>
  <c r="D857" i="1"/>
  <c r="D876" i="1"/>
  <c r="D875" i="1"/>
  <c r="D874" i="1"/>
  <c r="D865" i="1"/>
  <c r="D870" i="1"/>
  <c r="D862" i="1"/>
  <c r="D869" i="1"/>
  <c r="D871" i="1"/>
  <c r="D855" i="1"/>
  <c r="D864" i="1"/>
  <c r="D860" i="1"/>
  <c r="D866" i="1"/>
  <c r="D856" i="1"/>
  <c r="D863" i="1"/>
  <c r="D861" i="1"/>
  <c r="D858" i="1"/>
  <c r="D859" i="1"/>
  <c r="D868" i="1"/>
  <c r="D872" i="1"/>
  <c r="D867" i="1"/>
  <c r="D739" i="1"/>
  <c r="D728" i="1"/>
  <c r="D747" i="1"/>
  <c r="D725" i="1"/>
  <c r="D749" i="1"/>
  <c r="D748" i="1"/>
  <c r="D750" i="1"/>
  <c r="D731" i="1"/>
  <c r="D751" i="1"/>
  <c r="D735" i="1"/>
  <c r="D722" i="1"/>
  <c r="D738" i="1"/>
  <c r="D723" i="1"/>
  <c r="D736" i="1"/>
  <c r="D719" i="1"/>
  <c r="D733" i="1"/>
  <c r="D745" i="1"/>
  <c r="D743" i="1"/>
  <c r="D724" i="1"/>
  <c r="D732" i="1"/>
  <c r="D727" i="1"/>
  <c r="D726" i="1"/>
  <c r="D746" i="1"/>
  <c r="D737" i="1"/>
  <c r="D742" i="1"/>
  <c r="D729" i="1"/>
  <c r="D721" i="1"/>
  <c r="D741" i="1"/>
  <c r="D720" i="1"/>
  <c r="D734" i="1"/>
  <c r="D740" i="1"/>
  <c r="D730" i="1"/>
  <c r="D744" i="1"/>
  <c r="D470" i="1"/>
  <c r="D471" i="1"/>
  <c r="D476" i="1"/>
  <c r="D255" i="1"/>
  <c r="D482" i="1"/>
  <c r="D481" i="1"/>
  <c r="D484" i="1"/>
  <c r="D475" i="1"/>
  <c r="D259" i="1"/>
  <c r="D260" i="1"/>
  <c r="D473" i="1"/>
  <c r="D478" i="1"/>
  <c r="D480" i="1"/>
  <c r="D252" i="1"/>
  <c r="D477" i="1"/>
  <c r="D479" i="1"/>
  <c r="D472" i="1"/>
  <c r="D474" i="1"/>
  <c r="D253" i="1"/>
  <c r="D717" i="1"/>
  <c r="D718" i="1"/>
  <c r="D258" i="1"/>
  <c r="D254" i="1"/>
  <c r="D551" i="1"/>
  <c r="D257" i="1"/>
  <c r="D256" i="1"/>
  <c r="D421" i="1"/>
  <c r="D251" i="1"/>
  <c r="D483" i="1"/>
  <c r="D469" i="1"/>
  <c r="D507" i="1"/>
  <c r="D485" i="1"/>
  <c r="D508" i="1"/>
  <c r="D503" i="1"/>
  <c r="D505" i="1"/>
  <c r="D488" i="1"/>
  <c r="D504" i="1"/>
  <c r="D486" i="1"/>
  <c r="D487" i="1"/>
  <c r="D495" i="1"/>
  <c r="D499" i="1"/>
  <c r="D490" i="1"/>
  <c r="D496" i="1"/>
  <c r="D506" i="1"/>
  <c r="D515" i="1"/>
  <c r="D498" i="1"/>
  <c r="D513" i="1"/>
  <c r="D512" i="1"/>
  <c r="D491" i="1"/>
  <c r="D497" i="1"/>
  <c r="D502" i="1"/>
  <c r="D925" i="1"/>
  <c r="D493" i="1"/>
  <c r="D510" i="1"/>
  <c r="D511" i="1"/>
  <c r="D924" i="1"/>
  <c r="D500" i="1"/>
  <c r="D514" i="1"/>
  <c r="D492" i="1"/>
  <c r="D509" i="1"/>
  <c r="D489" i="1"/>
  <c r="D494" i="1"/>
  <c r="D501" i="1"/>
  <c r="D199" i="1"/>
  <c r="D195" i="1"/>
  <c r="D194" i="1"/>
  <c r="D189" i="1"/>
  <c r="D197" i="1"/>
  <c r="D192" i="1"/>
  <c r="D196" i="1"/>
  <c r="D183" i="1"/>
  <c r="D190" i="1"/>
  <c r="D187" i="1"/>
  <c r="D198" i="1"/>
  <c r="D171" i="1"/>
  <c r="D182" i="1"/>
  <c r="D170" i="1"/>
  <c r="D181" i="1"/>
  <c r="D186" i="1"/>
  <c r="D176" i="1"/>
  <c r="D188" i="1"/>
  <c r="D172" i="1"/>
  <c r="D175" i="1"/>
  <c r="D191" i="1"/>
  <c r="D179" i="1"/>
  <c r="D177" i="1"/>
  <c r="D184" i="1"/>
  <c r="D174" i="1"/>
  <c r="D173" i="1"/>
  <c r="D178" i="1"/>
  <c r="D201" i="1"/>
  <c r="D202" i="1"/>
  <c r="D204" i="1"/>
  <c r="D180" i="1"/>
  <c r="D203" i="1"/>
  <c r="D185" i="1"/>
  <c r="D200" i="1"/>
  <c r="D169" i="1"/>
  <c r="D193" i="1"/>
  <c r="D206" i="1"/>
  <c r="D207" i="1"/>
  <c r="D205" i="1"/>
  <c r="D799" i="1"/>
  <c r="D803" i="1"/>
  <c r="D808" i="1"/>
  <c r="D807" i="1"/>
  <c r="D801" i="1"/>
  <c r="D804" i="1"/>
  <c r="D797" i="1"/>
  <c r="D802" i="1"/>
  <c r="D793" i="1"/>
  <c r="D792" i="1"/>
  <c r="D574" i="1"/>
  <c r="D798" i="1"/>
  <c r="D789" i="1"/>
  <c r="D796" i="1"/>
  <c r="D794" i="1"/>
  <c r="D813" i="1"/>
  <c r="D811" i="1"/>
  <c r="D795" i="1"/>
  <c r="D809" i="1"/>
  <c r="D800" i="1"/>
  <c r="D812" i="1"/>
  <c r="D805" i="1"/>
  <c r="D788" i="1"/>
  <c r="D595" i="1"/>
  <c r="D806" i="1"/>
  <c r="D810" i="1"/>
  <c r="D791" i="1"/>
  <c r="D790" i="1"/>
  <c r="D168" i="1"/>
  <c r="D957" i="1"/>
  <c r="D960" i="1"/>
  <c r="D954" i="1"/>
  <c r="D963" i="1"/>
  <c r="D961" i="1"/>
  <c r="D967" i="1"/>
  <c r="D968" i="1"/>
  <c r="D956" i="1"/>
  <c r="D965" i="1"/>
  <c r="D959" i="1"/>
  <c r="D962" i="1"/>
  <c r="D964" i="1"/>
  <c r="D966" i="1"/>
  <c r="D969" i="1"/>
  <c r="D955" i="1"/>
  <c r="D958" i="1"/>
  <c r="D348" i="1"/>
  <c r="D349" i="1"/>
  <c r="D351" i="1"/>
  <c r="D355" i="1"/>
  <c r="D344" i="1"/>
  <c r="D366" i="1"/>
  <c r="D343" i="1"/>
  <c r="D358" i="1"/>
  <c r="D350" i="1"/>
  <c r="D356" i="1"/>
  <c r="D354" i="1"/>
  <c r="D340" i="1"/>
  <c r="D357" i="1"/>
  <c r="D345" i="1"/>
  <c r="D347" i="1"/>
  <c r="D353" i="1"/>
  <c r="D342" i="1"/>
  <c r="D352" i="1"/>
  <c r="D346" i="1"/>
  <c r="D341" i="1"/>
  <c r="D910" i="1"/>
  <c r="D900" i="1"/>
  <c r="D913" i="1"/>
  <c r="D909" i="1"/>
  <c r="D901" i="1"/>
  <c r="D912" i="1"/>
  <c r="D915" i="1"/>
  <c r="D902" i="1"/>
  <c r="D911" i="1"/>
  <c r="D903" i="1"/>
  <c r="D905" i="1"/>
  <c r="D904" i="1"/>
  <c r="D906" i="1"/>
  <c r="D914" i="1"/>
  <c r="D908" i="1"/>
  <c r="D907" i="1"/>
  <c r="D422" i="1"/>
  <c r="D431" i="1"/>
  <c r="D464" i="1"/>
  <c r="D428" i="1"/>
  <c r="D440" i="1"/>
  <c r="D448" i="1"/>
  <c r="D455" i="1"/>
  <c r="D426" i="1"/>
  <c r="D468" i="1"/>
  <c r="D449" i="1"/>
  <c r="D463" i="1"/>
  <c r="D436" i="1"/>
  <c r="D433" i="1"/>
  <c r="D441" i="1"/>
  <c r="D444" i="1"/>
  <c r="D462" i="1"/>
  <c r="D457" i="1"/>
  <c r="D445" i="1"/>
  <c r="D458" i="1"/>
  <c r="D446" i="1"/>
  <c r="D439" i="1"/>
  <c r="D443" i="1"/>
  <c r="D451" i="1"/>
  <c r="D429" i="1"/>
  <c r="D466" i="1"/>
  <c r="D452" i="1"/>
  <c r="D423" i="1"/>
  <c r="D467" i="1"/>
  <c r="D434" i="1"/>
  <c r="D459" i="1"/>
  <c r="D450" i="1"/>
  <c r="D435" i="1"/>
  <c r="D456" i="1"/>
  <c r="D442" i="1"/>
  <c r="D461" i="1"/>
  <c r="D432" i="1"/>
  <c r="D465" i="1"/>
  <c r="D438" i="1"/>
  <c r="D460" i="1"/>
  <c r="D447" i="1"/>
  <c r="D424" i="1"/>
  <c r="D437" i="1"/>
  <c r="D427" i="1"/>
  <c r="D453" i="1"/>
  <c r="D425" i="1"/>
  <c r="D430" i="1"/>
  <c r="D454" i="1"/>
  <c r="D68" i="1"/>
  <c r="D65" i="1"/>
  <c r="D69" i="1"/>
  <c r="D72" i="1"/>
  <c r="D73" i="1"/>
  <c r="D70" i="1"/>
  <c r="D76" i="1"/>
  <c r="D67" i="1"/>
  <c r="D66" i="1"/>
  <c r="D77" i="1"/>
  <c r="D75" i="1"/>
  <c r="D375" i="1"/>
  <c r="D374" i="1"/>
  <c r="D372" i="1"/>
  <c r="D376" i="1"/>
  <c r="D377" i="1"/>
  <c r="D367" i="1"/>
  <c r="D368" i="1"/>
  <c r="D382" i="1"/>
  <c r="D371" i="1"/>
  <c r="D383" i="1"/>
  <c r="D373" i="1"/>
  <c r="D370" i="1"/>
  <c r="D379" i="1"/>
  <c r="D381" i="1"/>
  <c r="D380" i="1"/>
  <c r="D369" i="1"/>
  <c r="D378" i="1"/>
  <c r="D994" i="1"/>
  <c r="D1000" i="1"/>
  <c r="D1001" i="1"/>
  <c r="D992" i="1"/>
  <c r="D995" i="1"/>
  <c r="D1002" i="1"/>
  <c r="D1003" i="1"/>
  <c r="D993" i="1"/>
  <c r="D999" i="1"/>
  <c r="D997" i="1"/>
  <c r="D990" i="1"/>
  <c r="D991" i="1"/>
  <c r="D996" i="1"/>
  <c r="D998" i="1"/>
  <c r="D609" i="1"/>
  <c r="D611" i="1"/>
  <c r="D606" i="1"/>
  <c r="D612" i="1"/>
  <c r="D623" i="1"/>
  <c r="D615" i="1"/>
  <c r="D636" i="1"/>
  <c r="D642" i="1"/>
  <c r="D632" i="1"/>
  <c r="D626" i="1"/>
  <c r="D629" i="1"/>
  <c r="D420" i="1"/>
  <c r="D604" i="1"/>
  <c r="D630" i="1"/>
  <c r="D634" i="1"/>
  <c r="D618" i="1"/>
  <c r="D605" i="1"/>
  <c r="D641" i="1"/>
  <c r="D620" i="1"/>
  <c r="D635" i="1"/>
  <c r="D637" i="1"/>
  <c r="D610" i="1"/>
  <c r="D614" i="1"/>
  <c r="D619" i="1"/>
  <c r="D608" i="1"/>
  <c r="D622" i="1"/>
  <c r="D607" i="1"/>
  <c r="D638" i="1"/>
  <c r="D639" i="1"/>
  <c r="D633" i="1"/>
  <c r="D624" i="1"/>
  <c r="D625" i="1"/>
  <c r="D627" i="1"/>
  <c r="D617" i="1"/>
  <c r="D628" i="1"/>
  <c r="D631" i="1"/>
  <c r="D621" i="1"/>
  <c r="D640" i="1"/>
  <c r="D613" i="1"/>
  <c r="D616" i="1"/>
  <c r="D413" i="1"/>
  <c r="D402" i="1"/>
  <c r="D403" i="1"/>
  <c r="D396" i="1"/>
  <c r="D399" i="1"/>
  <c r="D395" i="1"/>
  <c r="D416" i="1"/>
  <c r="D411" i="1"/>
  <c r="D414" i="1"/>
  <c r="D397" i="1"/>
  <c r="D400" i="1"/>
  <c r="D412" i="1"/>
  <c r="D401" i="1"/>
  <c r="D415" i="1"/>
  <c r="D406" i="1"/>
  <c r="D398" i="1"/>
  <c r="D410" i="1"/>
  <c r="D409" i="1"/>
  <c r="D394" i="1"/>
  <c r="D405" i="1"/>
  <c r="D404" i="1"/>
  <c r="D408" i="1"/>
  <c r="D407" i="1"/>
  <c r="D987" i="1"/>
  <c r="D975" i="1"/>
  <c r="D985" i="1"/>
  <c r="D976" i="1"/>
  <c r="D986" i="1"/>
  <c r="D984" i="1"/>
  <c r="D981" i="1"/>
  <c r="D978" i="1"/>
  <c r="D979" i="1"/>
  <c r="D980" i="1"/>
  <c r="D970" i="1"/>
  <c r="D974" i="1"/>
  <c r="D135" i="1"/>
  <c r="D142" i="1"/>
  <c r="D115" i="1"/>
  <c r="D130" i="1"/>
  <c r="D131" i="1"/>
  <c r="D133" i="1"/>
  <c r="D126" i="1"/>
  <c r="D139" i="1"/>
  <c r="D150" i="1"/>
  <c r="D136" i="1"/>
  <c r="D127" i="1"/>
  <c r="D116" i="1"/>
  <c r="D145" i="1"/>
  <c r="D134" i="1"/>
  <c r="D151" i="1"/>
  <c r="D138" i="1"/>
  <c r="D124" i="1"/>
  <c r="D148" i="1"/>
  <c r="D123" i="1"/>
  <c r="D132" i="1"/>
  <c r="D129" i="1"/>
  <c r="D128" i="1"/>
  <c r="D119" i="1"/>
  <c r="D118" i="1"/>
  <c r="D149" i="1"/>
  <c r="D120" i="1"/>
  <c r="D114" i="1"/>
  <c r="G78" i="1" a="1"/>
  <c r="G78" i="1" s="1"/>
  <c r="H78" i="1" s="1"/>
  <c r="I78" i="1" s="1"/>
  <c r="G79" i="1" a="1"/>
  <c r="G79" i="1" s="1"/>
  <c r="H79" i="1" s="1"/>
  <c r="I79" i="1" s="1"/>
  <c r="G80" i="1" a="1"/>
  <c r="G80" i="1" s="1"/>
  <c r="H80" i="1" s="1"/>
  <c r="I80" i="1" s="1"/>
  <c r="G81" i="1" a="1"/>
  <c r="G81" i="1" s="1"/>
  <c r="H81" i="1" s="1"/>
  <c r="I81" i="1" s="1"/>
  <c r="G82" i="1" a="1"/>
  <c r="G82" i="1" s="1"/>
  <c r="H82" i="1" s="1"/>
  <c r="I82" i="1" s="1"/>
  <c r="G83" i="1" a="1"/>
  <c r="G83" i="1" s="1"/>
  <c r="H83" i="1" s="1"/>
  <c r="I83" i="1" s="1"/>
  <c r="G84" i="1" a="1"/>
  <c r="G84" i="1" s="1"/>
  <c r="H84" i="1" s="1"/>
  <c r="I84" i="1" s="1"/>
  <c r="G85" i="1" a="1"/>
  <c r="G85" i="1" s="1"/>
  <c r="H85" i="1" s="1"/>
  <c r="I85" i="1" s="1"/>
  <c r="G86" i="1" a="1"/>
  <c r="G86" i="1" s="1"/>
  <c r="H86" i="1" s="1"/>
  <c r="I86" i="1" s="1"/>
  <c r="G87" i="1" a="1"/>
  <c r="G87" i="1" s="1"/>
  <c r="H87" i="1" s="1"/>
  <c r="I87" i="1" s="1"/>
  <c r="G88" i="1" a="1"/>
  <c r="G88" i="1" s="1"/>
  <c r="H88" i="1" s="1"/>
  <c r="I88" i="1" s="1"/>
  <c r="G89" i="1" a="1"/>
  <c r="G89" i="1" s="1"/>
  <c r="H89" i="1" s="1"/>
  <c r="I89" i="1" s="1"/>
  <c r="G90" i="1" a="1"/>
  <c r="G90" i="1" s="1"/>
  <c r="H90" i="1" s="1"/>
  <c r="I90" i="1" s="1"/>
  <c r="G91" i="1" a="1"/>
  <c r="G91" i="1" s="1"/>
  <c r="H91" i="1" s="1"/>
  <c r="I91" i="1" s="1"/>
  <c r="G92" i="1" a="1"/>
  <c r="G92" i="1" s="1"/>
  <c r="H92" i="1" s="1"/>
  <c r="I92" i="1" s="1"/>
  <c r="G93" i="1" a="1"/>
  <c r="G93" i="1" s="1"/>
  <c r="H93" i="1" s="1"/>
  <c r="I93" i="1" s="1"/>
  <c r="G94" i="1" a="1"/>
  <c r="G94" i="1" s="1"/>
  <c r="H94" i="1" s="1"/>
  <c r="I94" i="1" s="1"/>
  <c r="G95" i="1" a="1"/>
  <c r="G95" i="1" s="1"/>
  <c r="H95" i="1" s="1"/>
  <c r="I95" i="1" s="1"/>
  <c r="G96" i="1" a="1"/>
  <c r="G96" i="1" s="1"/>
  <c r="H96" i="1" s="1"/>
  <c r="I96" i="1" s="1"/>
  <c r="G97" i="1" a="1"/>
  <c r="G97" i="1" s="1"/>
  <c r="H97" i="1" s="1"/>
  <c r="I97" i="1" s="1"/>
  <c r="G98" i="1" a="1"/>
  <c r="G98" i="1" s="1"/>
  <c r="H98" i="1" s="1"/>
  <c r="I98" i="1" s="1"/>
  <c r="G99" i="1" a="1"/>
  <c r="G99" i="1" s="1"/>
  <c r="H99" i="1" s="1"/>
  <c r="I99" i="1" s="1"/>
  <c r="G100" i="1" a="1"/>
  <c r="G100" i="1" s="1"/>
  <c r="H100" i="1" s="1"/>
  <c r="I100" i="1" s="1"/>
  <c r="G101" i="1" a="1"/>
  <c r="G101" i="1" s="1"/>
  <c r="H101" i="1" s="1"/>
  <c r="I101" i="1" s="1"/>
  <c r="G102" i="1" a="1"/>
  <c r="G102" i="1" s="1"/>
  <c r="H102" i="1" s="1"/>
  <c r="I102" i="1" s="1"/>
  <c r="G103" i="1" a="1"/>
  <c r="G103" i="1" s="1"/>
  <c r="H103" i="1" s="1"/>
  <c r="I103" i="1" s="1"/>
  <c r="G104" i="1" a="1"/>
  <c r="G104" i="1" s="1"/>
  <c r="H104" i="1" s="1"/>
  <c r="I104" i="1" s="1"/>
  <c r="G105" i="1" a="1"/>
  <c r="G105" i="1" s="1"/>
  <c r="H105" i="1" s="1"/>
  <c r="I105" i="1" s="1"/>
  <c r="G106" i="1" a="1"/>
  <c r="G106" i="1" s="1"/>
  <c r="H106" i="1" s="1"/>
  <c r="I106" i="1" s="1"/>
  <c r="G107" i="1" a="1"/>
  <c r="G107" i="1" s="1"/>
  <c r="H107" i="1" s="1"/>
  <c r="I107" i="1" s="1"/>
  <c r="G108" i="1" a="1"/>
  <c r="G108" i="1" s="1"/>
  <c r="H108" i="1" s="1"/>
  <c r="I108" i="1" s="1"/>
  <c r="G109" i="1" a="1"/>
  <c r="G109" i="1" s="1"/>
  <c r="H109" i="1" s="1"/>
  <c r="I109" i="1" s="1"/>
  <c r="G110" i="1" a="1"/>
  <c r="G110" i="1" s="1"/>
  <c r="H110" i="1" s="1"/>
  <c r="I110" i="1" s="1"/>
  <c r="G111" i="1" a="1"/>
  <c r="G111" i="1" s="1"/>
  <c r="H111" i="1" s="1"/>
  <c r="I111" i="1" s="1"/>
  <c r="G152" i="1" a="1"/>
  <c r="G152" i="1" s="1"/>
  <c r="H152" i="1" s="1"/>
  <c r="I152" i="1" s="1"/>
  <c r="G153" i="1" a="1"/>
  <c r="G153" i="1" s="1"/>
  <c r="H153" i="1" s="1"/>
  <c r="I153" i="1" s="1"/>
  <c r="G154" i="1" a="1"/>
  <c r="G154" i="1" s="1"/>
  <c r="H154" i="1" s="1"/>
  <c r="I154" i="1" s="1"/>
  <c r="G155" i="1" a="1"/>
  <c r="G155" i="1" s="1"/>
  <c r="H155" i="1" s="1"/>
  <c r="I155" i="1" s="1"/>
  <c r="G156" i="1" a="1"/>
  <c r="G156" i="1" s="1"/>
  <c r="H156" i="1" s="1"/>
  <c r="I156" i="1" s="1"/>
  <c r="G157" i="1" a="1"/>
  <c r="G157" i="1" s="1"/>
  <c r="H157" i="1" s="1"/>
  <c r="I157" i="1" s="1"/>
  <c r="G158" i="1" a="1"/>
  <c r="G158" i="1" s="1"/>
  <c r="H158" i="1" s="1"/>
  <c r="I158" i="1" s="1"/>
  <c r="G159" i="1" a="1"/>
  <c r="G159" i="1" s="1"/>
  <c r="H159" i="1" s="1"/>
  <c r="I159" i="1" s="1"/>
  <c r="G160" i="1" a="1"/>
  <c r="G160" i="1" s="1"/>
  <c r="H160" i="1" s="1"/>
  <c r="I160" i="1" s="1"/>
  <c r="G161" i="1" a="1"/>
  <c r="G161" i="1" s="1"/>
  <c r="H161" i="1" s="1"/>
  <c r="I161" i="1" s="1"/>
  <c r="G162" i="1" a="1"/>
  <c r="G162" i="1" s="1"/>
  <c r="H162" i="1" s="1"/>
  <c r="I162" i="1" s="1"/>
  <c r="G163" i="1" a="1"/>
  <c r="G163" i="1" s="1"/>
  <c r="H163" i="1" s="1"/>
  <c r="I163" i="1" s="1"/>
  <c r="G164" i="1" a="1"/>
  <c r="G164" i="1" s="1"/>
  <c r="H164" i="1" s="1"/>
  <c r="I164" i="1" s="1"/>
  <c r="G165" i="1" a="1"/>
  <c r="G165" i="1" s="1"/>
  <c r="H165" i="1" s="1"/>
  <c r="I165" i="1" s="1"/>
  <c r="G166" i="1" a="1"/>
  <c r="G166" i="1" s="1"/>
  <c r="H166" i="1" s="1"/>
  <c r="I166" i="1" s="1"/>
  <c r="G167" i="1" a="1"/>
  <c r="G167" i="1" s="1"/>
  <c r="H167" i="1" s="1"/>
  <c r="I167" i="1" s="1"/>
  <c r="G208" i="1" a="1"/>
  <c r="G208" i="1" s="1"/>
  <c r="H208" i="1" s="1"/>
  <c r="I208" i="1" s="1"/>
  <c r="G209" i="1" a="1"/>
  <c r="G209" i="1" s="1"/>
  <c r="H209" i="1" s="1"/>
  <c r="I209" i="1" s="1"/>
  <c r="G210" i="1" a="1"/>
  <c r="G210" i="1" s="1"/>
  <c r="H210" i="1" s="1"/>
  <c r="I210" i="1" s="1"/>
  <c r="G211" i="1" a="1"/>
  <c r="G211" i="1" s="1"/>
  <c r="H211" i="1" s="1"/>
  <c r="I211" i="1" s="1"/>
  <c r="G213" i="1" a="1"/>
  <c r="G213" i="1" s="1"/>
  <c r="H213" i="1" s="1"/>
  <c r="I213" i="1" s="1"/>
  <c r="G214" i="1" a="1"/>
  <c r="G214" i="1" s="1"/>
  <c r="H214" i="1" s="1"/>
  <c r="I214" i="1" s="1"/>
  <c r="G215" i="1" a="1"/>
  <c r="G215" i="1" s="1"/>
  <c r="H215" i="1" s="1"/>
  <c r="I215" i="1" s="1"/>
  <c r="G216" i="1" a="1"/>
  <c r="G216" i="1" s="1"/>
  <c r="H216" i="1" s="1"/>
  <c r="I216" i="1" s="1"/>
  <c r="G217" i="1" a="1"/>
  <c r="G217" i="1" s="1"/>
  <c r="H217" i="1" s="1"/>
  <c r="I217" i="1" s="1"/>
  <c r="G218" i="1" a="1"/>
  <c r="G218" i="1" s="1"/>
  <c r="H218" i="1" s="1"/>
  <c r="I218" i="1" s="1"/>
  <c r="G219" i="1" a="1"/>
  <c r="G219" i="1" s="1"/>
  <c r="H219" i="1" s="1"/>
  <c r="I219" i="1" s="1"/>
  <c r="G220" i="1" a="1"/>
  <c r="G220" i="1" s="1"/>
  <c r="H220" i="1" s="1"/>
  <c r="I220" i="1" s="1"/>
  <c r="G221" i="1" a="1"/>
  <c r="G221" i="1" s="1"/>
  <c r="H221" i="1" s="1"/>
  <c r="I221" i="1" s="1"/>
  <c r="G222" i="1" a="1"/>
  <c r="G222" i="1" s="1"/>
  <c r="H222" i="1" s="1"/>
  <c r="I222" i="1" s="1"/>
  <c r="G223" i="1" a="1"/>
  <c r="G223" i="1" s="1"/>
  <c r="H223" i="1" s="1"/>
  <c r="I223" i="1" s="1"/>
  <c r="G224" i="1" a="1"/>
  <c r="G224" i="1" s="1"/>
  <c r="H224" i="1" s="1"/>
  <c r="I224" i="1" s="1"/>
  <c r="G225" i="1" a="1"/>
  <c r="G225" i="1" s="1"/>
  <c r="H225" i="1" s="1"/>
  <c r="I225" i="1" s="1"/>
  <c r="G226" i="1" a="1"/>
  <c r="G226" i="1" s="1"/>
  <c r="H226" i="1" s="1"/>
  <c r="I226" i="1" s="1"/>
  <c r="G227" i="1" a="1"/>
  <c r="G227" i="1" s="1"/>
  <c r="H227" i="1" s="1"/>
  <c r="I227" i="1" s="1"/>
  <c r="G228" i="1" a="1"/>
  <c r="G228" i="1" s="1"/>
  <c r="H228" i="1" s="1"/>
  <c r="I228" i="1" s="1"/>
  <c r="G229" i="1" a="1"/>
  <c r="G229" i="1" s="1"/>
  <c r="H229" i="1" s="1"/>
  <c r="I229" i="1" s="1"/>
  <c r="G230" i="1" a="1"/>
  <c r="G230" i="1" s="1"/>
  <c r="H230" i="1" s="1"/>
  <c r="I230" i="1" s="1"/>
  <c r="G231" i="1" a="1"/>
  <c r="G231" i="1" s="1"/>
  <c r="H231" i="1" s="1"/>
  <c r="I231" i="1" s="1"/>
  <c r="G232" i="1" a="1"/>
  <c r="G232" i="1" s="1"/>
  <c r="H232" i="1" s="1"/>
  <c r="I232" i="1" s="1"/>
  <c r="G233" i="1" a="1"/>
  <c r="G233" i="1" s="1"/>
  <c r="H233" i="1" s="1"/>
  <c r="I233" i="1" s="1"/>
  <c r="G234" i="1" a="1"/>
  <c r="G234" i="1" s="1"/>
  <c r="H234" i="1" s="1"/>
  <c r="I234" i="1" s="1"/>
  <c r="G235" i="1" a="1"/>
  <c r="G235" i="1" s="1"/>
  <c r="H235" i="1" s="1"/>
  <c r="I235" i="1" s="1"/>
  <c r="G236" i="1" a="1"/>
  <c r="G236" i="1" s="1"/>
  <c r="H236" i="1" s="1"/>
  <c r="I236" i="1" s="1"/>
  <c r="G237" i="1" a="1"/>
  <c r="G237" i="1" s="1"/>
  <c r="H237" i="1" s="1"/>
  <c r="I237" i="1" s="1"/>
  <c r="G238" i="1" a="1"/>
  <c r="G238" i="1" s="1"/>
  <c r="H238" i="1" s="1"/>
  <c r="I238" i="1" s="1"/>
  <c r="G239" i="1" a="1"/>
  <c r="G239" i="1" s="1"/>
  <c r="H239" i="1" s="1"/>
  <c r="I239" i="1" s="1"/>
  <c r="G240" i="1" a="1"/>
  <c r="G240" i="1" s="1"/>
  <c r="H240" i="1" s="1"/>
  <c r="I240" i="1" s="1"/>
  <c r="G241" i="1" a="1"/>
  <c r="G241" i="1" s="1"/>
  <c r="H241" i="1" s="1"/>
  <c r="I241" i="1" s="1"/>
  <c r="G242" i="1" a="1"/>
  <c r="G242" i="1" s="1"/>
  <c r="H242" i="1" s="1"/>
  <c r="I242" i="1" s="1"/>
  <c r="G243" i="1" a="1"/>
  <c r="G243" i="1" s="1"/>
  <c r="H243" i="1" s="1"/>
  <c r="I243" i="1" s="1"/>
  <c r="G244" i="1" a="1"/>
  <c r="G244" i="1" s="1"/>
  <c r="H244" i="1" s="1"/>
  <c r="I244" i="1" s="1"/>
  <c r="G245" i="1" a="1"/>
  <c r="G245" i="1" s="1"/>
  <c r="H245" i="1" s="1"/>
  <c r="I245" i="1" s="1"/>
  <c r="G246" i="1" a="1"/>
  <c r="G246" i="1" s="1"/>
  <c r="H246" i="1" s="1"/>
  <c r="I246" i="1" s="1"/>
  <c r="G247" i="1" a="1"/>
  <c r="G247" i="1" s="1"/>
  <c r="H247" i="1" s="1"/>
  <c r="I247" i="1" s="1"/>
  <c r="G248" i="1" a="1"/>
  <c r="G248" i="1" s="1"/>
  <c r="H248" i="1" s="1"/>
  <c r="I248" i="1" s="1"/>
  <c r="G249" i="1" a="1"/>
  <c r="G249" i="1" s="1"/>
  <c r="H249" i="1" s="1"/>
  <c r="I249" i="1" s="1"/>
  <c r="G212" i="1" a="1"/>
  <c r="G212" i="1" s="1"/>
  <c r="H212" i="1" s="1"/>
  <c r="I212" i="1" s="1"/>
  <c r="G250" i="1" a="1"/>
  <c r="G250" i="1" s="1"/>
  <c r="H250" i="1" s="1"/>
  <c r="I250" i="1" s="1"/>
  <c r="G261" i="1" a="1"/>
  <c r="G261" i="1" s="1"/>
  <c r="H261" i="1" s="1"/>
  <c r="I261" i="1" s="1"/>
  <c r="G262" i="1" a="1"/>
  <c r="G262" i="1" s="1"/>
  <c r="H262" i="1" s="1"/>
  <c r="I262" i="1" s="1"/>
  <c r="G263" i="1" a="1"/>
  <c r="G263" i="1" s="1"/>
  <c r="H263" i="1" s="1"/>
  <c r="I263" i="1" s="1"/>
  <c r="G264" i="1" a="1"/>
  <c r="G264" i="1" s="1"/>
  <c r="H264" i="1" s="1"/>
  <c r="I264" i="1" s="1"/>
  <c r="G265" i="1" a="1"/>
  <c r="G265" i="1" s="1"/>
  <c r="H265" i="1" s="1"/>
  <c r="I265" i="1" s="1"/>
  <c r="G266" i="1" a="1"/>
  <c r="G266" i="1" s="1"/>
  <c r="H266" i="1" s="1"/>
  <c r="I266" i="1" s="1"/>
  <c r="G267" i="1" a="1"/>
  <c r="G267" i="1" s="1"/>
  <c r="H267" i="1" s="1"/>
  <c r="I267" i="1" s="1"/>
  <c r="G268" i="1" a="1"/>
  <c r="G268" i="1" s="1"/>
  <c r="H268" i="1" s="1"/>
  <c r="I268" i="1" s="1"/>
  <c r="G269" i="1" a="1"/>
  <c r="G269" i="1" s="1"/>
  <c r="H269" i="1" s="1"/>
  <c r="I269" i="1" s="1"/>
  <c r="G270" i="1" a="1"/>
  <c r="G270" i="1" s="1"/>
  <c r="H270" i="1" s="1"/>
  <c r="I270" i="1" s="1"/>
  <c r="G271" i="1" a="1"/>
  <c r="G271" i="1" s="1"/>
  <c r="H271" i="1" s="1"/>
  <c r="I271" i="1" s="1"/>
  <c r="G272" i="1" a="1"/>
  <c r="G272" i="1" s="1"/>
  <c r="H272" i="1" s="1"/>
  <c r="I272" i="1" s="1"/>
  <c r="G273" i="1" a="1"/>
  <c r="G273" i="1" s="1"/>
  <c r="H273" i="1" s="1"/>
  <c r="I273" i="1" s="1"/>
  <c r="G274" i="1" a="1"/>
  <c r="G274" i="1" s="1"/>
  <c r="H274" i="1" s="1"/>
  <c r="I274" i="1" s="1"/>
  <c r="G275" i="1" a="1"/>
  <c r="G275" i="1" s="1"/>
  <c r="H275" i="1" s="1"/>
  <c r="I275" i="1" s="1"/>
  <c r="G276" i="1" a="1"/>
  <c r="G276" i="1" s="1"/>
  <c r="H276" i="1" s="1"/>
  <c r="I276" i="1" s="1"/>
  <c r="G277" i="1" a="1"/>
  <c r="G277" i="1" s="1"/>
  <c r="H277" i="1" s="1"/>
  <c r="I277" i="1" s="1"/>
  <c r="G278" i="1" a="1"/>
  <c r="G278" i="1" s="1"/>
  <c r="H278" i="1" s="1"/>
  <c r="I278" i="1" s="1"/>
  <c r="G279" i="1" a="1"/>
  <c r="G279" i="1" s="1"/>
  <c r="H279" i="1" s="1"/>
  <c r="I279" i="1" s="1"/>
  <c r="G280" i="1" a="1"/>
  <c r="G280" i="1" s="1"/>
  <c r="H280" i="1" s="1"/>
  <c r="I280" i="1" s="1"/>
  <c r="G281" i="1" a="1"/>
  <c r="G281" i="1" s="1"/>
  <c r="H281" i="1" s="1"/>
  <c r="I281" i="1" s="1"/>
  <c r="G282" i="1" a="1"/>
  <c r="G282" i="1" s="1"/>
  <c r="H282" i="1" s="1"/>
  <c r="I282" i="1" s="1"/>
  <c r="G283" i="1" a="1"/>
  <c r="G283" i="1" s="1"/>
  <c r="H283" i="1" s="1"/>
  <c r="I283" i="1" s="1"/>
  <c r="G284" i="1" a="1"/>
  <c r="G284" i="1" s="1"/>
  <c r="H284" i="1" s="1"/>
  <c r="I284" i="1" s="1"/>
  <c r="G285" i="1" a="1"/>
  <c r="G285" i="1" s="1"/>
  <c r="H285" i="1" s="1"/>
  <c r="I285" i="1" s="1"/>
  <c r="G286" i="1" a="1"/>
  <c r="G286" i="1" s="1"/>
  <c r="H286" i="1" s="1"/>
  <c r="I286" i="1" s="1"/>
  <c r="G287" i="1" a="1"/>
  <c r="G287" i="1" s="1"/>
  <c r="H287" i="1" s="1"/>
  <c r="I287" i="1" s="1"/>
  <c r="G288" i="1" a="1"/>
  <c r="G288" i="1" s="1"/>
  <c r="H288" i="1" s="1"/>
  <c r="I288" i="1" s="1"/>
  <c r="G289" i="1" a="1"/>
  <c r="G289" i="1" s="1"/>
  <c r="H289" i="1" s="1"/>
  <c r="I289" i="1" s="1"/>
  <c r="G290" i="1" a="1"/>
  <c r="G290" i="1" s="1"/>
  <c r="H290" i="1" s="1"/>
  <c r="I290" i="1" s="1"/>
  <c r="G291" i="1" a="1"/>
  <c r="G291" i="1" s="1"/>
  <c r="H291" i="1" s="1"/>
  <c r="I291" i="1" s="1"/>
  <c r="G292" i="1" a="1"/>
  <c r="G292" i="1" s="1"/>
  <c r="H292" i="1" s="1"/>
  <c r="I292" i="1" s="1"/>
  <c r="G293" i="1" a="1"/>
  <c r="G293" i="1" s="1"/>
  <c r="H293" i="1" s="1"/>
  <c r="I293" i="1" s="1"/>
  <c r="G294" i="1" a="1"/>
  <c r="G294" i="1" s="1"/>
  <c r="H294" i="1" s="1"/>
  <c r="I294" i="1" s="1"/>
  <c r="G295" i="1" a="1"/>
  <c r="G295" i="1" s="1"/>
  <c r="H295" i="1" s="1"/>
  <c r="I295" i="1" s="1"/>
  <c r="G296" i="1" a="1"/>
  <c r="G296" i="1" s="1"/>
  <c r="H296" i="1" s="1"/>
  <c r="I296" i="1" s="1"/>
  <c r="G297" i="1" a="1"/>
  <c r="G297" i="1" s="1"/>
  <c r="H297" i="1" s="1"/>
  <c r="I297" i="1" s="1"/>
  <c r="G298" i="1" a="1"/>
  <c r="G298" i="1" s="1"/>
  <c r="H298" i="1" s="1"/>
  <c r="I298" i="1" s="1"/>
  <c r="G299" i="1" a="1"/>
  <c r="G299" i="1" s="1"/>
  <c r="H299" i="1" s="1"/>
  <c r="I299" i="1" s="1"/>
  <c r="G300" i="1" a="1"/>
  <c r="G300" i="1" s="1"/>
  <c r="H300" i="1" s="1"/>
  <c r="I300" i="1" s="1"/>
  <c r="G301" i="1" a="1"/>
  <c r="G301" i="1" s="1"/>
  <c r="H301" i="1" s="1"/>
  <c r="I301" i="1" s="1"/>
  <c r="G302" i="1" a="1"/>
  <c r="G302" i="1" s="1"/>
  <c r="H302" i="1" s="1"/>
  <c r="I302" i="1" s="1"/>
  <c r="G303" i="1" a="1"/>
  <c r="G303" i="1" s="1"/>
  <c r="H303" i="1" s="1"/>
  <c r="I303" i="1" s="1"/>
  <c r="G304" i="1" a="1"/>
  <c r="G304" i="1" s="1"/>
  <c r="H304" i="1" s="1"/>
  <c r="I304" i="1" s="1"/>
  <c r="G305" i="1" a="1"/>
  <c r="G305" i="1" s="1"/>
  <c r="H305" i="1" s="1"/>
  <c r="I305" i="1" s="1"/>
  <c r="G306" i="1" a="1"/>
  <c r="G306" i="1" s="1"/>
  <c r="H306" i="1" s="1"/>
  <c r="I306" i="1" s="1"/>
  <c r="G307" i="1" a="1"/>
  <c r="G307" i="1" s="1"/>
  <c r="H307" i="1" s="1"/>
  <c r="I307" i="1" s="1"/>
  <c r="G308" i="1" a="1"/>
  <c r="G308" i="1" s="1"/>
  <c r="H308" i="1" s="1"/>
  <c r="I308" i="1" s="1"/>
  <c r="G309" i="1" a="1"/>
  <c r="G309" i="1" s="1"/>
  <c r="H309" i="1" s="1"/>
  <c r="I309" i="1" s="1"/>
  <c r="G310" i="1" a="1"/>
  <c r="G310" i="1" s="1"/>
  <c r="H310" i="1" s="1"/>
  <c r="I310" i="1" s="1"/>
  <c r="G311" i="1" a="1"/>
  <c r="G311" i="1" s="1"/>
  <c r="H311" i="1" s="1"/>
  <c r="I311" i="1" s="1"/>
  <c r="G312" i="1" a="1"/>
  <c r="G312" i="1" s="1"/>
  <c r="H312" i="1" s="1"/>
  <c r="I312" i="1" s="1"/>
  <c r="G313" i="1" a="1"/>
  <c r="G313" i="1" s="1"/>
  <c r="H313" i="1" s="1"/>
  <c r="I313" i="1" s="1"/>
  <c r="G314" i="1" a="1"/>
  <c r="G314" i="1" s="1"/>
  <c r="H314" i="1" s="1"/>
  <c r="I314" i="1" s="1"/>
  <c r="G315" i="1" a="1"/>
  <c r="G315" i="1" s="1"/>
  <c r="H315" i="1" s="1"/>
  <c r="I315" i="1" s="1"/>
  <c r="G316" i="1" a="1"/>
  <c r="G316" i="1" s="1"/>
  <c r="H316" i="1" s="1"/>
  <c r="I316" i="1" s="1"/>
  <c r="G317" i="1" a="1"/>
  <c r="G317" i="1" s="1"/>
  <c r="H317" i="1" s="1"/>
  <c r="I317" i="1" s="1"/>
  <c r="G318" i="1" a="1"/>
  <c r="G318" i="1" s="1"/>
  <c r="H318" i="1" s="1"/>
  <c r="I318" i="1" s="1"/>
  <c r="G319" i="1" a="1"/>
  <c r="G319" i="1" s="1"/>
  <c r="H319" i="1" s="1"/>
  <c r="I319" i="1" s="1"/>
  <c r="G320" i="1" a="1"/>
  <c r="G320" i="1" s="1"/>
  <c r="H320" i="1" s="1"/>
  <c r="I320" i="1" s="1"/>
  <c r="G321" i="1" a="1"/>
  <c r="G321" i="1" s="1"/>
  <c r="H321" i="1" s="1"/>
  <c r="I321" i="1" s="1"/>
  <c r="G322" i="1" a="1"/>
  <c r="G322" i="1" s="1"/>
  <c r="H322" i="1" s="1"/>
  <c r="I322" i="1" s="1"/>
  <c r="G323" i="1" a="1"/>
  <c r="G323" i="1" s="1"/>
  <c r="H323" i="1" s="1"/>
  <c r="I323" i="1" s="1"/>
  <c r="G324" i="1" a="1"/>
  <c r="G324" i="1" s="1"/>
  <c r="H324" i="1" s="1"/>
  <c r="I324" i="1" s="1"/>
  <c r="G325" i="1" a="1"/>
  <c r="G325" i="1" s="1"/>
  <c r="H325" i="1" s="1"/>
  <c r="I325" i="1" s="1"/>
  <c r="G326" i="1" a="1"/>
  <c r="G326" i="1" s="1"/>
  <c r="H326" i="1" s="1"/>
  <c r="I326" i="1" s="1"/>
  <c r="G327" i="1" a="1"/>
  <c r="G327" i="1" s="1"/>
  <c r="H327" i="1" s="1"/>
  <c r="I327" i="1" s="1"/>
  <c r="G328" i="1" a="1"/>
  <c r="G328" i="1" s="1"/>
  <c r="H328" i="1" s="1"/>
  <c r="I328" i="1" s="1"/>
  <c r="G329" i="1" a="1"/>
  <c r="G329" i="1" s="1"/>
  <c r="H329" i="1" s="1"/>
  <c r="I329" i="1" s="1"/>
  <c r="G330" i="1" a="1"/>
  <c r="G330" i="1" s="1"/>
  <c r="H330" i="1" s="1"/>
  <c r="I330" i="1" s="1"/>
  <c r="G331" i="1" a="1"/>
  <c r="G331" i="1" s="1"/>
  <c r="H331" i="1" s="1"/>
  <c r="I331" i="1" s="1"/>
  <c r="G332" i="1" a="1"/>
  <c r="G332" i="1" s="1"/>
  <c r="H332" i="1" s="1"/>
  <c r="I332" i="1" s="1"/>
  <c r="G333" i="1" a="1"/>
  <c r="G333" i="1" s="1"/>
  <c r="H333" i="1" s="1"/>
  <c r="I333" i="1" s="1"/>
  <c r="G334" i="1" a="1"/>
  <c r="G334" i="1" s="1"/>
  <c r="H334" i="1" s="1"/>
  <c r="I334" i="1" s="1"/>
  <c r="G335" i="1" a="1"/>
  <c r="G335" i="1" s="1"/>
  <c r="H335" i="1" s="1"/>
  <c r="I335" i="1" s="1"/>
  <c r="G336" i="1" a="1"/>
  <c r="G336" i="1" s="1"/>
  <c r="H336" i="1" s="1"/>
  <c r="I336" i="1" s="1"/>
  <c r="G337" i="1" a="1"/>
  <c r="G337" i="1" s="1"/>
  <c r="H337" i="1" s="1"/>
  <c r="I337" i="1" s="1"/>
  <c r="G338" i="1" a="1"/>
  <c r="G338" i="1" s="1"/>
  <c r="H338" i="1" s="1"/>
  <c r="I338" i="1" s="1"/>
  <c r="G339" i="1" a="1"/>
  <c r="G339" i="1" s="1"/>
  <c r="H339" i="1" s="1"/>
  <c r="I339" i="1" s="1"/>
  <c r="G359" i="1" a="1"/>
  <c r="G359" i="1" s="1"/>
  <c r="H359" i="1" s="1"/>
  <c r="I359" i="1" s="1"/>
  <c r="G360" i="1" a="1"/>
  <c r="G360" i="1" s="1"/>
  <c r="H360" i="1" s="1"/>
  <c r="I360" i="1" s="1"/>
  <c r="G361" i="1" a="1"/>
  <c r="G361" i="1" s="1"/>
  <c r="H361" i="1" s="1"/>
  <c r="I361" i="1" s="1"/>
  <c r="G362" i="1" a="1"/>
  <c r="G362" i="1" s="1"/>
  <c r="H362" i="1" s="1"/>
  <c r="I362" i="1" s="1"/>
  <c r="G363" i="1" a="1"/>
  <c r="G363" i="1" s="1"/>
  <c r="H363" i="1" s="1"/>
  <c r="I363" i="1" s="1"/>
  <c r="G364" i="1" a="1"/>
  <c r="G364" i="1" s="1"/>
  <c r="H364" i="1" s="1"/>
  <c r="I364" i="1" s="1"/>
  <c r="G365" i="1" a="1"/>
  <c r="G365" i="1" s="1"/>
  <c r="H365" i="1" s="1"/>
  <c r="I365" i="1" s="1"/>
  <c r="G384" i="1" a="1"/>
  <c r="G384" i="1" s="1"/>
  <c r="H384" i="1" s="1"/>
  <c r="I384" i="1" s="1"/>
  <c r="G385" i="1" a="1"/>
  <c r="G385" i="1" s="1"/>
  <c r="H385" i="1" s="1"/>
  <c r="I385" i="1" s="1"/>
  <c r="G386" i="1" a="1"/>
  <c r="G386" i="1" s="1"/>
  <c r="H386" i="1" s="1"/>
  <c r="I386" i="1" s="1"/>
  <c r="G387" i="1" a="1"/>
  <c r="G387" i="1" s="1"/>
  <c r="H387" i="1" s="1"/>
  <c r="I387" i="1" s="1"/>
  <c r="G388" i="1" a="1"/>
  <c r="G388" i="1" s="1"/>
  <c r="H388" i="1" s="1"/>
  <c r="I388" i="1" s="1"/>
  <c r="G389" i="1" a="1"/>
  <c r="G389" i="1" s="1"/>
  <c r="H389" i="1" s="1"/>
  <c r="I389" i="1" s="1"/>
  <c r="G390" i="1" a="1"/>
  <c r="G390" i="1" s="1"/>
  <c r="H390" i="1" s="1"/>
  <c r="I390" i="1" s="1"/>
  <c r="G391" i="1" a="1"/>
  <c r="G391" i="1" s="1"/>
  <c r="H391" i="1" s="1"/>
  <c r="I391" i="1" s="1"/>
  <c r="G392" i="1" a="1"/>
  <c r="G392" i="1" s="1"/>
  <c r="H392" i="1" s="1"/>
  <c r="I392" i="1" s="1"/>
  <c r="G393" i="1" a="1"/>
  <c r="G393" i="1" s="1"/>
  <c r="H393" i="1" s="1"/>
  <c r="I393" i="1" s="1"/>
  <c r="G417" i="1" a="1"/>
  <c r="G417" i="1" s="1"/>
  <c r="H417" i="1" s="1"/>
  <c r="I417" i="1" s="1"/>
  <c r="G418" i="1" a="1"/>
  <c r="G418" i="1" s="1"/>
  <c r="H418" i="1" s="1"/>
  <c r="I418" i="1" s="1"/>
  <c r="G419" i="1" a="1"/>
  <c r="G419" i="1" s="1"/>
  <c r="H419" i="1" s="1"/>
  <c r="I419" i="1" s="1"/>
  <c r="G552" i="1" a="1"/>
  <c r="G552" i="1" s="1"/>
  <c r="H552" i="1" s="1"/>
  <c r="I552" i="1" s="1"/>
  <c r="G553" i="1" a="1"/>
  <c r="G553" i="1" s="1"/>
  <c r="H553" i="1" s="1"/>
  <c r="I553" i="1" s="1"/>
  <c r="G554" i="1" a="1"/>
  <c r="G554" i="1" s="1"/>
  <c r="H554" i="1" s="1"/>
  <c r="I554" i="1" s="1"/>
  <c r="G555" i="1" a="1"/>
  <c r="G555" i="1" s="1"/>
  <c r="H555" i="1" s="1"/>
  <c r="I555" i="1" s="1"/>
  <c r="G556" i="1" a="1"/>
  <c r="G556" i="1" s="1"/>
  <c r="H556" i="1" s="1"/>
  <c r="I556" i="1" s="1"/>
  <c r="G557" i="1" a="1"/>
  <c r="G557" i="1" s="1"/>
  <c r="H557" i="1" s="1"/>
  <c r="I557" i="1" s="1"/>
  <c r="G558" i="1" a="1"/>
  <c r="G558" i="1" s="1"/>
  <c r="H558" i="1" s="1"/>
  <c r="I558" i="1" s="1"/>
  <c r="G559" i="1" a="1"/>
  <c r="G559" i="1" s="1"/>
  <c r="H559" i="1" s="1"/>
  <c r="I559" i="1" s="1"/>
  <c r="G560" i="1" a="1"/>
  <c r="G560" i="1" s="1"/>
  <c r="H560" i="1" s="1"/>
  <c r="I560" i="1" s="1"/>
  <c r="G561" i="1" a="1"/>
  <c r="G561" i="1" s="1"/>
  <c r="H561" i="1" s="1"/>
  <c r="I561" i="1" s="1"/>
  <c r="G562" i="1" a="1"/>
  <c r="G562" i="1" s="1"/>
  <c r="H562" i="1" s="1"/>
  <c r="I562" i="1" s="1"/>
  <c r="G563" i="1" a="1"/>
  <c r="G563" i="1" s="1"/>
  <c r="H563" i="1" s="1"/>
  <c r="I563" i="1" s="1"/>
  <c r="G564" i="1" a="1"/>
  <c r="G564" i="1" s="1"/>
  <c r="H564" i="1" s="1"/>
  <c r="I564" i="1" s="1"/>
  <c r="G565" i="1" a="1"/>
  <c r="G565" i="1" s="1"/>
  <c r="H565" i="1" s="1"/>
  <c r="I565" i="1" s="1"/>
  <c r="G566" i="1" a="1"/>
  <c r="G566" i="1" s="1"/>
  <c r="H566" i="1" s="1"/>
  <c r="I566" i="1" s="1"/>
  <c r="G567" i="1" a="1"/>
  <c r="G567" i="1" s="1"/>
  <c r="H567" i="1" s="1"/>
  <c r="I567" i="1" s="1"/>
  <c r="G568" i="1" a="1"/>
  <c r="G568" i="1" s="1"/>
  <c r="H568" i="1" s="1"/>
  <c r="I568" i="1" s="1"/>
  <c r="G569" i="1" a="1"/>
  <c r="G569" i="1" s="1"/>
  <c r="H569" i="1" s="1"/>
  <c r="I569" i="1" s="1"/>
  <c r="G570" i="1" a="1"/>
  <c r="G570" i="1" s="1"/>
  <c r="H570" i="1" s="1"/>
  <c r="I570" i="1" s="1"/>
  <c r="G571" i="1" a="1"/>
  <c r="G571" i="1" s="1"/>
  <c r="H571" i="1" s="1"/>
  <c r="I571" i="1" s="1"/>
  <c r="G572" i="1" a="1"/>
  <c r="G572" i="1" s="1"/>
  <c r="H572" i="1" s="1"/>
  <c r="I572" i="1" s="1"/>
  <c r="G573" i="1" a="1"/>
  <c r="G573" i="1" s="1"/>
  <c r="H573" i="1" s="1"/>
  <c r="I573" i="1" s="1"/>
  <c r="G575" i="1" a="1"/>
  <c r="G575" i="1" s="1"/>
  <c r="H575" i="1" s="1"/>
  <c r="I575" i="1" s="1"/>
  <c r="G576" i="1" a="1"/>
  <c r="G576" i="1" s="1"/>
  <c r="H576" i="1" s="1"/>
  <c r="I576" i="1" s="1"/>
  <c r="G577" i="1" a="1"/>
  <c r="G577" i="1" s="1"/>
  <c r="H577" i="1" s="1"/>
  <c r="I577" i="1" s="1"/>
  <c r="G578" i="1" a="1"/>
  <c r="G578" i="1" s="1"/>
  <c r="H578" i="1" s="1"/>
  <c r="I578" i="1" s="1"/>
  <c r="G579" i="1" a="1"/>
  <c r="G579" i="1" s="1"/>
  <c r="H579" i="1" s="1"/>
  <c r="I579" i="1" s="1"/>
  <c r="G580" i="1" a="1"/>
  <c r="G580" i="1" s="1"/>
  <c r="H580" i="1" s="1"/>
  <c r="I580" i="1" s="1"/>
  <c r="G581" i="1" a="1"/>
  <c r="G581" i="1" s="1"/>
  <c r="H581" i="1" s="1"/>
  <c r="I581" i="1" s="1"/>
  <c r="G582" i="1" a="1"/>
  <c r="G582" i="1" s="1"/>
  <c r="H582" i="1" s="1"/>
  <c r="I582" i="1" s="1"/>
  <c r="G583" i="1" a="1"/>
  <c r="G583" i="1" s="1"/>
  <c r="H583" i="1" s="1"/>
  <c r="I583" i="1" s="1"/>
  <c r="G584" i="1" a="1"/>
  <c r="G584" i="1" s="1"/>
  <c r="H584" i="1" s="1"/>
  <c r="I584" i="1" s="1"/>
  <c r="G585" i="1" a="1"/>
  <c r="G585" i="1" s="1"/>
  <c r="H585" i="1" s="1"/>
  <c r="I585" i="1" s="1"/>
  <c r="G586" i="1" a="1"/>
  <c r="G586" i="1" s="1"/>
  <c r="H586" i="1" s="1"/>
  <c r="I586" i="1" s="1"/>
  <c r="G587" i="1" a="1"/>
  <c r="G587" i="1" s="1"/>
  <c r="H587" i="1" s="1"/>
  <c r="I587" i="1" s="1"/>
  <c r="G588" i="1" a="1"/>
  <c r="G588" i="1" s="1"/>
  <c r="H588" i="1" s="1"/>
  <c r="I588" i="1" s="1"/>
  <c r="G589" i="1" a="1"/>
  <c r="G589" i="1" s="1"/>
  <c r="H589" i="1" s="1"/>
  <c r="I589" i="1" s="1"/>
  <c r="G590" i="1" a="1"/>
  <c r="G590" i="1" s="1"/>
  <c r="H590" i="1" s="1"/>
  <c r="I590" i="1" s="1"/>
  <c r="G591" i="1" a="1"/>
  <c r="G591" i="1" s="1"/>
  <c r="H591" i="1" s="1"/>
  <c r="I591" i="1" s="1"/>
  <c r="G592" i="1" a="1"/>
  <c r="G592" i="1" s="1"/>
  <c r="H592" i="1" s="1"/>
  <c r="I592" i="1" s="1"/>
  <c r="G593" i="1" a="1"/>
  <c r="G593" i="1" s="1"/>
  <c r="H593" i="1" s="1"/>
  <c r="I593" i="1" s="1"/>
  <c r="G594" i="1" a="1"/>
  <c r="G594" i="1" s="1"/>
  <c r="H594" i="1" s="1"/>
  <c r="I594" i="1" s="1"/>
  <c r="G596" i="1" a="1"/>
  <c r="G596" i="1" s="1"/>
  <c r="H596" i="1" s="1"/>
  <c r="I596" i="1" s="1"/>
  <c r="G597" i="1" a="1"/>
  <c r="G597" i="1" s="1"/>
  <c r="H597" i="1" s="1"/>
  <c r="I597" i="1" s="1"/>
  <c r="G598" i="1" a="1"/>
  <c r="G598" i="1" s="1"/>
  <c r="H598" i="1" s="1"/>
  <c r="I598" i="1" s="1"/>
  <c r="G599" i="1" a="1"/>
  <c r="G599" i="1" s="1"/>
  <c r="H599" i="1" s="1"/>
  <c r="I599" i="1" s="1"/>
  <c r="G600" i="1" a="1"/>
  <c r="G600" i="1" s="1"/>
  <c r="H600" i="1" s="1"/>
  <c r="I600" i="1" s="1"/>
  <c r="G601" i="1" a="1"/>
  <c r="G601" i="1" s="1"/>
  <c r="H601" i="1" s="1"/>
  <c r="I601" i="1" s="1"/>
  <c r="G602" i="1" a="1"/>
  <c r="G602" i="1" s="1"/>
  <c r="H602" i="1" s="1"/>
  <c r="I602" i="1" s="1"/>
  <c r="G603" i="1" a="1"/>
  <c r="G603" i="1" s="1"/>
  <c r="H603" i="1" s="1"/>
  <c r="I603" i="1" s="1"/>
  <c r="G671" i="1" a="1"/>
  <c r="G671" i="1" s="1"/>
  <c r="H671" i="1" s="1"/>
  <c r="I671" i="1" s="1"/>
  <c r="G672" i="1" a="1"/>
  <c r="G672" i="1" s="1"/>
  <c r="H672" i="1" s="1"/>
  <c r="I672" i="1" s="1"/>
  <c r="G673" i="1" a="1"/>
  <c r="G673" i="1" s="1"/>
  <c r="H673" i="1" s="1"/>
  <c r="I673" i="1" s="1"/>
  <c r="G674" i="1" a="1"/>
  <c r="G674" i="1" s="1"/>
  <c r="H674" i="1" s="1"/>
  <c r="I674" i="1" s="1"/>
  <c r="G675" i="1" a="1"/>
  <c r="G675" i="1" s="1"/>
  <c r="H675" i="1" s="1"/>
  <c r="I675" i="1" s="1"/>
  <c r="G676" i="1" a="1"/>
  <c r="G676" i="1" s="1"/>
  <c r="H676" i="1" s="1"/>
  <c r="I676" i="1" s="1"/>
  <c r="G677" i="1" a="1"/>
  <c r="G677" i="1" s="1"/>
  <c r="H677" i="1" s="1"/>
  <c r="I677" i="1" s="1"/>
  <c r="G678" i="1" a="1"/>
  <c r="G678" i="1" s="1"/>
  <c r="H678" i="1" s="1"/>
  <c r="I678" i="1" s="1"/>
  <c r="G679" i="1" a="1"/>
  <c r="G679" i="1" s="1"/>
  <c r="H679" i="1" s="1"/>
  <c r="I679" i="1" s="1"/>
  <c r="G680" i="1" a="1"/>
  <c r="G680" i="1" s="1"/>
  <c r="H680" i="1" s="1"/>
  <c r="I680" i="1" s="1"/>
  <c r="G681" i="1" a="1"/>
  <c r="G681" i="1" s="1"/>
  <c r="H681" i="1" s="1"/>
  <c r="I681" i="1" s="1"/>
  <c r="G682" i="1" a="1"/>
  <c r="G682" i="1" s="1"/>
  <c r="H682" i="1" s="1"/>
  <c r="I682" i="1" s="1"/>
  <c r="G683" i="1" a="1"/>
  <c r="G683" i="1" s="1"/>
  <c r="H683" i="1" s="1"/>
  <c r="I683" i="1" s="1"/>
  <c r="G684" i="1" a="1"/>
  <c r="G684" i="1" s="1"/>
  <c r="H684" i="1" s="1"/>
  <c r="I684" i="1" s="1"/>
  <c r="G685" i="1" a="1"/>
  <c r="G685" i="1" s="1"/>
  <c r="H685" i="1" s="1"/>
  <c r="I685" i="1" s="1"/>
  <c r="G686" i="1" a="1"/>
  <c r="G686" i="1" s="1"/>
  <c r="H686" i="1" s="1"/>
  <c r="I686" i="1" s="1"/>
  <c r="G687" i="1" a="1"/>
  <c r="G687" i="1" s="1"/>
  <c r="H687" i="1" s="1"/>
  <c r="I687" i="1" s="1"/>
  <c r="G688" i="1" a="1"/>
  <c r="G688" i="1" s="1"/>
  <c r="H688" i="1" s="1"/>
  <c r="I688" i="1" s="1"/>
  <c r="G689" i="1" a="1"/>
  <c r="G689" i="1" s="1"/>
  <c r="H689" i="1" s="1"/>
  <c r="I689" i="1" s="1"/>
  <c r="G690" i="1" a="1"/>
  <c r="G690" i="1" s="1"/>
  <c r="H690" i="1" s="1"/>
  <c r="I690" i="1" s="1"/>
  <c r="G691" i="1" a="1"/>
  <c r="G691" i="1" s="1"/>
  <c r="H691" i="1" s="1"/>
  <c r="I691" i="1" s="1"/>
  <c r="G692" i="1" a="1"/>
  <c r="G692" i="1" s="1"/>
  <c r="H692" i="1" s="1"/>
  <c r="I692" i="1" s="1"/>
  <c r="G693" i="1" a="1"/>
  <c r="G693" i="1" s="1"/>
  <c r="H693" i="1" s="1"/>
  <c r="I693" i="1" s="1"/>
  <c r="G694" i="1" a="1"/>
  <c r="G694" i="1" s="1"/>
  <c r="H694" i="1" s="1"/>
  <c r="I694" i="1" s="1"/>
  <c r="G695" i="1" a="1"/>
  <c r="G695" i="1" s="1"/>
  <c r="H695" i="1" s="1"/>
  <c r="I695" i="1" s="1"/>
  <c r="G696" i="1" a="1"/>
  <c r="G696" i="1" s="1"/>
  <c r="H696" i="1" s="1"/>
  <c r="I696" i="1" s="1"/>
  <c r="G697" i="1" a="1"/>
  <c r="G697" i="1" s="1"/>
  <c r="H697" i="1" s="1"/>
  <c r="I697" i="1" s="1"/>
  <c r="G698" i="1" a="1"/>
  <c r="G698" i="1" s="1"/>
  <c r="H698" i="1" s="1"/>
  <c r="I698" i="1" s="1"/>
  <c r="G699" i="1" a="1"/>
  <c r="G699" i="1" s="1"/>
  <c r="H699" i="1" s="1"/>
  <c r="I699" i="1" s="1"/>
  <c r="G700" i="1" a="1"/>
  <c r="G700" i="1" s="1"/>
  <c r="H700" i="1" s="1"/>
  <c r="I700" i="1" s="1"/>
  <c r="G701" i="1" a="1"/>
  <c r="G701" i="1" s="1"/>
  <c r="H701" i="1" s="1"/>
  <c r="I701" i="1" s="1"/>
  <c r="G702" i="1" a="1"/>
  <c r="G702" i="1" s="1"/>
  <c r="H702" i="1" s="1"/>
  <c r="I702" i="1" s="1"/>
  <c r="G703" i="1" a="1"/>
  <c r="G703" i="1" s="1"/>
  <c r="H703" i="1" s="1"/>
  <c r="I703" i="1" s="1"/>
  <c r="G704" i="1" a="1"/>
  <c r="G704" i="1" s="1"/>
  <c r="H704" i="1" s="1"/>
  <c r="I704" i="1" s="1"/>
  <c r="G705" i="1" a="1"/>
  <c r="G705" i="1" s="1"/>
  <c r="H705" i="1" s="1"/>
  <c r="I705" i="1" s="1"/>
  <c r="G706" i="1" a="1"/>
  <c r="G706" i="1" s="1"/>
  <c r="H706" i="1" s="1"/>
  <c r="I706" i="1" s="1"/>
  <c r="G707" i="1" a="1"/>
  <c r="G707" i="1" s="1"/>
  <c r="H707" i="1" s="1"/>
  <c r="I707" i="1" s="1"/>
  <c r="G708" i="1" a="1"/>
  <c r="G708" i="1" s="1"/>
  <c r="H708" i="1" s="1"/>
  <c r="I708" i="1" s="1"/>
  <c r="G709" i="1" a="1"/>
  <c r="G709" i="1" s="1"/>
  <c r="H709" i="1" s="1"/>
  <c r="I709" i="1" s="1"/>
  <c r="G710" i="1" a="1"/>
  <c r="G710" i="1" s="1"/>
  <c r="H710" i="1" s="1"/>
  <c r="I710" i="1" s="1"/>
  <c r="G711" i="1" a="1"/>
  <c r="G711" i="1" s="1"/>
  <c r="H711" i="1" s="1"/>
  <c r="I711" i="1" s="1"/>
  <c r="G712" i="1" a="1"/>
  <c r="G712" i="1" s="1"/>
  <c r="H712" i="1" s="1"/>
  <c r="I712" i="1" s="1"/>
  <c r="G713" i="1" a="1"/>
  <c r="G713" i="1" s="1"/>
  <c r="H713" i="1" s="1"/>
  <c r="I713" i="1" s="1"/>
  <c r="G714" i="1" a="1"/>
  <c r="G714" i="1" s="1"/>
  <c r="H714" i="1" s="1"/>
  <c r="I714" i="1" s="1"/>
  <c r="G715" i="1" a="1"/>
  <c r="G715" i="1" s="1"/>
  <c r="H715" i="1" s="1"/>
  <c r="I715" i="1" s="1"/>
  <c r="G716" i="1" a="1"/>
  <c r="G716" i="1" s="1"/>
  <c r="H716" i="1" s="1"/>
  <c r="I716" i="1" s="1"/>
  <c r="G752" i="1" a="1"/>
  <c r="G752" i="1" s="1"/>
  <c r="H752" i="1" s="1"/>
  <c r="I752" i="1" s="1"/>
  <c r="G753" i="1" a="1"/>
  <c r="G753" i="1" s="1"/>
  <c r="H753" i="1" s="1"/>
  <c r="I753" i="1" s="1"/>
  <c r="G754" i="1" a="1"/>
  <c r="G754" i="1" s="1"/>
  <c r="H754" i="1" s="1"/>
  <c r="I754" i="1" s="1"/>
  <c r="G755" i="1" a="1"/>
  <c r="G755" i="1" s="1"/>
  <c r="H755" i="1" s="1"/>
  <c r="I755" i="1" s="1"/>
  <c r="G756" i="1" a="1"/>
  <c r="G756" i="1" s="1"/>
  <c r="H756" i="1" s="1"/>
  <c r="I756" i="1" s="1"/>
  <c r="G757" i="1" a="1"/>
  <c r="G757" i="1" s="1"/>
  <c r="H757" i="1" s="1"/>
  <c r="I757" i="1" s="1"/>
  <c r="G758" i="1" a="1"/>
  <c r="G758" i="1" s="1"/>
  <c r="H758" i="1" s="1"/>
  <c r="I758" i="1" s="1"/>
  <c r="G759" i="1" a="1"/>
  <c r="G759" i="1" s="1"/>
  <c r="H759" i="1" s="1"/>
  <c r="I759" i="1" s="1"/>
  <c r="G760" i="1" a="1"/>
  <c r="G760" i="1" s="1"/>
  <c r="H760" i="1" s="1"/>
  <c r="I760" i="1" s="1"/>
  <c r="G761" i="1" a="1"/>
  <c r="G761" i="1" s="1"/>
  <c r="H761" i="1" s="1"/>
  <c r="I761" i="1" s="1"/>
  <c r="G762" i="1" a="1"/>
  <c r="G762" i="1" s="1"/>
  <c r="H762" i="1" s="1"/>
  <c r="I762" i="1" s="1"/>
  <c r="G763" i="1" a="1"/>
  <c r="G763" i="1" s="1"/>
  <c r="H763" i="1" s="1"/>
  <c r="I763" i="1" s="1"/>
  <c r="G764" i="1" a="1"/>
  <c r="G764" i="1" s="1"/>
  <c r="H764" i="1" s="1"/>
  <c r="I764" i="1" s="1"/>
  <c r="G916" i="1" a="1"/>
  <c r="G916" i="1" s="1"/>
  <c r="H916" i="1" s="1"/>
  <c r="I916" i="1" s="1"/>
  <c r="G917" i="1" a="1"/>
  <c r="G917" i="1" s="1"/>
  <c r="H917" i="1" s="1"/>
  <c r="I917" i="1" s="1"/>
  <c r="G918" i="1" a="1"/>
  <c r="G918" i="1" s="1"/>
  <c r="H918" i="1" s="1"/>
  <c r="I918" i="1" s="1"/>
  <c r="G919" i="1" a="1"/>
  <c r="G919" i="1" s="1"/>
  <c r="H919" i="1" s="1"/>
  <c r="I919" i="1" s="1"/>
  <c r="G920" i="1" a="1"/>
  <c r="G920" i="1" s="1"/>
  <c r="H920" i="1" s="1"/>
  <c r="I920" i="1" s="1"/>
  <c r="G921" i="1" a="1"/>
  <c r="G921" i="1" s="1"/>
  <c r="H921" i="1" s="1"/>
  <c r="I921" i="1" s="1"/>
  <c r="G922" i="1" a="1"/>
  <c r="G922" i="1" s="1"/>
  <c r="H922" i="1" s="1"/>
  <c r="I922" i="1" s="1"/>
  <c r="G923" i="1" a="1"/>
  <c r="G923" i="1" s="1"/>
  <c r="H923" i="1" s="1"/>
  <c r="I923" i="1" s="1"/>
  <c r="G926" i="1" a="1"/>
  <c r="G926" i="1" s="1"/>
  <c r="H926" i="1" s="1"/>
  <c r="I926" i="1" s="1"/>
  <c r="G927" i="1" a="1"/>
  <c r="G927" i="1" s="1"/>
  <c r="H927" i="1" s="1"/>
  <c r="I927" i="1" s="1"/>
  <c r="G928" i="1" a="1"/>
  <c r="G928" i="1" s="1"/>
  <c r="H928" i="1" s="1"/>
  <c r="I928" i="1" s="1"/>
  <c r="G929" i="1" a="1"/>
  <c r="G929" i="1" s="1"/>
  <c r="H929" i="1" s="1"/>
  <c r="I929" i="1" s="1"/>
  <c r="G930" i="1" a="1"/>
  <c r="G930" i="1" s="1"/>
  <c r="H930" i="1" s="1"/>
  <c r="I930" i="1" s="1"/>
  <c r="G931" i="1" a="1"/>
  <c r="G931" i="1" s="1"/>
  <c r="H931" i="1" s="1"/>
  <c r="I931" i="1" s="1"/>
  <c r="G932" i="1" a="1"/>
  <c r="G932" i="1" s="1"/>
  <c r="H932" i="1" s="1"/>
  <c r="I932" i="1" s="1"/>
  <c r="G933" i="1" a="1"/>
  <c r="G933" i="1" s="1"/>
  <c r="H933" i="1" s="1"/>
  <c r="I933" i="1" s="1"/>
  <c r="G934" i="1" a="1"/>
  <c r="G934" i="1" s="1"/>
  <c r="H934" i="1" s="1"/>
  <c r="I934" i="1" s="1"/>
  <c r="G935" i="1" a="1"/>
  <c r="G935" i="1" s="1"/>
  <c r="H935" i="1" s="1"/>
  <c r="I935" i="1" s="1"/>
  <c r="G936" i="1" a="1"/>
  <c r="G936" i="1" s="1"/>
  <c r="H936" i="1" s="1"/>
  <c r="I936" i="1" s="1"/>
  <c r="G937" i="1" a="1"/>
  <c r="G937" i="1" s="1"/>
  <c r="H937" i="1" s="1"/>
  <c r="I937" i="1" s="1"/>
  <c r="G938" i="1" a="1"/>
  <c r="G938" i="1" s="1"/>
  <c r="H938" i="1" s="1"/>
  <c r="I938" i="1" s="1"/>
  <c r="G939" i="1" a="1"/>
  <c r="G939" i="1" s="1"/>
  <c r="H939" i="1" s="1"/>
  <c r="I939" i="1" s="1"/>
  <c r="G940" i="1" a="1"/>
  <c r="G940" i="1" s="1"/>
  <c r="H940" i="1" s="1"/>
  <c r="I940" i="1" s="1"/>
  <c r="G941" i="1" a="1"/>
  <c r="G941" i="1" s="1"/>
  <c r="H941" i="1" s="1"/>
  <c r="I941" i="1" s="1"/>
  <c r="G942" i="1" a="1"/>
  <c r="G942" i="1" s="1"/>
  <c r="H942" i="1" s="1"/>
  <c r="I942" i="1" s="1"/>
  <c r="G943" i="1" a="1"/>
  <c r="G943" i="1" s="1"/>
  <c r="H943" i="1" s="1"/>
  <c r="I943" i="1" s="1"/>
  <c r="G944" i="1" a="1"/>
  <c r="G944" i="1" s="1"/>
  <c r="H944" i="1" s="1"/>
  <c r="I944" i="1" s="1"/>
  <c r="G945" i="1" a="1"/>
  <c r="G945" i="1" s="1"/>
  <c r="H945" i="1" s="1"/>
  <c r="I945" i="1" s="1"/>
  <c r="G946" i="1" a="1"/>
  <c r="G946" i="1" s="1"/>
  <c r="H946" i="1" s="1"/>
  <c r="I946" i="1" s="1"/>
  <c r="G844" i="1" a="1"/>
  <c r="G844" i="1" s="1"/>
  <c r="H844" i="1" s="1"/>
  <c r="I844" i="1" s="1"/>
  <c r="G848" i="1" a="1"/>
  <c r="G848" i="1" s="1"/>
  <c r="H848" i="1" s="1"/>
  <c r="I848" i="1" s="1"/>
  <c r="G845" i="1" a="1"/>
  <c r="G845" i="1" s="1"/>
  <c r="H845" i="1" s="1"/>
  <c r="I845" i="1" s="1"/>
  <c r="G846" i="1" a="1"/>
  <c r="G846" i="1" s="1"/>
  <c r="H846" i="1" s="1"/>
  <c r="I846" i="1" s="1"/>
  <c r="G849" i="1" a="1"/>
  <c r="G849" i="1" s="1"/>
  <c r="H849" i="1" s="1"/>
  <c r="I849" i="1" s="1"/>
  <c r="G852" i="1" a="1"/>
  <c r="G852" i="1" s="1"/>
  <c r="H852" i="1" s="1"/>
  <c r="I852" i="1" s="1"/>
  <c r="G843" i="1" a="1"/>
  <c r="G843" i="1" s="1"/>
  <c r="H843" i="1" s="1"/>
  <c r="I843" i="1" s="1"/>
  <c r="G851" i="1" a="1"/>
  <c r="G851" i="1" s="1"/>
  <c r="H851" i="1" s="1"/>
  <c r="I851" i="1" s="1"/>
  <c r="G853" i="1" a="1"/>
  <c r="G853" i="1" s="1"/>
  <c r="H853" i="1" s="1"/>
  <c r="I853" i="1" s="1"/>
  <c r="G854" i="1" a="1"/>
  <c r="G854" i="1" s="1"/>
  <c r="H854" i="1" s="1"/>
  <c r="I854" i="1" s="1"/>
  <c r="G839" i="1" a="1"/>
  <c r="G839" i="1" s="1"/>
  <c r="H839" i="1" s="1"/>
  <c r="I839" i="1" s="1"/>
  <c r="G840" i="1" a="1"/>
  <c r="G840" i="1" s="1"/>
  <c r="H840" i="1" s="1"/>
  <c r="I840" i="1" s="1"/>
  <c r="G841" i="1" a="1"/>
  <c r="G841" i="1" s="1"/>
  <c r="H841" i="1" s="1"/>
  <c r="I841" i="1" s="1"/>
  <c r="G847" i="1" a="1"/>
  <c r="G847" i="1" s="1"/>
  <c r="H847" i="1" s="1"/>
  <c r="I847" i="1" s="1"/>
  <c r="G850" i="1" a="1"/>
  <c r="G850" i="1" s="1"/>
  <c r="H850" i="1" s="1"/>
  <c r="I850" i="1" s="1"/>
  <c r="G842" i="1" a="1"/>
  <c r="G842" i="1" s="1"/>
  <c r="H842" i="1" s="1"/>
  <c r="I842" i="1" s="1"/>
  <c r="G135" i="1" a="1"/>
  <c r="G135" i="1" s="1"/>
  <c r="H135" i="1" s="1"/>
  <c r="I135" i="1" s="1"/>
  <c r="G142" i="1" a="1"/>
  <c r="G142" i="1" s="1"/>
  <c r="H142" i="1" s="1"/>
  <c r="I142" i="1" s="1"/>
  <c r="G115" i="1" a="1"/>
  <c r="G115" i="1" s="1"/>
  <c r="H115" i="1" s="1"/>
  <c r="I115" i="1" s="1"/>
  <c r="G130" i="1" a="1"/>
  <c r="G130" i="1" s="1"/>
  <c r="H130" i="1" s="1"/>
  <c r="I130" i="1" s="1"/>
  <c r="G131" i="1" a="1"/>
  <c r="G131" i="1" s="1"/>
  <c r="H131" i="1" s="1"/>
  <c r="I131" i="1" s="1"/>
  <c r="G133" i="1" a="1"/>
  <c r="G133" i="1" s="1"/>
  <c r="H133" i="1" s="1"/>
  <c r="I133" i="1" s="1"/>
  <c r="G126" i="1" a="1"/>
  <c r="G126" i="1" s="1"/>
  <c r="H126" i="1" s="1"/>
  <c r="I126" i="1" s="1"/>
  <c r="G139" i="1" a="1"/>
  <c r="G139" i="1" s="1"/>
  <c r="H139" i="1" s="1"/>
  <c r="I139" i="1" s="1"/>
  <c r="G150" i="1" a="1"/>
  <c r="G150" i="1" s="1"/>
  <c r="H150" i="1" s="1"/>
  <c r="I150" i="1" s="1"/>
  <c r="G136" i="1" a="1"/>
  <c r="G136" i="1" s="1"/>
  <c r="H136" i="1" s="1"/>
  <c r="I136" i="1" s="1"/>
  <c r="G127" i="1" a="1"/>
  <c r="G127" i="1" s="1"/>
  <c r="H127" i="1" s="1"/>
  <c r="I127" i="1" s="1"/>
  <c r="G116" i="1" a="1"/>
  <c r="G116" i="1" s="1"/>
  <c r="H116" i="1" s="1"/>
  <c r="I116" i="1" s="1"/>
  <c r="G145" i="1" a="1"/>
  <c r="G145" i="1" s="1"/>
  <c r="H145" i="1" s="1"/>
  <c r="I145" i="1" s="1"/>
  <c r="G134" i="1" a="1"/>
  <c r="G134" i="1" s="1"/>
  <c r="H134" i="1" s="1"/>
  <c r="I134" i="1" s="1"/>
  <c r="G151" i="1" a="1"/>
  <c r="G151" i="1" s="1"/>
  <c r="H151" i="1" s="1"/>
  <c r="I151" i="1" s="1"/>
  <c r="G138" i="1" a="1"/>
  <c r="G138" i="1" s="1"/>
  <c r="H138" i="1" s="1"/>
  <c r="I138" i="1" s="1"/>
  <c r="G124" i="1" a="1"/>
  <c r="G124" i="1" s="1"/>
  <c r="H124" i="1" s="1"/>
  <c r="I124" i="1" s="1"/>
  <c r="G148" i="1" a="1"/>
  <c r="G148" i="1" s="1"/>
  <c r="H148" i="1" s="1"/>
  <c r="I148" i="1" s="1"/>
  <c r="G123" i="1" a="1"/>
  <c r="G123" i="1" s="1"/>
  <c r="H123" i="1" s="1"/>
  <c r="I123" i="1" s="1"/>
  <c r="G132" i="1" a="1"/>
  <c r="G132" i="1" s="1"/>
  <c r="H132" i="1" s="1"/>
  <c r="I132" i="1" s="1"/>
  <c r="G129" i="1" a="1"/>
  <c r="G129" i="1" s="1"/>
  <c r="H129" i="1" s="1"/>
  <c r="I129" i="1" s="1"/>
  <c r="G128" i="1" a="1"/>
  <c r="G128" i="1" s="1"/>
  <c r="H128" i="1" s="1"/>
  <c r="I128" i="1" s="1"/>
  <c r="G119" i="1" a="1"/>
  <c r="G119" i="1" s="1"/>
  <c r="H119" i="1" s="1"/>
  <c r="I119" i="1" s="1"/>
  <c r="G118" i="1" a="1"/>
  <c r="G118" i="1" s="1"/>
  <c r="H118" i="1" s="1"/>
  <c r="I118" i="1" s="1"/>
  <c r="G149" i="1" a="1"/>
  <c r="G149" i="1" s="1"/>
  <c r="H149" i="1" s="1"/>
  <c r="I149" i="1" s="1"/>
  <c r="G120" i="1" a="1"/>
  <c r="G120" i="1" s="1"/>
  <c r="H120" i="1" s="1"/>
  <c r="I120" i="1" s="1"/>
  <c r="G114" i="1" a="1"/>
  <c r="G114" i="1" s="1"/>
  <c r="H114" i="1" s="1"/>
  <c r="I114" i="1" s="1"/>
  <c r="G125" i="1" a="1"/>
  <c r="G125" i="1" s="1"/>
  <c r="H125" i="1" s="1"/>
  <c r="I125" i="1" s="1"/>
  <c r="G137" i="1" a="1"/>
  <c r="G137" i="1" s="1"/>
  <c r="H137" i="1" s="1"/>
  <c r="I137" i="1" s="1"/>
  <c r="G122" i="1" a="1"/>
  <c r="G122" i="1" s="1"/>
  <c r="H122" i="1" s="1"/>
  <c r="I122" i="1" s="1"/>
  <c r="G121" i="1" a="1"/>
  <c r="G121" i="1" s="1"/>
  <c r="H121" i="1" s="1"/>
  <c r="I121" i="1" s="1"/>
  <c r="G141" i="1" a="1"/>
  <c r="G141" i="1" s="1"/>
  <c r="H141" i="1" s="1"/>
  <c r="I141" i="1" s="1"/>
  <c r="G144" i="1" a="1"/>
  <c r="G144" i="1" s="1"/>
  <c r="H144" i="1" s="1"/>
  <c r="I144" i="1" s="1"/>
  <c r="G143" i="1" a="1"/>
  <c r="G143" i="1" s="1"/>
  <c r="H143" i="1" s="1"/>
  <c r="I143" i="1" s="1"/>
  <c r="G147" i="1" a="1"/>
  <c r="G147" i="1" s="1"/>
  <c r="H147" i="1" s="1"/>
  <c r="I147" i="1" s="1"/>
  <c r="G112" i="1" a="1"/>
  <c r="G112" i="1" s="1"/>
  <c r="H112" i="1" s="1"/>
  <c r="I112" i="1" s="1"/>
  <c r="G113" i="1" a="1"/>
  <c r="G113" i="1" s="1"/>
  <c r="H113" i="1" s="1"/>
  <c r="I113" i="1" s="1"/>
  <c r="G140" i="1" a="1"/>
  <c r="G140" i="1" s="1"/>
  <c r="H140" i="1" s="1"/>
  <c r="I140" i="1" s="1"/>
  <c r="G146" i="1" a="1"/>
  <c r="G146" i="1" s="1"/>
  <c r="H146" i="1" s="1"/>
  <c r="I146" i="1" s="1"/>
  <c r="G117" i="1" a="1"/>
  <c r="G117" i="1" s="1"/>
  <c r="H117" i="1" s="1"/>
  <c r="I117" i="1" s="1"/>
  <c r="G60" i="1" a="1"/>
  <c r="G60" i="1" s="1"/>
  <c r="H60" i="1" s="1"/>
  <c r="I60" i="1" s="1"/>
  <c r="G16" i="1" a="1"/>
  <c r="G16" i="1" s="1"/>
  <c r="H16" i="1" s="1"/>
  <c r="I16" i="1" s="1"/>
  <c r="G38" i="1" a="1"/>
  <c r="G38" i="1" s="1"/>
  <c r="H38" i="1" s="1"/>
  <c r="I38" i="1" s="1"/>
  <c r="G58" i="1" a="1"/>
  <c r="G58" i="1" s="1"/>
  <c r="H58" i="1" s="1"/>
  <c r="I58" i="1" s="1"/>
  <c r="G54" i="1" a="1"/>
  <c r="G54" i="1" s="1"/>
  <c r="H54" i="1" s="1"/>
  <c r="I54" i="1" s="1"/>
  <c r="G55" i="1" a="1"/>
  <c r="G55" i="1" s="1"/>
  <c r="H55" i="1" s="1"/>
  <c r="I55" i="1" s="1"/>
  <c r="G51" i="1" a="1"/>
  <c r="G51" i="1" s="1"/>
  <c r="H51" i="1" s="1"/>
  <c r="I51" i="1" s="1"/>
  <c r="G30" i="1" a="1"/>
  <c r="G30" i="1" s="1"/>
  <c r="H30" i="1" s="1"/>
  <c r="I30" i="1" s="1"/>
  <c r="G14" i="1" a="1"/>
  <c r="G14" i="1" s="1"/>
  <c r="H14" i="1" s="1"/>
  <c r="I14" i="1" s="1"/>
  <c r="G10" i="1" a="1"/>
  <c r="G10" i="1" s="1"/>
  <c r="H10" i="1" s="1"/>
  <c r="I10" i="1" s="1"/>
  <c r="G21" i="1" a="1"/>
  <c r="G21" i="1" s="1"/>
  <c r="H21" i="1" s="1"/>
  <c r="I21" i="1" s="1"/>
  <c r="G18" i="1" a="1"/>
  <c r="G18" i="1" s="1"/>
  <c r="H18" i="1" s="1"/>
  <c r="I18" i="1" s="1"/>
  <c r="G46" i="1" a="1"/>
  <c r="G46" i="1" s="1"/>
  <c r="H46" i="1" s="1"/>
  <c r="I46" i="1" s="1"/>
  <c r="G49" i="1" a="1"/>
  <c r="G49" i="1" s="1"/>
  <c r="H49" i="1" s="1"/>
  <c r="I49" i="1" s="1"/>
  <c r="G61" i="1" a="1"/>
  <c r="G61" i="1" s="1"/>
  <c r="H61" i="1" s="1"/>
  <c r="I61" i="1" s="1"/>
  <c r="G62" i="1" a="1"/>
  <c r="G62" i="1" s="1"/>
  <c r="H62" i="1" s="1"/>
  <c r="I62" i="1" s="1"/>
  <c r="G52" i="1" a="1"/>
  <c r="G52" i="1" s="1"/>
  <c r="H52" i="1" s="1"/>
  <c r="I52" i="1" s="1"/>
  <c r="G13" i="1" a="1"/>
  <c r="G13" i="1" s="1"/>
  <c r="H13" i="1" s="1"/>
  <c r="I13" i="1" s="1"/>
  <c r="G40" i="1" a="1"/>
  <c r="G40" i="1" s="1"/>
  <c r="H40" i="1" s="1"/>
  <c r="I40" i="1" s="1"/>
  <c r="G17" i="1" a="1"/>
  <c r="G17" i="1" s="1"/>
  <c r="H17" i="1" s="1"/>
  <c r="I17" i="1" s="1"/>
  <c r="G15" i="1" a="1"/>
  <c r="G15" i="1" s="1"/>
  <c r="H15" i="1" s="1"/>
  <c r="I15" i="1" s="1"/>
  <c r="G53" i="1" a="1"/>
  <c r="G53" i="1" s="1"/>
  <c r="H53" i="1" s="1"/>
  <c r="I53" i="1" s="1"/>
  <c r="G64" i="1" a="1"/>
  <c r="G64" i="1" s="1"/>
  <c r="H64" i="1" s="1"/>
  <c r="I64" i="1" s="1"/>
  <c r="G36" i="1" a="1"/>
  <c r="G36" i="1" s="1"/>
  <c r="H36" i="1" s="1"/>
  <c r="I36" i="1" s="1"/>
  <c r="G63" i="1" a="1"/>
  <c r="G63" i="1" s="1"/>
  <c r="H63" i="1" s="1"/>
  <c r="I63" i="1" s="1"/>
  <c r="G59" i="1" a="1"/>
  <c r="G59" i="1" s="1"/>
  <c r="H59" i="1" s="1"/>
  <c r="I59" i="1" s="1"/>
  <c r="G48" i="1" a="1"/>
  <c r="G48" i="1" s="1"/>
  <c r="H48" i="1" s="1"/>
  <c r="I48" i="1" s="1"/>
  <c r="G50" i="1" a="1"/>
  <c r="G50" i="1" s="1"/>
  <c r="H50" i="1" s="1"/>
  <c r="I50" i="1" s="1"/>
  <c r="G25" i="1" a="1"/>
  <c r="G25" i="1" s="1"/>
  <c r="H25" i="1" s="1"/>
  <c r="I25" i="1" s="1"/>
  <c r="G45" i="1" a="1"/>
  <c r="G45" i="1" s="1"/>
  <c r="H45" i="1" s="1"/>
  <c r="I45" i="1" s="1"/>
  <c r="G24" i="1" a="1"/>
  <c r="G24" i="1" s="1"/>
  <c r="H24" i="1" s="1"/>
  <c r="I24" i="1" s="1"/>
  <c r="G56" i="1" a="1"/>
  <c r="G56" i="1" s="1"/>
  <c r="H56" i="1" s="1"/>
  <c r="I56" i="1" s="1"/>
  <c r="G47" i="1" a="1"/>
  <c r="G47" i="1" s="1"/>
  <c r="H47" i="1" s="1"/>
  <c r="I47" i="1" s="1"/>
  <c r="G42" i="1" a="1"/>
  <c r="G42" i="1" s="1"/>
  <c r="H42" i="1" s="1"/>
  <c r="I42" i="1" s="1"/>
  <c r="G43" i="1" a="1"/>
  <c r="G43" i="1" s="1"/>
  <c r="H43" i="1" s="1"/>
  <c r="I43" i="1" s="1"/>
  <c r="G39" i="1" a="1"/>
  <c r="G39" i="1" s="1"/>
  <c r="H39" i="1" s="1"/>
  <c r="I39" i="1" s="1"/>
  <c r="G20" i="1" a="1"/>
  <c r="G20" i="1" s="1"/>
  <c r="H20" i="1" s="1"/>
  <c r="I20" i="1" s="1"/>
  <c r="G41" i="1" a="1"/>
  <c r="G41" i="1" s="1"/>
  <c r="H41" i="1" s="1"/>
  <c r="I41" i="1" s="1"/>
  <c r="G33" i="1" a="1"/>
  <c r="G33" i="1" s="1"/>
  <c r="H33" i="1" s="1"/>
  <c r="I33" i="1" s="1"/>
  <c r="G2" i="1" a="1"/>
  <c r="G2" i="1" s="1"/>
  <c r="G12" i="1" a="1"/>
  <c r="G12" i="1" s="1"/>
  <c r="H12" i="1" s="1"/>
  <c r="I12" i="1" s="1"/>
  <c r="G3" i="1" a="1"/>
  <c r="G3" i="1" s="1"/>
  <c r="H3" i="1" s="1"/>
  <c r="I3" i="1" s="1"/>
  <c r="G4" i="1" a="1"/>
  <c r="G4" i="1" s="1"/>
  <c r="H4" i="1" s="1"/>
  <c r="I4" i="1" s="1"/>
  <c r="G28" i="1" a="1"/>
  <c r="G28" i="1" s="1"/>
  <c r="H28" i="1" s="1"/>
  <c r="I28" i="1" s="1"/>
  <c r="G31" i="1" a="1"/>
  <c r="G31" i="1" s="1"/>
  <c r="H31" i="1" s="1"/>
  <c r="I31" i="1" s="1"/>
  <c r="G9" i="1" a="1"/>
  <c r="G9" i="1" s="1"/>
  <c r="H9" i="1" s="1"/>
  <c r="I9" i="1" s="1"/>
  <c r="G34" i="1" a="1"/>
  <c r="G34" i="1" s="1"/>
  <c r="H34" i="1" s="1"/>
  <c r="I34" i="1" s="1"/>
  <c r="G5" i="1" a="1"/>
  <c r="G5" i="1" s="1"/>
  <c r="H5" i="1" s="1"/>
  <c r="I5" i="1" s="1"/>
  <c r="G44" i="1" a="1"/>
  <c r="G44" i="1" s="1"/>
  <c r="H44" i="1" s="1"/>
  <c r="I44" i="1" s="1"/>
  <c r="G22" i="1" a="1"/>
  <c r="G22" i="1" s="1"/>
  <c r="H22" i="1" s="1"/>
  <c r="I22" i="1" s="1"/>
  <c r="G19" i="1" a="1"/>
  <c r="G19" i="1" s="1"/>
  <c r="H19" i="1" s="1"/>
  <c r="I19" i="1" s="1"/>
  <c r="G35" i="1" a="1"/>
  <c r="G35" i="1" s="1"/>
  <c r="H35" i="1" s="1"/>
  <c r="I35" i="1" s="1"/>
  <c r="G8" i="1" a="1"/>
  <c r="G8" i="1" s="1"/>
  <c r="H8" i="1" s="1"/>
  <c r="I8" i="1" s="1"/>
  <c r="G11" i="1" a="1"/>
  <c r="G11" i="1" s="1"/>
  <c r="H11" i="1" s="1"/>
  <c r="I11" i="1" s="1"/>
  <c r="G37" i="1" a="1"/>
  <c r="G37" i="1" s="1"/>
  <c r="H37" i="1" s="1"/>
  <c r="I37" i="1" s="1"/>
  <c r="G7" i="1" a="1"/>
  <c r="G7" i="1" s="1"/>
  <c r="H7" i="1" s="1"/>
  <c r="I7" i="1" s="1"/>
  <c r="G6" i="1" a="1"/>
  <c r="G6" i="1" s="1"/>
  <c r="H6" i="1" s="1"/>
  <c r="I6" i="1" s="1"/>
  <c r="G32" i="1" a="1"/>
  <c r="G32" i="1" s="1"/>
  <c r="H32" i="1" s="1"/>
  <c r="I32" i="1" s="1"/>
  <c r="G57" i="1" a="1"/>
  <c r="G57" i="1" s="1"/>
  <c r="H57" i="1" s="1"/>
  <c r="I57" i="1" s="1"/>
  <c r="G23" i="1" a="1"/>
  <c r="G23" i="1" s="1"/>
  <c r="H23" i="1" s="1"/>
  <c r="I23" i="1" s="1"/>
  <c r="G26" i="1" a="1"/>
  <c r="G26" i="1" s="1"/>
  <c r="H26" i="1" s="1"/>
  <c r="I26" i="1" s="1"/>
  <c r="G27" i="1" a="1"/>
  <c r="G27" i="1" s="1"/>
  <c r="H27" i="1" s="1"/>
  <c r="I27" i="1" s="1"/>
  <c r="G29" i="1" a="1"/>
  <c r="G29" i="1" s="1"/>
  <c r="H29" i="1" s="1"/>
  <c r="I29" i="1" s="1"/>
  <c r="G892" i="1" a="1"/>
  <c r="G892" i="1" s="1"/>
  <c r="H892" i="1" s="1"/>
  <c r="I892" i="1" s="1"/>
  <c r="G893" i="1" a="1"/>
  <c r="G893" i="1" s="1"/>
  <c r="H893" i="1" s="1"/>
  <c r="I893" i="1" s="1"/>
  <c r="G890" i="1" a="1"/>
  <c r="G890" i="1" s="1"/>
  <c r="H890" i="1" s="1"/>
  <c r="I890" i="1" s="1"/>
  <c r="G891" i="1" a="1"/>
  <c r="G891" i="1" s="1"/>
  <c r="H891" i="1" s="1"/>
  <c r="I891" i="1" s="1"/>
  <c r="G896" i="1" a="1"/>
  <c r="G896" i="1" s="1"/>
  <c r="H896" i="1" s="1"/>
  <c r="I896" i="1" s="1"/>
  <c r="G882" i="1" a="1"/>
  <c r="G882" i="1" s="1"/>
  <c r="H882" i="1" s="1"/>
  <c r="I882" i="1" s="1"/>
  <c r="G883" i="1" a="1"/>
  <c r="G883" i="1" s="1"/>
  <c r="H883" i="1" s="1"/>
  <c r="I883" i="1" s="1"/>
  <c r="G877" i="1" a="1"/>
  <c r="G877" i="1" s="1"/>
  <c r="H877" i="1" s="1"/>
  <c r="I877" i="1" s="1"/>
  <c r="G898" i="1" a="1"/>
  <c r="G898" i="1" s="1"/>
  <c r="H898" i="1" s="1"/>
  <c r="I898" i="1" s="1"/>
  <c r="G888" i="1" a="1"/>
  <c r="G888" i="1" s="1"/>
  <c r="H888" i="1" s="1"/>
  <c r="I888" i="1" s="1"/>
  <c r="G886" i="1" a="1"/>
  <c r="G886" i="1" s="1"/>
  <c r="H886" i="1" s="1"/>
  <c r="I886" i="1" s="1"/>
  <c r="G884" i="1" a="1"/>
  <c r="G884" i="1" s="1"/>
  <c r="H884" i="1" s="1"/>
  <c r="I884" i="1" s="1"/>
  <c r="G880" i="1" a="1"/>
  <c r="G880" i="1" s="1"/>
  <c r="H880" i="1" s="1"/>
  <c r="I880" i="1" s="1"/>
  <c r="G887" i="1" a="1"/>
  <c r="G887" i="1" s="1"/>
  <c r="H887" i="1" s="1"/>
  <c r="I887" i="1" s="1"/>
  <c r="G889" i="1" a="1"/>
  <c r="G889" i="1" s="1"/>
  <c r="H889" i="1" s="1"/>
  <c r="I889" i="1" s="1"/>
  <c r="G879" i="1" a="1"/>
  <c r="G879" i="1" s="1"/>
  <c r="H879" i="1" s="1"/>
  <c r="I879" i="1" s="1"/>
  <c r="G897" i="1" a="1"/>
  <c r="G897" i="1" s="1"/>
  <c r="H897" i="1" s="1"/>
  <c r="I897" i="1" s="1"/>
  <c r="G878" i="1" a="1"/>
  <c r="G878" i="1" s="1"/>
  <c r="H878" i="1" s="1"/>
  <c r="I878" i="1" s="1"/>
  <c r="G881" i="1" a="1"/>
  <c r="G881" i="1" s="1"/>
  <c r="H881" i="1" s="1"/>
  <c r="I881" i="1" s="1"/>
  <c r="G894" i="1" a="1"/>
  <c r="G894" i="1" s="1"/>
  <c r="H894" i="1" s="1"/>
  <c r="I894" i="1" s="1"/>
  <c r="G885" i="1" a="1"/>
  <c r="G885" i="1" s="1"/>
  <c r="H885" i="1" s="1"/>
  <c r="I885" i="1" s="1"/>
  <c r="G899" i="1" a="1"/>
  <c r="G899" i="1" s="1"/>
  <c r="H899" i="1" s="1"/>
  <c r="I899" i="1" s="1"/>
  <c r="G895" i="1" a="1"/>
  <c r="G895" i="1" s="1"/>
  <c r="H895" i="1" s="1"/>
  <c r="I895" i="1" s="1"/>
  <c r="G778" i="1" a="1"/>
  <c r="G778" i="1" s="1"/>
  <c r="H778" i="1" s="1"/>
  <c r="I778" i="1" s="1"/>
  <c r="G787" i="1" a="1"/>
  <c r="G787" i="1" s="1"/>
  <c r="H787" i="1" s="1"/>
  <c r="I787" i="1" s="1"/>
  <c r="G775" i="1" a="1"/>
  <c r="G775" i="1" s="1"/>
  <c r="H775" i="1" s="1"/>
  <c r="I775" i="1" s="1"/>
  <c r="G768" i="1" a="1"/>
  <c r="G768" i="1" s="1"/>
  <c r="H768" i="1" s="1"/>
  <c r="I768" i="1" s="1"/>
  <c r="G783" i="1" a="1"/>
  <c r="G783" i="1" s="1"/>
  <c r="H783" i="1" s="1"/>
  <c r="I783" i="1" s="1"/>
  <c r="G786" i="1" a="1"/>
  <c r="G786" i="1" s="1"/>
  <c r="H786" i="1" s="1"/>
  <c r="I786" i="1" s="1"/>
  <c r="G777" i="1" a="1"/>
  <c r="G777" i="1" s="1"/>
  <c r="H777" i="1" s="1"/>
  <c r="I777" i="1" s="1"/>
  <c r="G785" i="1" a="1"/>
  <c r="G785" i="1" s="1"/>
  <c r="H785" i="1" s="1"/>
  <c r="I785" i="1" s="1"/>
  <c r="G781" i="1" a="1"/>
  <c r="G781" i="1" s="1"/>
  <c r="H781" i="1" s="1"/>
  <c r="I781" i="1" s="1"/>
  <c r="G776" i="1" a="1"/>
  <c r="G776" i="1" s="1"/>
  <c r="H776" i="1" s="1"/>
  <c r="I776" i="1" s="1"/>
  <c r="G784" i="1" a="1"/>
  <c r="G784" i="1" s="1"/>
  <c r="H784" i="1" s="1"/>
  <c r="I784" i="1" s="1"/>
  <c r="G769" i="1" a="1"/>
  <c r="G769" i="1" s="1"/>
  <c r="H769" i="1" s="1"/>
  <c r="I769" i="1" s="1"/>
  <c r="G782" i="1" a="1"/>
  <c r="G782" i="1" s="1"/>
  <c r="H782" i="1" s="1"/>
  <c r="I782" i="1" s="1"/>
  <c r="G773" i="1" a="1"/>
  <c r="G773" i="1" s="1"/>
  <c r="H773" i="1" s="1"/>
  <c r="I773" i="1" s="1"/>
  <c r="G770" i="1" a="1"/>
  <c r="G770" i="1" s="1"/>
  <c r="H770" i="1" s="1"/>
  <c r="I770" i="1" s="1"/>
  <c r="G767" i="1" a="1"/>
  <c r="G767" i="1" s="1"/>
  <c r="H767" i="1" s="1"/>
  <c r="I767" i="1" s="1"/>
  <c r="G772" i="1" a="1"/>
  <c r="G772" i="1" s="1"/>
  <c r="H772" i="1" s="1"/>
  <c r="I772" i="1" s="1"/>
  <c r="G779" i="1" a="1"/>
  <c r="G779" i="1" s="1"/>
  <c r="H779" i="1" s="1"/>
  <c r="I779" i="1" s="1"/>
  <c r="G765" i="1" a="1"/>
  <c r="G765" i="1" s="1"/>
  <c r="H765" i="1" s="1"/>
  <c r="I765" i="1" s="1"/>
  <c r="G774" i="1" a="1"/>
  <c r="G774" i="1" s="1"/>
  <c r="H774" i="1" s="1"/>
  <c r="I774" i="1" s="1"/>
  <c r="G780" i="1" a="1"/>
  <c r="G780" i="1" s="1"/>
  <c r="H780" i="1" s="1"/>
  <c r="I780" i="1" s="1"/>
  <c r="G771" i="1" a="1"/>
  <c r="G771" i="1" s="1"/>
  <c r="H771" i="1" s="1"/>
  <c r="I771" i="1" s="1"/>
  <c r="G766" i="1" a="1"/>
  <c r="G766" i="1" s="1"/>
  <c r="H766" i="1" s="1"/>
  <c r="I766" i="1" s="1"/>
  <c r="G651" i="1" a="1"/>
  <c r="G651" i="1" s="1"/>
  <c r="H651" i="1" s="1"/>
  <c r="I651" i="1" s="1"/>
  <c r="G645" i="1" a="1"/>
  <c r="G645" i="1" s="1"/>
  <c r="H645" i="1" s="1"/>
  <c r="I645" i="1" s="1"/>
  <c r="G650" i="1" a="1"/>
  <c r="G650" i="1" s="1"/>
  <c r="H650" i="1" s="1"/>
  <c r="I650" i="1" s="1"/>
  <c r="G652" i="1" a="1"/>
  <c r="G652" i="1" s="1"/>
  <c r="H652" i="1" s="1"/>
  <c r="I652" i="1" s="1"/>
  <c r="G649" i="1" a="1"/>
  <c r="G649" i="1" s="1"/>
  <c r="H649" i="1" s="1"/>
  <c r="I649" i="1" s="1"/>
  <c r="G646" i="1" a="1"/>
  <c r="G646" i="1" s="1"/>
  <c r="H646" i="1" s="1"/>
  <c r="I646" i="1" s="1"/>
  <c r="G648" i="1" a="1"/>
  <c r="G648" i="1" s="1"/>
  <c r="H648" i="1" s="1"/>
  <c r="I648" i="1" s="1"/>
  <c r="G647" i="1" a="1"/>
  <c r="G647" i="1" s="1"/>
  <c r="H647" i="1" s="1"/>
  <c r="I647" i="1" s="1"/>
  <c r="G643" i="1" a="1"/>
  <c r="G643" i="1" s="1"/>
  <c r="H643" i="1" s="1"/>
  <c r="I643" i="1" s="1"/>
  <c r="G653" i="1" a="1"/>
  <c r="G653" i="1" s="1"/>
  <c r="H653" i="1" s="1"/>
  <c r="I653" i="1" s="1"/>
  <c r="G644" i="1" a="1"/>
  <c r="G644" i="1" s="1"/>
  <c r="H644" i="1" s="1"/>
  <c r="I644" i="1" s="1"/>
  <c r="G654" i="1" a="1"/>
  <c r="G654" i="1" s="1"/>
  <c r="H654" i="1" s="1"/>
  <c r="I654" i="1" s="1"/>
  <c r="G663" i="1" a="1"/>
  <c r="G663" i="1" s="1"/>
  <c r="H663" i="1" s="1"/>
  <c r="I663" i="1" s="1"/>
  <c r="G670" i="1" a="1"/>
  <c r="G670" i="1" s="1"/>
  <c r="H670" i="1" s="1"/>
  <c r="I670" i="1" s="1"/>
  <c r="G662" i="1" a="1"/>
  <c r="G662" i="1" s="1"/>
  <c r="H662" i="1" s="1"/>
  <c r="I662" i="1" s="1"/>
  <c r="G657" i="1" a="1"/>
  <c r="G657" i="1" s="1"/>
  <c r="H657" i="1" s="1"/>
  <c r="I657" i="1" s="1"/>
  <c r="G665" i="1" a="1"/>
  <c r="G665" i="1" s="1"/>
  <c r="H665" i="1" s="1"/>
  <c r="I665" i="1" s="1"/>
  <c r="G658" i="1" a="1"/>
  <c r="G658" i="1" s="1"/>
  <c r="H658" i="1" s="1"/>
  <c r="I658" i="1" s="1"/>
  <c r="G655" i="1" a="1"/>
  <c r="G655" i="1" s="1"/>
  <c r="H655" i="1" s="1"/>
  <c r="I655" i="1" s="1"/>
  <c r="G660" i="1" a="1"/>
  <c r="G660" i="1" s="1"/>
  <c r="H660" i="1" s="1"/>
  <c r="I660" i="1" s="1"/>
  <c r="G666" i="1" a="1"/>
  <c r="G666" i="1" s="1"/>
  <c r="H666" i="1" s="1"/>
  <c r="I666" i="1" s="1"/>
  <c r="G668" i="1" a="1"/>
  <c r="G668" i="1" s="1"/>
  <c r="H668" i="1" s="1"/>
  <c r="I668" i="1" s="1"/>
  <c r="G667" i="1" a="1"/>
  <c r="G667" i="1" s="1"/>
  <c r="H667" i="1" s="1"/>
  <c r="I667" i="1" s="1"/>
  <c r="G659" i="1" a="1"/>
  <c r="G659" i="1" s="1"/>
  <c r="H659" i="1" s="1"/>
  <c r="I659" i="1" s="1"/>
  <c r="G656" i="1" a="1"/>
  <c r="G656" i="1" s="1"/>
  <c r="H656" i="1" s="1"/>
  <c r="I656" i="1" s="1"/>
  <c r="G661" i="1" a="1"/>
  <c r="G661" i="1" s="1"/>
  <c r="H661" i="1" s="1"/>
  <c r="I661" i="1" s="1"/>
  <c r="G664" i="1" a="1"/>
  <c r="G664" i="1" s="1"/>
  <c r="H664" i="1" s="1"/>
  <c r="I664" i="1" s="1"/>
  <c r="G669" i="1" a="1"/>
  <c r="G669" i="1" s="1"/>
  <c r="H669" i="1" s="1"/>
  <c r="I669" i="1" s="1"/>
  <c r="G873" i="1" a="1"/>
  <c r="G873" i="1" s="1"/>
  <c r="H873" i="1" s="1"/>
  <c r="I873" i="1" s="1"/>
  <c r="G857" i="1" a="1"/>
  <c r="G857" i="1" s="1"/>
  <c r="H857" i="1" s="1"/>
  <c r="I857" i="1" s="1"/>
  <c r="G876" i="1" a="1"/>
  <c r="G876" i="1" s="1"/>
  <c r="H876" i="1" s="1"/>
  <c r="I876" i="1" s="1"/>
  <c r="G875" i="1" a="1"/>
  <c r="G875" i="1" s="1"/>
  <c r="H875" i="1" s="1"/>
  <c r="I875" i="1" s="1"/>
  <c r="G874" i="1" a="1"/>
  <c r="G874" i="1" s="1"/>
  <c r="H874" i="1" s="1"/>
  <c r="I874" i="1" s="1"/>
  <c r="G865" i="1" a="1"/>
  <c r="G865" i="1" s="1"/>
  <c r="H865" i="1" s="1"/>
  <c r="I865" i="1" s="1"/>
  <c r="G870" i="1" a="1"/>
  <c r="G870" i="1" s="1"/>
  <c r="H870" i="1" s="1"/>
  <c r="I870" i="1" s="1"/>
  <c r="G862" i="1" a="1"/>
  <c r="G862" i="1" s="1"/>
  <c r="H862" i="1" s="1"/>
  <c r="I862" i="1" s="1"/>
  <c r="G869" i="1" a="1"/>
  <c r="G869" i="1" s="1"/>
  <c r="H869" i="1" s="1"/>
  <c r="I869" i="1" s="1"/>
  <c r="G871" i="1" a="1"/>
  <c r="G871" i="1" s="1"/>
  <c r="H871" i="1" s="1"/>
  <c r="I871" i="1" s="1"/>
  <c r="G855" i="1" a="1"/>
  <c r="G855" i="1" s="1"/>
  <c r="H855" i="1" s="1"/>
  <c r="I855" i="1" s="1"/>
  <c r="G864" i="1" a="1"/>
  <c r="G864" i="1" s="1"/>
  <c r="H864" i="1" s="1"/>
  <c r="I864" i="1" s="1"/>
  <c r="G860" i="1" a="1"/>
  <c r="G860" i="1" s="1"/>
  <c r="H860" i="1" s="1"/>
  <c r="I860" i="1" s="1"/>
  <c r="G866" i="1" a="1"/>
  <c r="G866" i="1" s="1"/>
  <c r="H866" i="1" s="1"/>
  <c r="I866" i="1" s="1"/>
  <c r="G856" i="1" a="1"/>
  <c r="G856" i="1" s="1"/>
  <c r="H856" i="1" s="1"/>
  <c r="I856" i="1" s="1"/>
  <c r="G863" i="1" a="1"/>
  <c r="G863" i="1" s="1"/>
  <c r="H863" i="1" s="1"/>
  <c r="I863" i="1" s="1"/>
  <c r="G861" i="1" a="1"/>
  <c r="G861" i="1" s="1"/>
  <c r="H861" i="1" s="1"/>
  <c r="I861" i="1" s="1"/>
  <c r="G858" i="1" a="1"/>
  <c r="G858" i="1" s="1"/>
  <c r="H858" i="1" s="1"/>
  <c r="I858" i="1" s="1"/>
  <c r="G859" i="1" a="1"/>
  <c r="G859" i="1" s="1"/>
  <c r="H859" i="1" s="1"/>
  <c r="I859" i="1" s="1"/>
  <c r="G868" i="1" a="1"/>
  <c r="G868" i="1" s="1"/>
  <c r="H868" i="1" s="1"/>
  <c r="I868" i="1" s="1"/>
  <c r="G872" i="1" a="1"/>
  <c r="G872" i="1" s="1"/>
  <c r="H872" i="1" s="1"/>
  <c r="I872" i="1" s="1"/>
  <c r="G867" i="1" a="1"/>
  <c r="G867" i="1" s="1"/>
  <c r="H867" i="1" s="1"/>
  <c r="I867" i="1" s="1"/>
  <c r="G739" i="1" a="1"/>
  <c r="G739" i="1" s="1"/>
  <c r="H739" i="1" s="1"/>
  <c r="I739" i="1" s="1"/>
  <c r="G728" i="1" a="1"/>
  <c r="G728" i="1" s="1"/>
  <c r="H728" i="1" s="1"/>
  <c r="I728" i="1" s="1"/>
  <c r="G747" i="1" a="1"/>
  <c r="G747" i="1" s="1"/>
  <c r="H747" i="1" s="1"/>
  <c r="I747" i="1" s="1"/>
  <c r="G725" i="1" a="1"/>
  <c r="G725" i="1" s="1"/>
  <c r="H725" i="1" s="1"/>
  <c r="I725" i="1" s="1"/>
  <c r="G749" i="1" a="1"/>
  <c r="G749" i="1" s="1"/>
  <c r="H749" i="1" s="1"/>
  <c r="I749" i="1" s="1"/>
  <c r="G748" i="1" a="1"/>
  <c r="G748" i="1" s="1"/>
  <c r="H748" i="1" s="1"/>
  <c r="I748" i="1" s="1"/>
  <c r="G750" i="1" a="1"/>
  <c r="G750" i="1" s="1"/>
  <c r="H750" i="1" s="1"/>
  <c r="I750" i="1" s="1"/>
  <c r="G731" i="1" a="1"/>
  <c r="G731" i="1" s="1"/>
  <c r="H731" i="1" s="1"/>
  <c r="I731" i="1" s="1"/>
  <c r="G751" i="1" a="1"/>
  <c r="G751" i="1" s="1"/>
  <c r="H751" i="1" s="1"/>
  <c r="I751" i="1" s="1"/>
  <c r="G735" i="1" a="1"/>
  <c r="G735" i="1" s="1"/>
  <c r="H735" i="1" s="1"/>
  <c r="I735" i="1" s="1"/>
  <c r="G722" i="1" a="1"/>
  <c r="G722" i="1" s="1"/>
  <c r="H722" i="1" s="1"/>
  <c r="I722" i="1" s="1"/>
  <c r="G738" i="1" a="1"/>
  <c r="G738" i="1" s="1"/>
  <c r="H738" i="1" s="1"/>
  <c r="I738" i="1" s="1"/>
  <c r="G723" i="1" a="1"/>
  <c r="G723" i="1" s="1"/>
  <c r="H723" i="1" s="1"/>
  <c r="I723" i="1" s="1"/>
  <c r="G736" i="1" a="1"/>
  <c r="G736" i="1" s="1"/>
  <c r="H736" i="1" s="1"/>
  <c r="I736" i="1" s="1"/>
  <c r="G719" i="1" a="1"/>
  <c r="G719" i="1" s="1"/>
  <c r="H719" i="1" s="1"/>
  <c r="I719" i="1" s="1"/>
  <c r="G733" i="1" a="1"/>
  <c r="G733" i="1" s="1"/>
  <c r="H733" i="1" s="1"/>
  <c r="I733" i="1" s="1"/>
  <c r="G745" i="1" a="1"/>
  <c r="G745" i="1" s="1"/>
  <c r="H745" i="1" s="1"/>
  <c r="I745" i="1" s="1"/>
  <c r="G743" i="1" a="1"/>
  <c r="G743" i="1" s="1"/>
  <c r="H743" i="1" s="1"/>
  <c r="I743" i="1" s="1"/>
  <c r="G724" i="1" a="1"/>
  <c r="G724" i="1" s="1"/>
  <c r="H724" i="1" s="1"/>
  <c r="I724" i="1" s="1"/>
  <c r="G732" i="1" a="1"/>
  <c r="G732" i="1" s="1"/>
  <c r="H732" i="1" s="1"/>
  <c r="I732" i="1" s="1"/>
  <c r="G727" i="1" a="1"/>
  <c r="G727" i="1" s="1"/>
  <c r="H727" i="1" s="1"/>
  <c r="I727" i="1" s="1"/>
  <c r="G726" i="1" a="1"/>
  <c r="G726" i="1" s="1"/>
  <c r="H726" i="1" s="1"/>
  <c r="I726" i="1" s="1"/>
  <c r="G746" i="1" a="1"/>
  <c r="G746" i="1" s="1"/>
  <c r="H746" i="1" s="1"/>
  <c r="I746" i="1" s="1"/>
  <c r="G737" i="1" a="1"/>
  <c r="G737" i="1" s="1"/>
  <c r="H737" i="1" s="1"/>
  <c r="I737" i="1" s="1"/>
  <c r="G742" i="1" a="1"/>
  <c r="G742" i="1" s="1"/>
  <c r="H742" i="1" s="1"/>
  <c r="I742" i="1" s="1"/>
  <c r="G729" i="1" a="1"/>
  <c r="G729" i="1" s="1"/>
  <c r="H729" i="1" s="1"/>
  <c r="I729" i="1" s="1"/>
  <c r="G721" i="1" a="1"/>
  <c r="G721" i="1" s="1"/>
  <c r="H721" i="1" s="1"/>
  <c r="I721" i="1" s="1"/>
  <c r="G741" i="1" a="1"/>
  <c r="G741" i="1" s="1"/>
  <c r="H741" i="1" s="1"/>
  <c r="I741" i="1" s="1"/>
  <c r="G720" i="1" a="1"/>
  <c r="G720" i="1" s="1"/>
  <c r="H720" i="1" s="1"/>
  <c r="I720" i="1" s="1"/>
  <c r="G734" i="1" a="1"/>
  <c r="G734" i="1" s="1"/>
  <c r="H734" i="1" s="1"/>
  <c r="I734" i="1" s="1"/>
  <c r="G740" i="1" a="1"/>
  <c r="G740" i="1" s="1"/>
  <c r="H740" i="1" s="1"/>
  <c r="I740" i="1" s="1"/>
  <c r="G730" i="1" a="1"/>
  <c r="G730" i="1" s="1"/>
  <c r="H730" i="1" s="1"/>
  <c r="I730" i="1" s="1"/>
  <c r="G744" i="1" a="1"/>
  <c r="G744" i="1" s="1"/>
  <c r="H744" i="1" s="1"/>
  <c r="I744" i="1" s="1"/>
  <c r="G470" i="1" a="1"/>
  <c r="G470" i="1" s="1"/>
  <c r="H470" i="1" s="1"/>
  <c r="I470" i="1" s="1"/>
  <c r="G471" i="1" a="1"/>
  <c r="G471" i="1" s="1"/>
  <c r="H471" i="1" s="1"/>
  <c r="I471" i="1" s="1"/>
  <c r="G476" i="1" a="1"/>
  <c r="G476" i="1" s="1"/>
  <c r="H476" i="1" s="1"/>
  <c r="I476" i="1" s="1"/>
  <c r="G255" i="1" a="1"/>
  <c r="G255" i="1" s="1"/>
  <c r="H255" i="1" s="1"/>
  <c r="I255" i="1" s="1"/>
  <c r="G482" i="1" a="1"/>
  <c r="G482" i="1" s="1"/>
  <c r="H482" i="1" s="1"/>
  <c r="I482" i="1" s="1"/>
  <c r="G481" i="1" a="1"/>
  <c r="G481" i="1" s="1"/>
  <c r="H481" i="1" s="1"/>
  <c r="I481" i="1" s="1"/>
  <c r="G484" i="1" a="1"/>
  <c r="G484" i="1" s="1"/>
  <c r="H484" i="1" s="1"/>
  <c r="I484" i="1" s="1"/>
  <c r="G475" i="1" a="1"/>
  <c r="G475" i="1" s="1"/>
  <c r="H475" i="1" s="1"/>
  <c r="I475" i="1" s="1"/>
  <c r="G259" i="1" a="1"/>
  <c r="G259" i="1" s="1"/>
  <c r="H259" i="1" s="1"/>
  <c r="I259" i="1" s="1"/>
  <c r="G260" i="1" a="1"/>
  <c r="G260" i="1" s="1"/>
  <c r="H260" i="1" s="1"/>
  <c r="I260" i="1" s="1"/>
  <c r="G473" i="1" a="1"/>
  <c r="G473" i="1" s="1"/>
  <c r="H473" i="1" s="1"/>
  <c r="I473" i="1" s="1"/>
  <c r="G478" i="1" a="1"/>
  <c r="G478" i="1" s="1"/>
  <c r="H478" i="1" s="1"/>
  <c r="I478" i="1" s="1"/>
  <c r="G480" i="1" a="1"/>
  <c r="G480" i="1" s="1"/>
  <c r="H480" i="1" s="1"/>
  <c r="I480" i="1" s="1"/>
  <c r="G252" i="1" a="1"/>
  <c r="G252" i="1" s="1"/>
  <c r="H252" i="1" s="1"/>
  <c r="I252" i="1" s="1"/>
  <c r="G477" i="1" a="1"/>
  <c r="G477" i="1" s="1"/>
  <c r="H477" i="1" s="1"/>
  <c r="I477" i="1" s="1"/>
  <c r="G479" i="1" a="1"/>
  <c r="G479" i="1" s="1"/>
  <c r="H479" i="1" s="1"/>
  <c r="I479" i="1" s="1"/>
  <c r="G472" i="1" a="1"/>
  <c r="G472" i="1" s="1"/>
  <c r="H472" i="1" s="1"/>
  <c r="I472" i="1" s="1"/>
  <c r="G474" i="1" a="1"/>
  <c r="G474" i="1" s="1"/>
  <c r="H474" i="1" s="1"/>
  <c r="I474" i="1" s="1"/>
  <c r="G253" i="1" a="1"/>
  <c r="G253" i="1" s="1"/>
  <c r="H253" i="1" s="1"/>
  <c r="I253" i="1" s="1"/>
  <c r="G717" i="1" a="1"/>
  <c r="G717" i="1" s="1"/>
  <c r="H717" i="1" s="1"/>
  <c r="I717" i="1" s="1"/>
  <c r="G718" i="1" a="1"/>
  <c r="G718" i="1" s="1"/>
  <c r="H718" i="1" s="1"/>
  <c r="I718" i="1" s="1"/>
  <c r="G258" i="1" a="1"/>
  <c r="G258" i="1" s="1"/>
  <c r="H258" i="1" s="1"/>
  <c r="I258" i="1" s="1"/>
  <c r="G254" i="1" a="1"/>
  <c r="G254" i="1" s="1"/>
  <c r="H254" i="1" s="1"/>
  <c r="I254" i="1" s="1"/>
  <c r="G551" i="1" a="1"/>
  <c r="G551" i="1" s="1"/>
  <c r="H551" i="1" s="1"/>
  <c r="I551" i="1" s="1"/>
  <c r="G257" i="1" a="1"/>
  <c r="G257" i="1" s="1"/>
  <c r="H257" i="1" s="1"/>
  <c r="I257" i="1" s="1"/>
  <c r="G256" i="1" a="1"/>
  <c r="G256" i="1" s="1"/>
  <c r="H256" i="1" s="1"/>
  <c r="I256" i="1" s="1"/>
  <c r="G421" i="1" a="1"/>
  <c r="G421" i="1" s="1"/>
  <c r="H421" i="1" s="1"/>
  <c r="I421" i="1" s="1"/>
  <c r="G251" i="1" a="1"/>
  <c r="G251" i="1" s="1"/>
  <c r="H251" i="1" s="1"/>
  <c r="I251" i="1" s="1"/>
  <c r="G483" i="1" a="1"/>
  <c r="G483" i="1" s="1"/>
  <c r="H483" i="1" s="1"/>
  <c r="I483" i="1" s="1"/>
  <c r="G469" i="1" a="1"/>
  <c r="G469" i="1" s="1"/>
  <c r="H469" i="1" s="1"/>
  <c r="I469" i="1" s="1"/>
  <c r="G507" i="1" a="1"/>
  <c r="G507" i="1" s="1"/>
  <c r="H507" i="1" s="1"/>
  <c r="I507" i="1" s="1"/>
  <c r="G485" i="1" a="1"/>
  <c r="G485" i="1" s="1"/>
  <c r="H485" i="1" s="1"/>
  <c r="I485" i="1" s="1"/>
  <c r="G508" i="1" a="1"/>
  <c r="G508" i="1" s="1"/>
  <c r="H508" i="1" s="1"/>
  <c r="I508" i="1" s="1"/>
  <c r="G503" i="1" a="1"/>
  <c r="G503" i="1" s="1"/>
  <c r="H503" i="1" s="1"/>
  <c r="I503" i="1" s="1"/>
  <c r="G505" i="1" a="1"/>
  <c r="G505" i="1" s="1"/>
  <c r="H505" i="1" s="1"/>
  <c r="I505" i="1" s="1"/>
  <c r="G488" i="1" a="1"/>
  <c r="G488" i="1" s="1"/>
  <c r="H488" i="1" s="1"/>
  <c r="I488" i="1" s="1"/>
  <c r="G504" i="1" a="1"/>
  <c r="G504" i="1" s="1"/>
  <c r="H504" i="1" s="1"/>
  <c r="I504" i="1" s="1"/>
  <c r="G486" i="1" a="1"/>
  <c r="G486" i="1" s="1"/>
  <c r="H486" i="1" s="1"/>
  <c r="I486" i="1" s="1"/>
  <c r="G487" i="1" a="1"/>
  <c r="G487" i="1" s="1"/>
  <c r="H487" i="1" s="1"/>
  <c r="I487" i="1" s="1"/>
  <c r="G495" i="1" a="1"/>
  <c r="G495" i="1" s="1"/>
  <c r="H495" i="1" s="1"/>
  <c r="I495" i="1" s="1"/>
  <c r="G499" i="1" a="1"/>
  <c r="G499" i="1" s="1"/>
  <c r="H499" i="1" s="1"/>
  <c r="I499" i="1" s="1"/>
  <c r="G490" i="1" a="1"/>
  <c r="G490" i="1" s="1"/>
  <c r="H490" i="1" s="1"/>
  <c r="I490" i="1" s="1"/>
  <c r="G496" i="1" a="1"/>
  <c r="G496" i="1" s="1"/>
  <c r="H496" i="1" s="1"/>
  <c r="I496" i="1" s="1"/>
  <c r="G506" i="1" a="1"/>
  <c r="G506" i="1" s="1"/>
  <c r="H506" i="1" s="1"/>
  <c r="I506" i="1" s="1"/>
  <c r="G515" i="1" a="1"/>
  <c r="G515" i="1" s="1"/>
  <c r="H515" i="1" s="1"/>
  <c r="I515" i="1" s="1"/>
  <c r="G498" i="1" a="1"/>
  <c r="G498" i="1" s="1"/>
  <c r="H498" i="1" s="1"/>
  <c r="I498" i="1" s="1"/>
  <c r="G513" i="1" a="1"/>
  <c r="G513" i="1" s="1"/>
  <c r="H513" i="1" s="1"/>
  <c r="I513" i="1" s="1"/>
  <c r="G512" i="1" a="1"/>
  <c r="G512" i="1" s="1"/>
  <c r="H512" i="1" s="1"/>
  <c r="I512" i="1" s="1"/>
  <c r="G491" i="1" a="1"/>
  <c r="G491" i="1" s="1"/>
  <c r="H491" i="1" s="1"/>
  <c r="I491" i="1" s="1"/>
  <c r="G497" i="1" a="1"/>
  <c r="G497" i="1" s="1"/>
  <c r="H497" i="1" s="1"/>
  <c r="I497" i="1" s="1"/>
  <c r="G502" i="1" a="1"/>
  <c r="G502" i="1" s="1"/>
  <c r="H502" i="1" s="1"/>
  <c r="I502" i="1" s="1"/>
  <c r="G925" i="1" a="1"/>
  <c r="G925" i="1" s="1"/>
  <c r="H925" i="1" s="1"/>
  <c r="I925" i="1" s="1"/>
  <c r="G493" i="1" a="1"/>
  <c r="G493" i="1" s="1"/>
  <c r="H493" i="1" s="1"/>
  <c r="I493" i="1" s="1"/>
  <c r="G510" i="1" a="1"/>
  <c r="G510" i="1" s="1"/>
  <c r="H510" i="1" s="1"/>
  <c r="I510" i="1" s="1"/>
  <c r="G511" i="1" a="1"/>
  <c r="G511" i="1" s="1"/>
  <c r="H511" i="1" s="1"/>
  <c r="I511" i="1" s="1"/>
  <c r="G924" i="1" a="1"/>
  <c r="G924" i="1" s="1"/>
  <c r="H924" i="1" s="1"/>
  <c r="I924" i="1" s="1"/>
  <c r="G500" i="1" a="1"/>
  <c r="G500" i="1" s="1"/>
  <c r="H500" i="1" s="1"/>
  <c r="I500" i="1" s="1"/>
  <c r="G514" i="1" a="1"/>
  <c r="G514" i="1" s="1"/>
  <c r="H514" i="1" s="1"/>
  <c r="I514" i="1" s="1"/>
  <c r="G492" i="1" a="1"/>
  <c r="G492" i="1" s="1"/>
  <c r="H492" i="1" s="1"/>
  <c r="I492" i="1" s="1"/>
  <c r="G509" i="1" a="1"/>
  <c r="G509" i="1" s="1"/>
  <c r="H509" i="1" s="1"/>
  <c r="I509" i="1" s="1"/>
  <c r="G489" i="1" a="1"/>
  <c r="G489" i="1" s="1"/>
  <c r="H489" i="1" s="1"/>
  <c r="I489" i="1" s="1"/>
  <c r="G494" i="1" a="1"/>
  <c r="G494" i="1" s="1"/>
  <c r="H494" i="1" s="1"/>
  <c r="I494" i="1" s="1"/>
  <c r="G501" i="1" a="1"/>
  <c r="G501" i="1" s="1"/>
  <c r="H501" i="1" s="1"/>
  <c r="I501" i="1" s="1"/>
  <c r="G199" i="1" a="1"/>
  <c r="G199" i="1" s="1"/>
  <c r="H199" i="1" s="1"/>
  <c r="I199" i="1" s="1"/>
  <c r="G195" i="1" a="1"/>
  <c r="G195" i="1" s="1"/>
  <c r="H195" i="1" s="1"/>
  <c r="I195" i="1" s="1"/>
  <c r="G194" i="1" a="1"/>
  <c r="G194" i="1" s="1"/>
  <c r="H194" i="1" s="1"/>
  <c r="I194" i="1" s="1"/>
  <c r="G189" i="1" a="1"/>
  <c r="G189" i="1" s="1"/>
  <c r="H189" i="1" s="1"/>
  <c r="I189" i="1" s="1"/>
  <c r="G197" i="1" a="1"/>
  <c r="G197" i="1" s="1"/>
  <c r="H197" i="1" s="1"/>
  <c r="I197" i="1" s="1"/>
  <c r="G192" i="1" a="1"/>
  <c r="G192" i="1" s="1"/>
  <c r="H192" i="1" s="1"/>
  <c r="I192" i="1" s="1"/>
  <c r="G196" i="1" a="1"/>
  <c r="G196" i="1" s="1"/>
  <c r="H196" i="1" s="1"/>
  <c r="I196" i="1" s="1"/>
  <c r="G183" i="1" a="1"/>
  <c r="G183" i="1" s="1"/>
  <c r="H183" i="1" s="1"/>
  <c r="I183" i="1" s="1"/>
  <c r="G190" i="1" a="1"/>
  <c r="G190" i="1" s="1"/>
  <c r="H190" i="1" s="1"/>
  <c r="I190" i="1" s="1"/>
  <c r="G187" i="1" a="1"/>
  <c r="G187" i="1" s="1"/>
  <c r="H187" i="1" s="1"/>
  <c r="I187" i="1" s="1"/>
  <c r="G198" i="1" a="1"/>
  <c r="G198" i="1" s="1"/>
  <c r="H198" i="1" s="1"/>
  <c r="I198" i="1" s="1"/>
  <c r="G171" i="1" a="1"/>
  <c r="G171" i="1" s="1"/>
  <c r="H171" i="1" s="1"/>
  <c r="I171" i="1" s="1"/>
  <c r="G182" i="1" a="1"/>
  <c r="G182" i="1" s="1"/>
  <c r="H182" i="1" s="1"/>
  <c r="I182" i="1" s="1"/>
  <c r="G170" i="1" a="1"/>
  <c r="G170" i="1" s="1"/>
  <c r="H170" i="1" s="1"/>
  <c r="I170" i="1" s="1"/>
  <c r="G181" i="1" a="1"/>
  <c r="G181" i="1" s="1"/>
  <c r="H181" i="1" s="1"/>
  <c r="I181" i="1" s="1"/>
  <c r="G186" i="1" a="1"/>
  <c r="G186" i="1" s="1"/>
  <c r="H186" i="1" s="1"/>
  <c r="I186" i="1" s="1"/>
  <c r="G176" i="1" a="1"/>
  <c r="G176" i="1" s="1"/>
  <c r="H176" i="1" s="1"/>
  <c r="I176" i="1" s="1"/>
  <c r="G188" i="1" a="1"/>
  <c r="G188" i="1" s="1"/>
  <c r="H188" i="1" s="1"/>
  <c r="I188" i="1" s="1"/>
  <c r="G172" i="1" a="1"/>
  <c r="G172" i="1" s="1"/>
  <c r="H172" i="1" s="1"/>
  <c r="I172" i="1" s="1"/>
  <c r="G175" i="1" a="1"/>
  <c r="G175" i="1" s="1"/>
  <c r="H175" i="1" s="1"/>
  <c r="I175" i="1" s="1"/>
  <c r="G191" i="1" a="1"/>
  <c r="G191" i="1" s="1"/>
  <c r="H191" i="1" s="1"/>
  <c r="I191" i="1" s="1"/>
  <c r="G179" i="1" a="1"/>
  <c r="G179" i="1" s="1"/>
  <c r="H179" i="1" s="1"/>
  <c r="I179" i="1" s="1"/>
  <c r="G177" i="1" a="1"/>
  <c r="G177" i="1" s="1"/>
  <c r="H177" i="1" s="1"/>
  <c r="I177" i="1" s="1"/>
  <c r="G184" i="1" a="1"/>
  <c r="G184" i="1" s="1"/>
  <c r="H184" i="1" s="1"/>
  <c r="I184" i="1" s="1"/>
  <c r="G174" i="1" a="1"/>
  <c r="G174" i="1" s="1"/>
  <c r="H174" i="1" s="1"/>
  <c r="I174" i="1" s="1"/>
  <c r="G173" i="1" a="1"/>
  <c r="G173" i="1" s="1"/>
  <c r="H173" i="1" s="1"/>
  <c r="I173" i="1" s="1"/>
  <c r="G178" i="1" a="1"/>
  <c r="G178" i="1" s="1"/>
  <c r="H178" i="1" s="1"/>
  <c r="I178" i="1" s="1"/>
  <c r="G201" i="1" a="1"/>
  <c r="G201" i="1" s="1"/>
  <c r="H201" i="1" s="1"/>
  <c r="I201" i="1" s="1"/>
  <c r="G202" i="1" a="1"/>
  <c r="G202" i="1" s="1"/>
  <c r="H202" i="1" s="1"/>
  <c r="I202" i="1" s="1"/>
  <c r="G204" i="1" a="1"/>
  <c r="G204" i="1" s="1"/>
  <c r="H204" i="1" s="1"/>
  <c r="I204" i="1" s="1"/>
  <c r="G180" i="1" a="1"/>
  <c r="G180" i="1" s="1"/>
  <c r="H180" i="1" s="1"/>
  <c r="I180" i="1" s="1"/>
  <c r="G203" i="1" a="1"/>
  <c r="G203" i="1" s="1"/>
  <c r="H203" i="1" s="1"/>
  <c r="I203" i="1" s="1"/>
  <c r="G185" i="1" a="1"/>
  <c r="G185" i="1" s="1"/>
  <c r="H185" i="1" s="1"/>
  <c r="I185" i="1" s="1"/>
  <c r="G200" i="1" a="1"/>
  <c r="G200" i="1" s="1"/>
  <c r="H200" i="1" s="1"/>
  <c r="I200" i="1" s="1"/>
  <c r="G169" i="1" a="1"/>
  <c r="G169" i="1" s="1"/>
  <c r="H169" i="1" s="1"/>
  <c r="I169" i="1" s="1"/>
  <c r="G193" i="1" a="1"/>
  <c r="G193" i="1" s="1"/>
  <c r="H193" i="1" s="1"/>
  <c r="I193" i="1" s="1"/>
  <c r="G206" i="1" a="1"/>
  <c r="G206" i="1" s="1"/>
  <c r="H206" i="1" s="1"/>
  <c r="I206" i="1" s="1"/>
  <c r="G207" i="1" a="1"/>
  <c r="G207" i="1" s="1"/>
  <c r="H207" i="1" s="1"/>
  <c r="I207" i="1" s="1"/>
  <c r="G205" i="1" a="1"/>
  <c r="G205" i="1" s="1"/>
  <c r="H205" i="1" s="1"/>
  <c r="I205" i="1" s="1"/>
  <c r="G799" i="1" a="1"/>
  <c r="G799" i="1" s="1"/>
  <c r="H799" i="1" s="1"/>
  <c r="I799" i="1" s="1"/>
  <c r="G803" i="1" a="1"/>
  <c r="G803" i="1" s="1"/>
  <c r="H803" i="1" s="1"/>
  <c r="I803" i="1" s="1"/>
  <c r="G808" i="1" a="1"/>
  <c r="G808" i="1" s="1"/>
  <c r="H808" i="1" s="1"/>
  <c r="I808" i="1" s="1"/>
  <c r="G807" i="1" a="1"/>
  <c r="G807" i="1" s="1"/>
  <c r="H807" i="1" s="1"/>
  <c r="I807" i="1" s="1"/>
  <c r="G801" i="1" a="1"/>
  <c r="G801" i="1" s="1"/>
  <c r="H801" i="1" s="1"/>
  <c r="I801" i="1" s="1"/>
  <c r="G804" i="1" a="1"/>
  <c r="G804" i="1" s="1"/>
  <c r="H804" i="1" s="1"/>
  <c r="I804" i="1" s="1"/>
  <c r="G797" i="1" a="1"/>
  <c r="G797" i="1" s="1"/>
  <c r="H797" i="1" s="1"/>
  <c r="I797" i="1" s="1"/>
  <c r="G802" i="1" a="1"/>
  <c r="G802" i="1" s="1"/>
  <c r="H802" i="1" s="1"/>
  <c r="I802" i="1" s="1"/>
  <c r="G793" i="1" a="1"/>
  <c r="G793" i="1" s="1"/>
  <c r="H793" i="1" s="1"/>
  <c r="I793" i="1" s="1"/>
  <c r="G792" i="1" a="1"/>
  <c r="G792" i="1" s="1"/>
  <c r="H792" i="1" s="1"/>
  <c r="I792" i="1" s="1"/>
  <c r="G574" i="1" a="1"/>
  <c r="G574" i="1" s="1"/>
  <c r="H574" i="1" s="1"/>
  <c r="I574" i="1" s="1"/>
  <c r="G798" i="1" a="1"/>
  <c r="G798" i="1" s="1"/>
  <c r="H798" i="1" s="1"/>
  <c r="I798" i="1" s="1"/>
  <c r="G789" i="1" a="1"/>
  <c r="G789" i="1" s="1"/>
  <c r="H789" i="1" s="1"/>
  <c r="I789" i="1" s="1"/>
  <c r="G796" i="1" a="1"/>
  <c r="G796" i="1" s="1"/>
  <c r="H796" i="1" s="1"/>
  <c r="I796" i="1" s="1"/>
  <c r="G794" i="1" a="1"/>
  <c r="G794" i="1" s="1"/>
  <c r="H794" i="1" s="1"/>
  <c r="I794" i="1" s="1"/>
  <c r="G813" i="1" a="1"/>
  <c r="G813" i="1" s="1"/>
  <c r="H813" i="1" s="1"/>
  <c r="I813" i="1" s="1"/>
  <c r="G811" i="1" a="1"/>
  <c r="G811" i="1" s="1"/>
  <c r="H811" i="1" s="1"/>
  <c r="I811" i="1" s="1"/>
  <c r="G795" i="1" a="1"/>
  <c r="G795" i="1" s="1"/>
  <c r="H795" i="1" s="1"/>
  <c r="I795" i="1" s="1"/>
  <c r="G809" i="1" a="1"/>
  <c r="G809" i="1" s="1"/>
  <c r="H809" i="1" s="1"/>
  <c r="I809" i="1" s="1"/>
  <c r="G800" i="1" a="1"/>
  <c r="G800" i="1" s="1"/>
  <c r="H800" i="1" s="1"/>
  <c r="I800" i="1" s="1"/>
  <c r="G812" i="1" a="1"/>
  <c r="G812" i="1" s="1"/>
  <c r="H812" i="1" s="1"/>
  <c r="I812" i="1" s="1"/>
  <c r="G805" i="1" a="1"/>
  <c r="G805" i="1" s="1"/>
  <c r="H805" i="1" s="1"/>
  <c r="I805" i="1" s="1"/>
  <c r="G788" i="1" a="1"/>
  <c r="G788" i="1" s="1"/>
  <c r="H788" i="1" s="1"/>
  <c r="I788" i="1" s="1"/>
  <c r="G595" i="1" a="1"/>
  <c r="G595" i="1" s="1"/>
  <c r="H595" i="1" s="1"/>
  <c r="I595" i="1" s="1"/>
  <c r="G806" i="1" a="1"/>
  <c r="G806" i="1" s="1"/>
  <c r="H806" i="1" s="1"/>
  <c r="I806" i="1" s="1"/>
  <c r="G810" i="1" a="1"/>
  <c r="G810" i="1" s="1"/>
  <c r="H810" i="1" s="1"/>
  <c r="I810" i="1" s="1"/>
  <c r="G791" i="1" a="1"/>
  <c r="G791" i="1" s="1"/>
  <c r="H791" i="1" s="1"/>
  <c r="I791" i="1" s="1"/>
  <c r="G790" i="1" a="1"/>
  <c r="G790" i="1" s="1"/>
  <c r="H790" i="1" s="1"/>
  <c r="I790" i="1" s="1"/>
  <c r="G168" i="1" a="1"/>
  <c r="G168" i="1" s="1"/>
  <c r="H168" i="1" s="1"/>
  <c r="I168" i="1" s="1"/>
  <c r="G957" i="1" a="1"/>
  <c r="G957" i="1" s="1"/>
  <c r="H957" i="1" s="1"/>
  <c r="I957" i="1" s="1"/>
  <c r="G960" i="1" a="1"/>
  <c r="G960" i="1" s="1"/>
  <c r="H960" i="1" s="1"/>
  <c r="I960" i="1" s="1"/>
  <c r="G954" i="1" a="1"/>
  <c r="G954" i="1" s="1"/>
  <c r="H954" i="1" s="1"/>
  <c r="I954" i="1" s="1"/>
  <c r="G963" i="1" a="1"/>
  <c r="G963" i="1" s="1"/>
  <c r="H963" i="1" s="1"/>
  <c r="I963" i="1" s="1"/>
  <c r="G961" i="1" a="1"/>
  <c r="G961" i="1" s="1"/>
  <c r="H961" i="1" s="1"/>
  <c r="I961" i="1" s="1"/>
  <c r="G967" i="1" a="1"/>
  <c r="G967" i="1" s="1"/>
  <c r="H967" i="1" s="1"/>
  <c r="I967" i="1" s="1"/>
  <c r="G968" i="1" a="1"/>
  <c r="G968" i="1" s="1"/>
  <c r="H968" i="1" s="1"/>
  <c r="I968" i="1" s="1"/>
  <c r="G956" i="1" a="1"/>
  <c r="G956" i="1" s="1"/>
  <c r="H956" i="1" s="1"/>
  <c r="I956" i="1" s="1"/>
  <c r="G965" i="1" a="1"/>
  <c r="G965" i="1" s="1"/>
  <c r="H965" i="1" s="1"/>
  <c r="I965" i="1" s="1"/>
  <c r="G959" i="1" a="1"/>
  <c r="G959" i="1" s="1"/>
  <c r="H959" i="1" s="1"/>
  <c r="I959" i="1" s="1"/>
  <c r="G962" i="1" a="1"/>
  <c r="G962" i="1" s="1"/>
  <c r="H962" i="1" s="1"/>
  <c r="I962" i="1" s="1"/>
  <c r="G964" i="1" a="1"/>
  <c r="G964" i="1" s="1"/>
  <c r="H964" i="1" s="1"/>
  <c r="I964" i="1" s="1"/>
  <c r="G966" i="1" a="1"/>
  <c r="G966" i="1" s="1"/>
  <c r="H966" i="1" s="1"/>
  <c r="I966" i="1" s="1"/>
  <c r="G969" i="1" a="1"/>
  <c r="G969" i="1" s="1"/>
  <c r="H969" i="1" s="1"/>
  <c r="I969" i="1" s="1"/>
  <c r="G955" i="1" a="1"/>
  <c r="G955" i="1" s="1"/>
  <c r="H955" i="1" s="1"/>
  <c r="I955" i="1" s="1"/>
  <c r="G958" i="1" a="1"/>
  <c r="G958" i="1" s="1"/>
  <c r="H958" i="1" s="1"/>
  <c r="I958" i="1" s="1"/>
  <c r="G348" i="1" a="1"/>
  <c r="G348" i="1" s="1"/>
  <c r="H348" i="1" s="1"/>
  <c r="I348" i="1" s="1"/>
  <c r="G349" i="1" a="1"/>
  <c r="G349" i="1" s="1"/>
  <c r="H349" i="1" s="1"/>
  <c r="I349" i="1" s="1"/>
  <c r="G351" i="1" a="1"/>
  <c r="G351" i="1" s="1"/>
  <c r="H351" i="1" s="1"/>
  <c r="I351" i="1" s="1"/>
  <c r="G355" i="1" a="1"/>
  <c r="G355" i="1" s="1"/>
  <c r="H355" i="1" s="1"/>
  <c r="I355" i="1" s="1"/>
  <c r="G344" i="1" a="1"/>
  <c r="G344" i="1" s="1"/>
  <c r="H344" i="1" s="1"/>
  <c r="I344" i="1" s="1"/>
  <c r="G366" i="1" a="1"/>
  <c r="G366" i="1" s="1"/>
  <c r="H366" i="1" s="1"/>
  <c r="I366" i="1" s="1"/>
  <c r="G343" i="1" a="1"/>
  <c r="G343" i="1" s="1"/>
  <c r="H343" i="1" s="1"/>
  <c r="I343" i="1" s="1"/>
  <c r="G358" i="1" a="1"/>
  <c r="G358" i="1" s="1"/>
  <c r="H358" i="1" s="1"/>
  <c r="I358" i="1" s="1"/>
  <c r="G350" i="1" a="1"/>
  <c r="G350" i="1" s="1"/>
  <c r="H350" i="1" s="1"/>
  <c r="I350" i="1" s="1"/>
  <c r="G356" i="1" a="1"/>
  <c r="G356" i="1" s="1"/>
  <c r="H356" i="1" s="1"/>
  <c r="I356" i="1" s="1"/>
  <c r="G354" i="1" a="1"/>
  <c r="G354" i="1" s="1"/>
  <c r="H354" i="1" s="1"/>
  <c r="I354" i="1" s="1"/>
  <c r="G340" i="1" a="1"/>
  <c r="G340" i="1" s="1"/>
  <c r="H340" i="1" s="1"/>
  <c r="I340" i="1" s="1"/>
  <c r="G357" i="1" a="1"/>
  <c r="G357" i="1" s="1"/>
  <c r="H357" i="1" s="1"/>
  <c r="I357" i="1" s="1"/>
  <c r="G345" i="1" a="1"/>
  <c r="G345" i="1" s="1"/>
  <c r="H345" i="1" s="1"/>
  <c r="I345" i="1" s="1"/>
  <c r="G347" i="1" a="1"/>
  <c r="G347" i="1" s="1"/>
  <c r="H347" i="1" s="1"/>
  <c r="I347" i="1" s="1"/>
  <c r="G353" i="1" a="1"/>
  <c r="G353" i="1" s="1"/>
  <c r="H353" i="1" s="1"/>
  <c r="I353" i="1" s="1"/>
  <c r="G342" i="1" a="1"/>
  <c r="G342" i="1" s="1"/>
  <c r="H342" i="1" s="1"/>
  <c r="I342" i="1" s="1"/>
  <c r="G352" i="1" a="1"/>
  <c r="G352" i="1" s="1"/>
  <c r="H352" i="1" s="1"/>
  <c r="I352" i="1" s="1"/>
  <c r="G346" i="1" a="1"/>
  <c r="G346" i="1" s="1"/>
  <c r="H346" i="1" s="1"/>
  <c r="I346" i="1" s="1"/>
  <c r="G341" i="1" a="1"/>
  <c r="G341" i="1" s="1"/>
  <c r="H341" i="1" s="1"/>
  <c r="I341" i="1" s="1"/>
  <c r="G910" i="1" a="1"/>
  <c r="G910" i="1" s="1"/>
  <c r="H910" i="1" s="1"/>
  <c r="I910" i="1" s="1"/>
  <c r="G900" i="1" a="1"/>
  <c r="G900" i="1" s="1"/>
  <c r="H900" i="1" s="1"/>
  <c r="I900" i="1" s="1"/>
  <c r="G913" i="1" a="1"/>
  <c r="G913" i="1" s="1"/>
  <c r="H913" i="1" s="1"/>
  <c r="I913" i="1" s="1"/>
  <c r="G909" i="1" a="1"/>
  <c r="G909" i="1" s="1"/>
  <c r="H909" i="1" s="1"/>
  <c r="I909" i="1" s="1"/>
  <c r="G901" i="1" a="1"/>
  <c r="G901" i="1" s="1"/>
  <c r="H901" i="1" s="1"/>
  <c r="I901" i="1" s="1"/>
  <c r="G912" i="1" a="1"/>
  <c r="G912" i="1" s="1"/>
  <c r="H912" i="1" s="1"/>
  <c r="I912" i="1" s="1"/>
  <c r="G915" i="1" a="1"/>
  <c r="G915" i="1" s="1"/>
  <c r="H915" i="1" s="1"/>
  <c r="I915" i="1" s="1"/>
  <c r="G902" i="1" a="1"/>
  <c r="G902" i="1" s="1"/>
  <c r="H902" i="1" s="1"/>
  <c r="I902" i="1" s="1"/>
  <c r="G911" i="1" a="1"/>
  <c r="G911" i="1" s="1"/>
  <c r="H911" i="1" s="1"/>
  <c r="I911" i="1" s="1"/>
  <c r="G903" i="1" a="1"/>
  <c r="G903" i="1" s="1"/>
  <c r="H903" i="1" s="1"/>
  <c r="I903" i="1" s="1"/>
  <c r="G905" i="1" a="1"/>
  <c r="G905" i="1" s="1"/>
  <c r="H905" i="1" s="1"/>
  <c r="I905" i="1" s="1"/>
  <c r="G904" i="1" a="1"/>
  <c r="G904" i="1" s="1"/>
  <c r="H904" i="1" s="1"/>
  <c r="I904" i="1" s="1"/>
  <c r="G906" i="1" a="1"/>
  <c r="G906" i="1" s="1"/>
  <c r="H906" i="1" s="1"/>
  <c r="I906" i="1" s="1"/>
  <c r="G914" i="1" a="1"/>
  <c r="G914" i="1" s="1"/>
  <c r="H914" i="1" s="1"/>
  <c r="I914" i="1" s="1"/>
  <c r="G908" i="1" a="1"/>
  <c r="G908" i="1" s="1"/>
  <c r="H908" i="1" s="1"/>
  <c r="I908" i="1" s="1"/>
  <c r="G907" i="1" a="1"/>
  <c r="G907" i="1" s="1"/>
  <c r="H907" i="1" s="1"/>
  <c r="I907" i="1" s="1"/>
  <c r="G422" i="1" a="1"/>
  <c r="G422" i="1" s="1"/>
  <c r="H422" i="1" s="1"/>
  <c r="I422" i="1" s="1"/>
  <c r="G431" i="1" a="1"/>
  <c r="G431" i="1" s="1"/>
  <c r="H431" i="1" s="1"/>
  <c r="I431" i="1" s="1"/>
  <c r="G464" i="1" a="1"/>
  <c r="G464" i="1" s="1"/>
  <c r="H464" i="1" s="1"/>
  <c r="I464" i="1" s="1"/>
  <c r="G428" i="1" a="1"/>
  <c r="G428" i="1" s="1"/>
  <c r="H428" i="1" s="1"/>
  <c r="I428" i="1" s="1"/>
  <c r="G440" i="1" a="1"/>
  <c r="G440" i="1" s="1"/>
  <c r="H440" i="1" s="1"/>
  <c r="I440" i="1" s="1"/>
  <c r="G448" i="1" a="1"/>
  <c r="G448" i="1" s="1"/>
  <c r="H448" i="1" s="1"/>
  <c r="I448" i="1" s="1"/>
  <c r="G455" i="1" a="1"/>
  <c r="G455" i="1" s="1"/>
  <c r="H455" i="1" s="1"/>
  <c r="I455" i="1" s="1"/>
  <c r="G426" i="1" a="1"/>
  <c r="G426" i="1" s="1"/>
  <c r="H426" i="1" s="1"/>
  <c r="I426" i="1" s="1"/>
  <c r="G468" i="1" a="1"/>
  <c r="G468" i="1" s="1"/>
  <c r="H468" i="1" s="1"/>
  <c r="I468" i="1" s="1"/>
  <c r="G449" i="1" a="1"/>
  <c r="G449" i="1" s="1"/>
  <c r="H449" i="1" s="1"/>
  <c r="I449" i="1" s="1"/>
  <c r="G463" i="1" a="1"/>
  <c r="G463" i="1" s="1"/>
  <c r="H463" i="1" s="1"/>
  <c r="I463" i="1" s="1"/>
  <c r="G436" i="1" a="1"/>
  <c r="G436" i="1" s="1"/>
  <c r="H436" i="1" s="1"/>
  <c r="I436" i="1" s="1"/>
  <c r="G433" i="1" a="1"/>
  <c r="G433" i="1" s="1"/>
  <c r="H433" i="1" s="1"/>
  <c r="I433" i="1" s="1"/>
  <c r="G441" i="1" a="1"/>
  <c r="G441" i="1" s="1"/>
  <c r="H441" i="1" s="1"/>
  <c r="I441" i="1" s="1"/>
  <c r="G444" i="1" a="1"/>
  <c r="G444" i="1" s="1"/>
  <c r="H444" i="1" s="1"/>
  <c r="I444" i="1" s="1"/>
  <c r="G462" i="1" a="1"/>
  <c r="G462" i="1" s="1"/>
  <c r="H462" i="1" s="1"/>
  <c r="I462" i="1" s="1"/>
  <c r="G457" i="1" a="1"/>
  <c r="G457" i="1" s="1"/>
  <c r="H457" i="1" s="1"/>
  <c r="I457" i="1" s="1"/>
  <c r="G445" i="1" a="1"/>
  <c r="G445" i="1" s="1"/>
  <c r="H445" i="1" s="1"/>
  <c r="I445" i="1" s="1"/>
  <c r="G458" i="1" a="1"/>
  <c r="G458" i="1" s="1"/>
  <c r="H458" i="1" s="1"/>
  <c r="I458" i="1" s="1"/>
  <c r="G446" i="1" a="1"/>
  <c r="G446" i="1" s="1"/>
  <c r="H446" i="1" s="1"/>
  <c r="I446" i="1" s="1"/>
  <c r="G439" i="1" a="1"/>
  <c r="G439" i="1" s="1"/>
  <c r="H439" i="1" s="1"/>
  <c r="I439" i="1" s="1"/>
  <c r="G443" i="1" a="1"/>
  <c r="G443" i="1" s="1"/>
  <c r="H443" i="1" s="1"/>
  <c r="I443" i="1" s="1"/>
  <c r="G451" i="1" a="1"/>
  <c r="G451" i="1" s="1"/>
  <c r="H451" i="1" s="1"/>
  <c r="I451" i="1" s="1"/>
  <c r="G429" i="1" a="1"/>
  <c r="G429" i="1" s="1"/>
  <c r="H429" i="1" s="1"/>
  <c r="I429" i="1" s="1"/>
  <c r="G466" i="1" a="1"/>
  <c r="G466" i="1" s="1"/>
  <c r="H466" i="1" s="1"/>
  <c r="I466" i="1" s="1"/>
  <c r="G452" i="1" a="1"/>
  <c r="G452" i="1" s="1"/>
  <c r="H452" i="1" s="1"/>
  <c r="I452" i="1" s="1"/>
  <c r="G423" i="1" a="1"/>
  <c r="G423" i="1" s="1"/>
  <c r="H423" i="1" s="1"/>
  <c r="I423" i="1" s="1"/>
  <c r="G467" i="1" a="1"/>
  <c r="G467" i="1" s="1"/>
  <c r="H467" i="1" s="1"/>
  <c r="I467" i="1" s="1"/>
  <c r="G434" i="1" a="1"/>
  <c r="G434" i="1" s="1"/>
  <c r="H434" i="1" s="1"/>
  <c r="I434" i="1" s="1"/>
  <c r="G459" i="1" a="1"/>
  <c r="G459" i="1" s="1"/>
  <c r="H459" i="1" s="1"/>
  <c r="I459" i="1" s="1"/>
  <c r="G450" i="1" a="1"/>
  <c r="G450" i="1" s="1"/>
  <c r="H450" i="1" s="1"/>
  <c r="I450" i="1" s="1"/>
  <c r="G435" i="1" a="1"/>
  <c r="G435" i="1" s="1"/>
  <c r="H435" i="1" s="1"/>
  <c r="I435" i="1" s="1"/>
  <c r="G456" i="1" a="1"/>
  <c r="G456" i="1" s="1"/>
  <c r="H456" i="1" s="1"/>
  <c r="I456" i="1" s="1"/>
  <c r="G442" i="1" a="1"/>
  <c r="G442" i="1" s="1"/>
  <c r="H442" i="1" s="1"/>
  <c r="I442" i="1" s="1"/>
  <c r="G461" i="1" a="1"/>
  <c r="G461" i="1" s="1"/>
  <c r="H461" i="1" s="1"/>
  <c r="I461" i="1" s="1"/>
  <c r="G432" i="1" a="1"/>
  <c r="G432" i="1" s="1"/>
  <c r="H432" i="1" s="1"/>
  <c r="I432" i="1" s="1"/>
  <c r="G465" i="1" a="1"/>
  <c r="G465" i="1" s="1"/>
  <c r="H465" i="1" s="1"/>
  <c r="I465" i="1" s="1"/>
  <c r="G438" i="1" a="1"/>
  <c r="G438" i="1" s="1"/>
  <c r="H438" i="1" s="1"/>
  <c r="I438" i="1" s="1"/>
  <c r="G460" i="1" a="1"/>
  <c r="G460" i="1" s="1"/>
  <c r="H460" i="1" s="1"/>
  <c r="I460" i="1" s="1"/>
  <c r="G447" i="1" a="1"/>
  <c r="G447" i="1" s="1"/>
  <c r="H447" i="1" s="1"/>
  <c r="I447" i="1" s="1"/>
  <c r="G424" i="1" a="1"/>
  <c r="G424" i="1" s="1"/>
  <c r="H424" i="1" s="1"/>
  <c r="I424" i="1" s="1"/>
  <c r="G437" i="1" a="1"/>
  <c r="G437" i="1" s="1"/>
  <c r="H437" i="1" s="1"/>
  <c r="I437" i="1" s="1"/>
  <c r="G427" i="1" a="1"/>
  <c r="G427" i="1" s="1"/>
  <c r="H427" i="1" s="1"/>
  <c r="I427" i="1" s="1"/>
  <c r="G453" i="1" a="1"/>
  <c r="G453" i="1" s="1"/>
  <c r="H453" i="1" s="1"/>
  <c r="I453" i="1" s="1"/>
  <c r="G425" i="1" a="1"/>
  <c r="G425" i="1" s="1"/>
  <c r="H425" i="1" s="1"/>
  <c r="I425" i="1" s="1"/>
  <c r="G430" i="1" a="1"/>
  <c r="G430" i="1" s="1"/>
  <c r="H430" i="1" s="1"/>
  <c r="I430" i="1" s="1"/>
  <c r="G454" i="1" a="1"/>
  <c r="G454" i="1" s="1"/>
  <c r="H454" i="1" s="1"/>
  <c r="I454" i="1" s="1"/>
  <c r="G68" i="1" a="1"/>
  <c r="G68" i="1" s="1"/>
  <c r="H68" i="1" s="1"/>
  <c r="I68" i="1" s="1"/>
  <c r="G71" i="1" a="1"/>
  <c r="G71" i="1" s="1"/>
  <c r="H71" i="1" s="1"/>
  <c r="I71" i="1" s="1"/>
  <c r="G65" i="1" a="1"/>
  <c r="G65" i="1" s="1"/>
  <c r="H65" i="1" s="1"/>
  <c r="I65" i="1" s="1"/>
  <c r="G74" i="1" a="1"/>
  <c r="G74" i="1" s="1"/>
  <c r="H74" i="1" s="1"/>
  <c r="I74" i="1" s="1"/>
  <c r="G69" i="1" a="1"/>
  <c r="G69" i="1" s="1"/>
  <c r="H69" i="1" s="1"/>
  <c r="I69" i="1" s="1"/>
  <c r="G72" i="1" a="1"/>
  <c r="G72" i="1" s="1"/>
  <c r="H72" i="1" s="1"/>
  <c r="I72" i="1" s="1"/>
  <c r="G73" i="1" a="1"/>
  <c r="G73" i="1" s="1"/>
  <c r="H73" i="1" s="1"/>
  <c r="I73" i="1" s="1"/>
  <c r="G70" i="1" a="1"/>
  <c r="G70" i="1" s="1"/>
  <c r="H70" i="1" s="1"/>
  <c r="I70" i="1" s="1"/>
  <c r="G76" i="1" a="1"/>
  <c r="G76" i="1" s="1"/>
  <c r="H76" i="1" s="1"/>
  <c r="I76" i="1" s="1"/>
  <c r="G67" i="1" a="1"/>
  <c r="G67" i="1" s="1"/>
  <c r="H67" i="1" s="1"/>
  <c r="I67" i="1" s="1"/>
  <c r="G66" i="1" a="1"/>
  <c r="G66" i="1" s="1"/>
  <c r="H66" i="1" s="1"/>
  <c r="I66" i="1" s="1"/>
  <c r="G77" i="1" a="1"/>
  <c r="G77" i="1" s="1"/>
  <c r="H77" i="1" s="1"/>
  <c r="I77" i="1" s="1"/>
  <c r="G75" i="1" a="1"/>
  <c r="G75" i="1" s="1"/>
  <c r="H75" i="1" s="1"/>
  <c r="I75" i="1" s="1"/>
  <c r="G375" i="1" a="1"/>
  <c r="G375" i="1" s="1"/>
  <c r="H375" i="1" s="1"/>
  <c r="I375" i="1" s="1"/>
  <c r="G374" i="1" a="1"/>
  <c r="G374" i="1" s="1"/>
  <c r="H374" i="1" s="1"/>
  <c r="I374" i="1" s="1"/>
  <c r="G372" i="1" a="1"/>
  <c r="G372" i="1" s="1"/>
  <c r="H372" i="1" s="1"/>
  <c r="I372" i="1" s="1"/>
  <c r="G376" i="1" a="1"/>
  <c r="G376" i="1" s="1"/>
  <c r="H376" i="1" s="1"/>
  <c r="I376" i="1" s="1"/>
  <c r="G377" i="1" a="1"/>
  <c r="G377" i="1" s="1"/>
  <c r="H377" i="1" s="1"/>
  <c r="I377" i="1" s="1"/>
  <c r="G367" i="1" a="1"/>
  <c r="G367" i="1" s="1"/>
  <c r="H367" i="1" s="1"/>
  <c r="I367" i="1" s="1"/>
  <c r="G368" i="1" a="1"/>
  <c r="G368" i="1" s="1"/>
  <c r="H368" i="1" s="1"/>
  <c r="I368" i="1" s="1"/>
  <c r="G382" i="1" a="1"/>
  <c r="G382" i="1" s="1"/>
  <c r="H382" i="1" s="1"/>
  <c r="I382" i="1" s="1"/>
  <c r="G371" i="1" a="1"/>
  <c r="G371" i="1" s="1"/>
  <c r="H371" i="1" s="1"/>
  <c r="I371" i="1" s="1"/>
  <c r="G383" i="1" a="1"/>
  <c r="G383" i="1" s="1"/>
  <c r="H383" i="1" s="1"/>
  <c r="I383" i="1" s="1"/>
  <c r="G373" i="1" a="1"/>
  <c r="G373" i="1" s="1"/>
  <c r="H373" i="1" s="1"/>
  <c r="I373" i="1" s="1"/>
  <c r="G370" i="1" a="1"/>
  <c r="G370" i="1" s="1"/>
  <c r="H370" i="1" s="1"/>
  <c r="I370" i="1" s="1"/>
  <c r="G379" i="1" a="1"/>
  <c r="G379" i="1" s="1"/>
  <c r="H379" i="1" s="1"/>
  <c r="I379" i="1" s="1"/>
  <c r="G381" i="1" a="1"/>
  <c r="G381" i="1" s="1"/>
  <c r="H381" i="1" s="1"/>
  <c r="I381" i="1" s="1"/>
  <c r="G380" i="1" a="1"/>
  <c r="G380" i="1" s="1"/>
  <c r="H380" i="1" s="1"/>
  <c r="I380" i="1" s="1"/>
  <c r="G369" i="1" a="1"/>
  <c r="G369" i="1" s="1"/>
  <c r="H369" i="1" s="1"/>
  <c r="I369" i="1" s="1"/>
  <c r="G378" i="1" a="1"/>
  <c r="G378" i="1" s="1"/>
  <c r="H378" i="1" s="1"/>
  <c r="I378" i="1" s="1"/>
  <c r="G994" i="1" a="1"/>
  <c r="G994" i="1" s="1"/>
  <c r="H994" i="1" s="1"/>
  <c r="I994" i="1" s="1"/>
  <c r="G1000" i="1" a="1"/>
  <c r="G1000" i="1" s="1"/>
  <c r="H1000" i="1" s="1"/>
  <c r="I1000" i="1" s="1"/>
  <c r="G1001" i="1" a="1"/>
  <c r="G1001" i="1" s="1"/>
  <c r="H1001" i="1" s="1"/>
  <c r="I1001" i="1" s="1"/>
  <c r="G992" i="1" a="1"/>
  <c r="G992" i="1" s="1"/>
  <c r="H992" i="1" s="1"/>
  <c r="I992" i="1" s="1"/>
  <c r="G995" i="1" a="1"/>
  <c r="G995" i="1" s="1"/>
  <c r="H995" i="1" s="1"/>
  <c r="I995" i="1" s="1"/>
  <c r="G1002" i="1" a="1"/>
  <c r="G1002" i="1" s="1"/>
  <c r="H1002" i="1" s="1"/>
  <c r="I1002" i="1" s="1"/>
  <c r="G1003" i="1" a="1"/>
  <c r="G1003" i="1" s="1"/>
  <c r="H1003" i="1" s="1"/>
  <c r="I1003" i="1" s="1"/>
  <c r="G993" i="1" a="1"/>
  <c r="G993" i="1" s="1"/>
  <c r="H993" i="1" s="1"/>
  <c r="I993" i="1" s="1"/>
  <c r="G999" i="1" a="1"/>
  <c r="G999" i="1" s="1"/>
  <c r="H999" i="1" s="1"/>
  <c r="I999" i="1" s="1"/>
  <c r="G997" i="1" a="1"/>
  <c r="G997" i="1" s="1"/>
  <c r="H997" i="1" s="1"/>
  <c r="I997" i="1" s="1"/>
  <c r="G990" i="1" a="1"/>
  <c r="G990" i="1" s="1"/>
  <c r="H990" i="1" s="1"/>
  <c r="I990" i="1" s="1"/>
  <c r="G991" i="1" a="1"/>
  <c r="G991" i="1" s="1"/>
  <c r="H991" i="1" s="1"/>
  <c r="I991" i="1" s="1"/>
  <c r="G996" i="1" a="1"/>
  <c r="G996" i="1" s="1"/>
  <c r="H996" i="1" s="1"/>
  <c r="I996" i="1" s="1"/>
  <c r="G998" i="1" a="1"/>
  <c r="G998" i="1" s="1"/>
  <c r="H998" i="1" s="1"/>
  <c r="I998" i="1" s="1"/>
  <c r="G609" i="1" a="1"/>
  <c r="G609" i="1" s="1"/>
  <c r="H609" i="1" s="1"/>
  <c r="I609" i="1" s="1"/>
  <c r="G611" i="1" a="1"/>
  <c r="G611" i="1" s="1"/>
  <c r="H611" i="1" s="1"/>
  <c r="I611" i="1" s="1"/>
  <c r="G606" i="1" a="1"/>
  <c r="G606" i="1" s="1"/>
  <c r="H606" i="1" s="1"/>
  <c r="I606" i="1" s="1"/>
  <c r="G612" i="1" a="1"/>
  <c r="G612" i="1" s="1"/>
  <c r="H612" i="1" s="1"/>
  <c r="I612" i="1" s="1"/>
  <c r="G623" i="1" a="1"/>
  <c r="G623" i="1" s="1"/>
  <c r="H623" i="1" s="1"/>
  <c r="I623" i="1" s="1"/>
  <c r="G615" i="1" a="1"/>
  <c r="G615" i="1" s="1"/>
  <c r="H615" i="1" s="1"/>
  <c r="I615" i="1" s="1"/>
  <c r="G636" i="1" a="1"/>
  <c r="G636" i="1" s="1"/>
  <c r="H636" i="1" s="1"/>
  <c r="I636" i="1" s="1"/>
  <c r="G642" i="1" a="1"/>
  <c r="G642" i="1" s="1"/>
  <c r="H642" i="1" s="1"/>
  <c r="I642" i="1" s="1"/>
  <c r="G632" i="1" a="1"/>
  <c r="G632" i="1" s="1"/>
  <c r="H632" i="1" s="1"/>
  <c r="I632" i="1" s="1"/>
  <c r="G626" i="1" a="1"/>
  <c r="G626" i="1" s="1"/>
  <c r="H626" i="1" s="1"/>
  <c r="I626" i="1" s="1"/>
  <c r="G629" i="1" a="1"/>
  <c r="G629" i="1" s="1"/>
  <c r="H629" i="1" s="1"/>
  <c r="I629" i="1" s="1"/>
  <c r="G420" i="1" a="1"/>
  <c r="G420" i="1" s="1"/>
  <c r="H420" i="1" s="1"/>
  <c r="I420" i="1" s="1"/>
  <c r="G604" i="1" a="1"/>
  <c r="G604" i="1" s="1"/>
  <c r="H604" i="1" s="1"/>
  <c r="I604" i="1" s="1"/>
  <c r="G630" i="1" a="1"/>
  <c r="G630" i="1" s="1"/>
  <c r="H630" i="1" s="1"/>
  <c r="I630" i="1" s="1"/>
  <c r="G634" i="1" a="1"/>
  <c r="G634" i="1" s="1"/>
  <c r="H634" i="1" s="1"/>
  <c r="I634" i="1" s="1"/>
  <c r="G618" i="1" a="1"/>
  <c r="G618" i="1" s="1"/>
  <c r="H618" i="1" s="1"/>
  <c r="I618" i="1" s="1"/>
  <c r="G605" i="1" a="1"/>
  <c r="G605" i="1" s="1"/>
  <c r="H605" i="1" s="1"/>
  <c r="I605" i="1" s="1"/>
  <c r="G641" i="1" a="1"/>
  <c r="G641" i="1" s="1"/>
  <c r="H641" i="1" s="1"/>
  <c r="I641" i="1" s="1"/>
  <c r="G620" i="1" a="1"/>
  <c r="G620" i="1" s="1"/>
  <c r="H620" i="1" s="1"/>
  <c r="I620" i="1" s="1"/>
  <c r="G635" i="1" a="1"/>
  <c r="G635" i="1" s="1"/>
  <c r="H635" i="1" s="1"/>
  <c r="I635" i="1" s="1"/>
  <c r="G637" i="1" a="1"/>
  <c r="G637" i="1" s="1"/>
  <c r="H637" i="1" s="1"/>
  <c r="I637" i="1" s="1"/>
  <c r="G610" i="1" a="1"/>
  <c r="G610" i="1" s="1"/>
  <c r="H610" i="1" s="1"/>
  <c r="I610" i="1" s="1"/>
  <c r="G614" i="1" a="1"/>
  <c r="G614" i="1" s="1"/>
  <c r="H614" i="1" s="1"/>
  <c r="I614" i="1" s="1"/>
  <c r="G619" i="1" a="1"/>
  <c r="G619" i="1" s="1"/>
  <c r="H619" i="1" s="1"/>
  <c r="I619" i="1" s="1"/>
  <c r="G608" i="1" a="1"/>
  <c r="G608" i="1" s="1"/>
  <c r="H608" i="1" s="1"/>
  <c r="I608" i="1" s="1"/>
  <c r="G622" i="1" a="1"/>
  <c r="G622" i="1" s="1"/>
  <c r="H622" i="1" s="1"/>
  <c r="I622" i="1" s="1"/>
  <c r="G607" i="1" a="1"/>
  <c r="G607" i="1" s="1"/>
  <c r="H607" i="1" s="1"/>
  <c r="I607" i="1" s="1"/>
  <c r="G638" i="1" a="1"/>
  <c r="G638" i="1" s="1"/>
  <c r="H638" i="1" s="1"/>
  <c r="I638" i="1" s="1"/>
  <c r="G639" i="1" a="1"/>
  <c r="G639" i="1" s="1"/>
  <c r="H639" i="1" s="1"/>
  <c r="I639" i="1" s="1"/>
  <c r="G633" i="1" a="1"/>
  <c r="G633" i="1" s="1"/>
  <c r="H633" i="1" s="1"/>
  <c r="I633" i="1" s="1"/>
  <c r="G624" i="1" a="1"/>
  <c r="G624" i="1" s="1"/>
  <c r="H624" i="1" s="1"/>
  <c r="I624" i="1" s="1"/>
  <c r="G625" i="1" a="1"/>
  <c r="G625" i="1" s="1"/>
  <c r="H625" i="1" s="1"/>
  <c r="I625" i="1" s="1"/>
  <c r="G627" i="1" a="1"/>
  <c r="G627" i="1" s="1"/>
  <c r="H627" i="1" s="1"/>
  <c r="I627" i="1" s="1"/>
  <c r="G617" i="1" a="1"/>
  <c r="G617" i="1" s="1"/>
  <c r="H617" i="1" s="1"/>
  <c r="I617" i="1" s="1"/>
  <c r="G628" i="1" a="1"/>
  <c r="G628" i="1" s="1"/>
  <c r="H628" i="1" s="1"/>
  <c r="I628" i="1" s="1"/>
  <c r="G631" i="1" a="1"/>
  <c r="G631" i="1" s="1"/>
  <c r="H631" i="1" s="1"/>
  <c r="I631" i="1" s="1"/>
  <c r="G621" i="1" a="1"/>
  <c r="G621" i="1" s="1"/>
  <c r="H621" i="1" s="1"/>
  <c r="I621" i="1" s="1"/>
  <c r="G640" i="1" a="1"/>
  <c r="G640" i="1" s="1"/>
  <c r="H640" i="1" s="1"/>
  <c r="I640" i="1" s="1"/>
  <c r="G613" i="1" a="1"/>
  <c r="G613" i="1" s="1"/>
  <c r="H613" i="1" s="1"/>
  <c r="I613" i="1" s="1"/>
  <c r="G616" i="1" a="1"/>
  <c r="G616" i="1" s="1"/>
  <c r="H616" i="1" s="1"/>
  <c r="I616" i="1" s="1"/>
  <c r="G413" i="1" a="1"/>
  <c r="G413" i="1" s="1"/>
  <c r="H413" i="1" s="1"/>
  <c r="I413" i="1" s="1"/>
  <c r="G402" i="1" a="1"/>
  <c r="G402" i="1" s="1"/>
  <c r="H402" i="1" s="1"/>
  <c r="I402" i="1" s="1"/>
  <c r="G403" i="1" a="1"/>
  <c r="G403" i="1" s="1"/>
  <c r="H403" i="1" s="1"/>
  <c r="I403" i="1" s="1"/>
  <c r="G396" i="1" a="1"/>
  <c r="G396" i="1" s="1"/>
  <c r="H396" i="1" s="1"/>
  <c r="I396" i="1" s="1"/>
  <c r="G399" i="1" a="1"/>
  <c r="G399" i="1" s="1"/>
  <c r="H399" i="1" s="1"/>
  <c r="I399" i="1" s="1"/>
  <c r="G395" i="1" a="1"/>
  <c r="G395" i="1" s="1"/>
  <c r="H395" i="1" s="1"/>
  <c r="I395" i="1" s="1"/>
  <c r="G416" i="1" a="1"/>
  <c r="G416" i="1" s="1"/>
  <c r="H416" i="1" s="1"/>
  <c r="I416" i="1" s="1"/>
  <c r="G411" i="1" a="1"/>
  <c r="G411" i="1" s="1"/>
  <c r="H411" i="1" s="1"/>
  <c r="I411" i="1" s="1"/>
  <c r="G414" i="1" a="1"/>
  <c r="G414" i="1" s="1"/>
  <c r="H414" i="1" s="1"/>
  <c r="I414" i="1" s="1"/>
  <c r="G397" i="1" a="1"/>
  <c r="G397" i="1" s="1"/>
  <c r="H397" i="1" s="1"/>
  <c r="I397" i="1" s="1"/>
  <c r="G400" i="1" a="1"/>
  <c r="G400" i="1" s="1"/>
  <c r="H400" i="1" s="1"/>
  <c r="I400" i="1" s="1"/>
  <c r="G412" i="1" a="1"/>
  <c r="G412" i="1" s="1"/>
  <c r="H412" i="1" s="1"/>
  <c r="I412" i="1" s="1"/>
  <c r="G401" i="1" a="1"/>
  <c r="G401" i="1" s="1"/>
  <c r="H401" i="1" s="1"/>
  <c r="I401" i="1" s="1"/>
  <c r="G415" i="1" a="1"/>
  <c r="G415" i="1" s="1"/>
  <c r="H415" i="1" s="1"/>
  <c r="I415" i="1" s="1"/>
  <c r="G406" i="1" a="1"/>
  <c r="G406" i="1" s="1"/>
  <c r="H406" i="1" s="1"/>
  <c r="I406" i="1" s="1"/>
  <c r="G398" i="1" a="1"/>
  <c r="G398" i="1" s="1"/>
  <c r="H398" i="1" s="1"/>
  <c r="I398" i="1" s="1"/>
  <c r="G410" i="1" a="1"/>
  <c r="G410" i="1" s="1"/>
  <c r="H410" i="1" s="1"/>
  <c r="I410" i="1" s="1"/>
  <c r="G409" i="1" a="1"/>
  <c r="G409" i="1" s="1"/>
  <c r="H409" i="1" s="1"/>
  <c r="I409" i="1" s="1"/>
  <c r="G394" i="1" a="1"/>
  <c r="G394" i="1" s="1"/>
  <c r="H394" i="1" s="1"/>
  <c r="I394" i="1" s="1"/>
  <c r="G405" i="1" a="1"/>
  <c r="G405" i="1" s="1"/>
  <c r="H405" i="1" s="1"/>
  <c r="I405" i="1" s="1"/>
  <c r="G404" i="1" a="1"/>
  <c r="G404" i="1" s="1"/>
  <c r="H404" i="1" s="1"/>
  <c r="I404" i="1" s="1"/>
  <c r="G408" i="1" a="1"/>
  <c r="G408" i="1" s="1"/>
  <c r="H408" i="1" s="1"/>
  <c r="I408" i="1" s="1"/>
  <c r="G407" i="1" a="1"/>
  <c r="G407" i="1" s="1"/>
  <c r="H407" i="1" s="1"/>
  <c r="I407" i="1" s="1"/>
  <c r="G987" i="1" a="1"/>
  <c r="G987" i="1" s="1"/>
  <c r="H987" i="1" s="1"/>
  <c r="I987" i="1" s="1"/>
  <c r="G975" i="1" a="1"/>
  <c r="G975" i="1" s="1"/>
  <c r="H975" i="1" s="1"/>
  <c r="I975" i="1" s="1"/>
  <c r="G985" i="1" a="1"/>
  <c r="G985" i="1" s="1"/>
  <c r="H985" i="1" s="1"/>
  <c r="I985" i="1" s="1"/>
  <c r="G976" i="1" a="1"/>
  <c r="G976" i="1" s="1"/>
  <c r="H976" i="1" s="1"/>
  <c r="I976" i="1" s="1"/>
  <c r="G986" i="1" a="1"/>
  <c r="G986" i="1" s="1"/>
  <c r="H986" i="1" s="1"/>
  <c r="I986" i="1" s="1"/>
  <c r="G984" i="1" a="1"/>
  <c r="G984" i="1" s="1"/>
  <c r="H984" i="1" s="1"/>
  <c r="I984" i="1" s="1"/>
  <c r="G981" i="1" a="1"/>
  <c r="G981" i="1" s="1"/>
  <c r="H981" i="1" s="1"/>
  <c r="I981" i="1" s="1"/>
  <c r="G978" i="1" a="1"/>
  <c r="G978" i="1" s="1"/>
  <c r="H978" i="1" s="1"/>
  <c r="I978" i="1" s="1"/>
  <c r="G979" i="1" a="1"/>
  <c r="G979" i="1" s="1"/>
  <c r="H979" i="1" s="1"/>
  <c r="I979" i="1" s="1"/>
  <c r="G980" i="1" a="1"/>
  <c r="G980" i="1" s="1"/>
  <c r="H980" i="1" s="1"/>
  <c r="I980" i="1" s="1"/>
  <c r="G970" i="1" a="1"/>
  <c r="G970" i="1" s="1"/>
  <c r="H970" i="1" s="1"/>
  <c r="I970" i="1" s="1"/>
  <c r="G974" i="1" a="1"/>
  <c r="G974" i="1" s="1"/>
  <c r="H974" i="1" s="1"/>
  <c r="I974" i="1" s="1"/>
  <c r="G977" i="1" a="1"/>
  <c r="G977" i="1" s="1"/>
  <c r="H977" i="1" s="1"/>
  <c r="I977" i="1" s="1"/>
  <c r="G973" i="1" a="1"/>
  <c r="G973" i="1" s="1"/>
  <c r="H973" i="1" s="1"/>
  <c r="I973" i="1" s="1"/>
  <c r="G982" i="1" a="1"/>
  <c r="G982" i="1" s="1"/>
  <c r="H982" i="1" s="1"/>
  <c r="I982" i="1" s="1"/>
  <c r="G983" i="1" a="1"/>
  <c r="G983" i="1" s="1"/>
  <c r="H983" i="1" s="1"/>
  <c r="I983" i="1" s="1"/>
  <c r="G972" i="1" a="1"/>
  <c r="G972" i="1" s="1"/>
  <c r="H972" i="1" s="1"/>
  <c r="I972" i="1" s="1"/>
  <c r="G971" i="1" a="1"/>
  <c r="G971" i="1" s="1"/>
  <c r="H971" i="1" s="1"/>
  <c r="I971" i="1" s="1"/>
  <c r="G988" i="1" a="1"/>
  <c r="G988" i="1" s="1"/>
  <c r="H988" i="1" s="1"/>
  <c r="I988" i="1" s="1"/>
  <c r="G989" i="1" a="1"/>
  <c r="G989" i="1" s="1"/>
  <c r="H989" i="1" s="1"/>
  <c r="I989" i="1" s="1"/>
  <c r="G525" i="1" a="1"/>
  <c r="G525" i="1" s="1"/>
  <c r="H525" i="1" s="1"/>
  <c r="I525" i="1" s="1"/>
  <c r="G528" i="1" a="1"/>
  <c r="G528" i="1" s="1"/>
  <c r="H528" i="1" s="1"/>
  <c r="I528" i="1" s="1"/>
  <c r="G522" i="1" a="1"/>
  <c r="G522" i="1" s="1"/>
  <c r="H522" i="1" s="1"/>
  <c r="I522" i="1" s="1"/>
  <c r="G524" i="1" a="1"/>
  <c r="G524" i="1" s="1"/>
  <c r="H524" i="1" s="1"/>
  <c r="I524" i="1" s="1"/>
  <c r="G527" i="1" a="1"/>
  <c r="G527" i="1" s="1"/>
  <c r="H527" i="1" s="1"/>
  <c r="I527" i="1" s="1"/>
  <c r="G519" i="1" a="1"/>
  <c r="G519" i="1" s="1"/>
  <c r="H519" i="1" s="1"/>
  <c r="I519" i="1" s="1"/>
  <c r="G523" i="1" a="1"/>
  <c r="G523" i="1" s="1"/>
  <c r="H523" i="1" s="1"/>
  <c r="I523" i="1" s="1"/>
  <c r="G520" i="1" a="1"/>
  <c r="G520" i="1" s="1"/>
  <c r="H520" i="1" s="1"/>
  <c r="I520" i="1" s="1"/>
  <c r="G518" i="1" a="1"/>
  <c r="G518" i="1" s="1"/>
  <c r="H518" i="1" s="1"/>
  <c r="I518" i="1" s="1"/>
  <c r="G526" i="1" a="1"/>
  <c r="G526" i="1" s="1"/>
  <c r="H526" i="1" s="1"/>
  <c r="I526" i="1" s="1"/>
  <c r="G529" i="1" a="1"/>
  <c r="G529" i="1" s="1"/>
  <c r="H529" i="1" s="1"/>
  <c r="I529" i="1" s="1"/>
  <c r="G517" i="1" a="1"/>
  <c r="G517" i="1" s="1"/>
  <c r="H517" i="1" s="1"/>
  <c r="I517" i="1" s="1"/>
  <c r="G521" i="1" a="1"/>
  <c r="G521" i="1" s="1"/>
  <c r="H521" i="1" s="1"/>
  <c r="I521" i="1" s="1"/>
  <c r="G532" i="1" a="1"/>
  <c r="G532" i="1" s="1"/>
  <c r="H532" i="1" s="1"/>
  <c r="I532" i="1" s="1"/>
  <c r="G531" i="1" a="1"/>
  <c r="G531" i="1" s="1"/>
  <c r="H531" i="1" s="1"/>
  <c r="I531" i="1" s="1"/>
  <c r="G530" i="1" a="1"/>
  <c r="G530" i="1" s="1"/>
  <c r="H530" i="1" s="1"/>
  <c r="I530" i="1" s="1"/>
  <c r="G516" i="1" a="1"/>
  <c r="G516" i="1" s="1"/>
  <c r="H516" i="1" s="1"/>
  <c r="I516" i="1" s="1"/>
  <c r="G827" i="1" a="1"/>
  <c r="G827" i="1" s="1"/>
  <c r="H827" i="1" s="1"/>
  <c r="I827" i="1" s="1"/>
  <c r="G817" i="1" a="1"/>
  <c r="G817" i="1" s="1"/>
  <c r="H817" i="1" s="1"/>
  <c r="I817" i="1" s="1"/>
  <c r="G822" i="1" a="1"/>
  <c r="G822" i="1" s="1"/>
  <c r="H822" i="1" s="1"/>
  <c r="I822" i="1" s="1"/>
  <c r="G828" i="1" a="1"/>
  <c r="G828" i="1" s="1"/>
  <c r="H828" i="1" s="1"/>
  <c r="I828" i="1" s="1"/>
  <c r="G830" i="1" a="1"/>
  <c r="G830" i="1" s="1"/>
  <c r="H830" i="1" s="1"/>
  <c r="I830" i="1" s="1"/>
  <c r="G824" i="1" a="1"/>
  <c r="G824" i="1" s="1"/>
  <c r="H824" i="1" s="1"/>
  <c r="I824" i="1" s="1"/>
  <c r="G821" i="1" a="1"/>
  <c r="G821" i="1" s="1"/>
  <c r="H821" i="1" s="1"/>
  <c r="I821" i="1" s="1"/>
  <c r="G826" i="1" a="1"/>
  <c r="G826" i="1" s="1"/>
  <c r="H826" i="1" s="1"/>
  <c r="I826" i="1" s="1"/>
  <c r="G820" i="1" a="1"/>
  <c r="G820" i="1" s="1"/>
  <c r="H820" i="1" s="1"/>
  <c r="I820" i="1" s="1"/>
  <c r="G835" i="1" a="1"/>
  <c r="G835" i="1" s="1"/>
  <c r="H835" i="1" s="1"/>
  <c r="I835" i="1" s="1"/>
  <c r="G833" i="1" a="1"/>
  <c r="G833" i="1" s="1"/>
  <c r="H833" i="1" s="1"/>
  <c r="I833" i="1" s="1"/>
  <c r="G832" i="1" a="1"/>
  <c r="G832" i="1" s="1"/>
  <c r="H832" i="1" s="1"/>
  <c r="I832" i="1" s="1"/>
  <c r="G819" i="1" a="1"/>
  <c r="G819" i="1" s="1"/>
  <c r="H819" i="1" s="1"/>
  <c r="I819" i="1" s="1"/>
  <c r="G837" i="1" a="1"/>
  <c r="G837" i="1" s="1"/>
  <c r="H837" i="1" s="1"/>
  <c r="I837" i="1" s="1"/>
  <c r="G836" i="1" a="1"/>
  <c r="G836" i="1" s="1"/>
  <c r="H836" i="1" s="1"/>
  <c r="I836" i="1" s="1"/>
  <c r="G823" i="1" a="1"/>
  <c r="G823" i="1" s="1"/>
  <c r="H823" i="1" s="1"/>
  <c r="I823" i="1" s="1"/>
  <c r="G831" i="1" a="1"/>
  <c r="G831" i="1" s="1"/>
  <c r="H831" i="1" s="1"/>
  <c r="I831" i="1" s="1"/>
  <c r="G816" i="1" a="1"/>
  <c r="G816" i="1" s="1"/>
  <c r="H816" i="1" s="1"/>
  <c r="I816" i="1" s="1"/>
  <c r="G814" i="1" a="1"/>
  <c r="G814" i="1" s="1"/>
  <c r="H814" i="1" s="1"/>
  <c r="I814" i="1" s="1"/>
  <c r="G825" i="1" a="1"/>
  <c r="G825" i="1" s="1"/>
  <c r="H825" i="1" s="1"/>
  <c r="I825" i="1" s="1"/>
  <c r="G829" i="1" a="1"/>
  <c r="G829" i="1" s="1"/>
  <c r="H829" i="1" s="1"/>
  <c r="I829" i="1" s="1"/>
  <c r="G818" i="1" a="1"/>
  <c r="G818" i="1" s="1"/>
  <c r="H818" i="1" s="1"/>
  <c r="I818" i="1" s="1"/>
  <c r="G838" i="1" a="1"/>
  <c r="G838" i="1" s="1"/>
  <c r="H838" i="1" s="1"/>
  <c r="I838" i="1" s="1"/>
  <c r="G815" i="1" a="1"/>
  <c r="G815" i="1" s="1"/>
  <c r="H815" i="1" s="1"/>
  <c r="I815" i="1" s="1"/>
  <c r="G834" i="1" a="1"/>
  <c r="G834" i="1" s="1"/>
  <c r="H834" i="1" s="1"/>
  <c r="I834" i="1" s="1"/>
  <c r="G947" i="1" a="1"/>
  <c r="G947" i="1" s="1"/>
  <c r="H947" i="1" s="1"/>
  <c r="I947" i="1" s="1"/>
  <c r="G951" i="1" a="1"/>
  <c r="G951" i="1" s="1"/>
  <c r="H951" i="1" s="1"/>
  <c r="I951" i="1" s="1"/>
  <c r="G950" i="1" a="1"/>
  <c r="G950" i="1" s="1"/>
  <c r="H950" i="1" s="1"/>
  <c r="I950" i="1" s="1"/>
  <c r="G952" i="1" a="1"/>
  <c r="G952" i="1" s="1"/>
  <c r="H952" i="1" s="1"/>
  <c r="I952" i="1" s="1"/>
  <c r="G953" i="1" a="1"/>
  <c r="G953" i="1" s="1"/>
  <c r="H953" i="1" s="1"/>
  <c r="I953" i="1" s="1"/>
  <c r="G949" i="1" a="1"/>
  <c r="G949" i="1" s="1"/>
  <c r="H949" i="1" s="1"/>
  <c r="I949" i="1" s="1"/>
  <c r="G948" i="1" a="1"/>
  <c r="G948" i="1" s="1"/>
  <c r="H948" i="1" s="1"/>
  <c r="I948" i="1" s="1"/>
  <c r="G550" i="1" a="1"/>
  <c r="G550" i="1" s="1"/>
  <c r="H550" i="1" s="1"/>
  <c r="I550" i="1" s="1"/>
  <c r="G538" i="1" a="1"/>
  <c r="G538" i="1" s="1"/>
  <c r="H538" i="1" s="1"/>
  <c r="I538" i="1" s="1"/>
  <c r="G549" i="1" a="1"/>
  <c r="G549" i="1" s="1"/>
  <c r="H549" i="1" s="1"/>
  <c r="I549" i="1" s="1"/>
  <c r="G534" i="1" a="1"/>
  <c r="G534" i="1" s="1"/>
  <c r="H534" i="1" s="1"/>
  <c r="I534" i="1" s="1"/>
  <c r="G543" i="1" a="1"/>
  <c r="G543" i="1" s="1"/>
  <c r="H543" i="1" s="1"/>
  <c r="I543" i="1" s="1"/>
  <c r="G545" i="1" a="1"/>
  <c r="G545" i="1" s="1"/>
  <c r="H545" i="1" s="1"/>
  <c r="I545" i="1" s="1"/>
  <c r="G542" i="1" a="1"/>
  <c r="G542" i="1" s="1"/>
  <c r="H542" i="1" s="1"/>
  <c r="I542" i="1" s="1"/>
  <c r="G544" i="1" a="1"/>
  <c r="G544" i="1" s="1"/>
  <c r="H544" i="1" s="1"/>
  <c r="I544" i="1" s="1"/>
  <c r="G533" i="1" a="1"/>
  <c r="G533" i="1" s="1"/>
  <c r="H533" i="1" s="1"/>
  <c r="I533" i="1" s="1"/>
  <c r="G539" i="1" a="1"/>
  <c r="G539" i="1" s="1"/>
  <c r="H539" i="1" s="1"/>
  <c r="I539" i="1" s="1"/>
  <c r="G540" i="1" a="1"/>
  <c r="G540" i="1" s="1"/>
  <c r="H540" i="1" s="1"/>
  <c r="I540" i="1" s="1"/>
  <c r="G535" i="1" a="1"/>
  <c r="G535" i="1" s="1"/>
  <c r="H535" i="1" s="1"/>
  <c r="I535" i="1" s="1"/>
  <c r="G537" i="1" a="1"/>
  <c r="G537" i="1" s="1"/>
  <c r="H537" i="1" s="1"/>
  <c r="I537" i="1" s="1"/>
  <c r="G541" i="1" a="1"/>
  <c r="G541" i="1" s="1"/>
  <c r="H541" i="1" s="1"/>
  <c r="I541" i="1" s="1"/>
  <c r="G536" i="1" a="1"/>
  <c r="G536" i="1" s="1"/>
  <c r="H536" i="1" s="1"/>
  <c r="I536" i="1" s="1"/>
  <c r="G546" i="1" a="1"/>
  <c r="G546" i="1" s="1"/>
  <c r="H546" i="1" s="1"/>
  <c r="I546" i="1" s="1"/>
  <c r="G547" i="1" a="1"/>
  <c r="G547" i="1" s="1"/>
  <c r="H547" i="1" s="1"/>
  <c r="I547" i="1" s="1"/>
  <c r="G548" i="1" a="1"/>
  <c r="G548" i="1" s="1"/>
  <c r="H548" i="1" s="1"/>
  <c r="I548" i="1" s="1"/>
  <c r="D106" i="1" l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7" i="1"/>
  <c r="D108" i="1"/>
  <c r="D109" i="1"/>
  <c r="D110" i="1"/>
  <c r="D11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208" i="1"/>
  <c r="D209" i="1"/>
  <c r="D210" i="1"/>
  <c r="D211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12" i="1"/>
  <c r="D25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59" i="1"/>
  <c r="D360" i="1"/>
  <c r="D361" i="1"/>
  <c r="D362" i="1"/>
  <c r="D363" i="1"/>
  <c r="D364" i="1"/>
  <c r="D365" i="1"/>
  <c r="D384" i="1"/>
  <c r="D385" i="1"/>
  <c r="D386" i="1"/>
  <c r="D387" i="1"/>
  <c r="D388" i="1"/>
  <c r="D389" i="1"/>
  <c r="D390" i="1"/>
  <c r="D391" i="1"/>
  <c r="D392" i="1"/>
  <c r="D393" i="1"/>
  <c r="D417" i="1"/>
  <c r="D418" i="1"/>
  <c r="D419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6" i="1"/>
  <c r="D597" i="1"/>
  <c r="D598" i="1"/>
  <c r="D599" i="1"/>
  <c r="D600" i="1"/>
  <c r="D601" i="1"/>
  <c r="D602" i="1"/>
  <c r="D603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916" i="1"/>
  <c r="D917" i="1"/>
  <c r="D918" i="1"/>
  <c r="D919" i="1"/>
  <c r="D920" i="1"/>
  <c r="D921" i="1"/>
  <c r="D922" i="1"/>
  <c r="D923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844" i="1"/>
  <c r="D848" i="1"/>
  <c r="D845" i="1"/>
  <c r="D846" i="1"/>
  <c r="D849" i="1"/>
  <c r="D852" i="1"/>
  <c r="D843" i="1"/>
  <c r="D851" i="1"/>
  <c r="D853" i="1"/>
  <c r="D854" i="1"/>
  <c r="D839" i="1"/>
  <c r="D840" i="1"/>
  <c r="D841" i="1"/>
  <c r="D847" i="1"/>
  <c r="D850" i="1"/>
  <c r="D842" i="1"/>
  <c r="E946" i="1"/>
  <c r="F946" i="1" s="1"/>
  <c r="K946" i="1" s="1"/>
  <c r="E844" i="1"/>
  <c r="F844" i="1" s="1"/>
  <c r="K844" i="1" s="1"/>
  <c r="E848" i="1"/>
  <c r="F848" i="1" s="1"/>
  <c r="K848" i="1" s="1"/>
  <c r="E845" i="1"/>
  <c r="F845" i="1" s="1"/>
  <c r="K845" i="1" s="1"/>
  <c r="E846" i="1"/>
  <c r="F846" i="1" s="1"/>
  <c r="K846" i="1" s="1"/>
  <c r="E849" i="1"/>
  <c r="F849" i="1" s="1"/>
  <c r="K849" i="1" s="1"/>
  <c r="E852" i="1"/>
  <c r="F852" i="1" s="1"/>
  <c r="K852" i="1" s="1"/>
  <c r="E843" i="1"/>
  <c r="F843" i="1" s="1"/>
  <c r="K843" i="1" s="1"/>
  <c r="E851" i="1"/>
  <c r="F851" i="1" s="1"/>
  <c r="K851" i="1" s="1"/>
  <c r="E853" i="1"/>
  <c r="F853" i="1" s="1"/>
  <c r="K853" i="1" s="1"/>
  <c r="E854" i="1"/>
  <c r="F854" i="1" s="1"/>
  <c r="K854" i="1" s="1"/>
  <c r="E839" i="1"/>
  <c r="F839" i="1" s="1"/>
  <c r="K839" i="1" s="1"/>
  <c r="E840" i="1"/>
  <c r="F840" i="1" s="1"/>
  <c r="K840" i="1" s="1"/>
  <c r="E841" i="1"/>
  <c r="F841" i="1" s="1"/>
  <c r="K841" i="1" s="1"/>
  <c r="E847" i="1"/>
  <c r="F847" i="1" s="1"/>
  <c r="K847" i="1" s="1"/>
  <c r="E850" i="1"/>
  <c r="F850" i="1" s="1"/>
  <c r="K850" i="1" s="1"/>
  <c r="E81" i="1"/>
  <c r="F81" i="1" s="1"/>
  <c r="K81" i="1" s="1"/>
  <c r="E82" i="1"/>
  <c r="F82" i="1" s="1"/>
  <c r="K82" i="1" s="1"/>
  <c r="E83" i="1"/>
  <c r="F83" i="1" s="1"/>
  <c r="K83" i="1" s="1"/>
  <c r="E84" i="1"/>
  <c r="F84" i="1" s="1"/>
  <c r="K84" i="1" s="1"/>
  <c r="E85" i="1"/>
  <c r="F85" i="1" s="1"/>
  <c r="K85" i="1" s="1"/>
  <c r="E86" i="1"/>
  <c r="F86" i="1" s="1"/>
  <c r="K86" i="1" s="1"/>
  <c r="E87" i="1"/>
  <c r="F87" i="1" s="1"/>
  <c r="K87" i="1" s="1"/>
  <c r="E88" i="1"/>
  <c r="F88" i="1" s="1"/>
  <c r="K88" i="1" s="1"/>
  <c r="E90" i="1"/>
  <c r="F90" i="1" s="1"/>
  <c r="K90" i="1" s="1"/>
  <c r="E91" i="1"/>
  <c r="F91" i="1" s="1"/>
  <c r="K91" i="1" s="1"/>
  <c r="E92" i="1"/>
  <c r="F92" i="1" s="1"/>
  <c r="K92" i="1" s="1"/>
  <c r="E93" i="1"/>
  <c r="F93" i="1" s="1"/>
  <c r="K93" i="1" s="1"/>
  <c r="E94" i="1"/>
  <c r="F94" i="1" s="1"/>
  <c r="K94" i="1" s="1"/>
  <c r="E95" i="1"/>
  <c r="F95" i="1" s="1"/>
  <c r="K95" i="1" s="1"/>
  <c r="E96" i="1"/>
  <c r="F96" i="1" s="1"/>
  <c r="K96" i="1" s="1"/>
  <c r="E97" i="1"/>
  <c r="F97" i="1" s="1"/>
  <c r="K97" i="1" s="1"/>
  <c r="E98" i="1"/>
  <c r="F98" i="1" s="1"/>
  <c r="K98" i="1" s="1"/>
  <c r="E99" i="1"/>
  <c r="F99" i="1" s="1"/>
  <c r="K99" i="1" s="1"/>
  <c r="E100" i="1"/>
  <c r="F100" i="1" s="1"/>
  <c r="K100" i="1" s="1"/>
  <c r="E101" i="1"/>
  <c r="F101" i="1" s="1"/>
  <c r="K101" i="1" s="1"/>
  <c r="E102" i="1"/>
  <c r="F102" i="1" s="1"/>
  <c r="K102" i="1" s="1"/>
  <c r="E103" i="1"/>
  <c r="F103" i="1" s="1"/>
  <c r="K103" i="1" s="1"/>
  <c r="E104" i="1"/>
  <c r="F104" i="1" s="1"/>
  <c r="K104" i="1" s="1"/>
  <c r="E105" i="1"/>
  <c r="F105" i="1" s="1"/>
  <c r="K105" i="1" s="1"/>
  <c r="E106" i="1"/>
  <c r="F106" i="1" s="1"/>
  <c r="K106" i="1" s="1"/>
  <c r="E107" i="1"/>
  <c r="F107" i="1" s="1"/>
  <c r="K107" i="1" s="1"/>
  <c r="E108" i="1"/>
  <c r="F108" i="1" s="1"/>
  <c r="K108" i="1" s="1"/>
  <c r="E109" i="1"/>
  <c r="F109" i="1" s="1"/>
  <c r="K109" i="1" s="1"/>
  <c r="E110" i="1"/>
  <c r="F110" i="1" s="1"/>
  <c r="K110" i="1" s="1"/>
  <c r="F111" i="1"/>
  <c r="K111" i="1" s="1"/>
  <c r="E152" i="1"/>
  <c r="F152" i="1" s="1"/>
  <c r="K152" i="1" s="1"/>
  <c r="E153" i="1"/>
  <c r="F153" i="1" s="1"/>
  <c r="K153" i="1" s="1"/>
  <c r="E154" i="1"/>
  <c r="F154" i="1" s="1"/>
  <c r="K154" i="1" s="1"/>
  <c r="E155" i="1"/>
  <c r="F155" i="1" s="1"/>
  <c r="K155" i="1" s="1"/>
  <c r="E156" i="1"/>
  <c r="F156" i="1" s="1"/>
  <c r="K156" i="1" s="1"/>
  <c r="E157" i="1"/>
  <c r="F157" i="1" s="1"/>
  <c r="K157" i="1" s="1"/>
  <c r="E158" i="1"/>
  <c r="F158" i="1" s="1"/>
  <c r="K158" i="1" s="1"/>
  <c r="E159" i="1"/>
  <c r="F159" i="1" s="1"/>
  <c r="K159" i="1" s="1"/>
  <c r="E160" i="1"/>
  <c r="F160" i="1" s="1"/>
  <c r="K160" i="1" s="1"/>
  <c r="E161" i="1"/>
  <c r="F161" i="1" s="1"/>
  <c r="K161" i="1" s="1"/>
  <c r="E162" i="1"/>
  <c r="F162" i="1" s="1"/>
  <c r="K162" i="1" s="1"/>
  <c r="E163" i="1"/>
  <c r="F163" i="1" s="1"/>
  <c r="K163" i="1" s="1"/>
  <c r="E164" i="1"/>
  <c r="F164" i="1" s="1"/>
  <c r="K164" i="1" s="1"/>
  <c r="E165" i="1"/>
  <c r="F165" i="1" s="1"/>
  <c r="K165" i="1" s="1"/>
  <c r="E166" i="1"/>
  <c r="F166" i="1" s="1"/>
  <c r="K166" i="1" s="1"/>
  <c r="E167" i="1"/>
  <c r="F167" i="1" s="1"/>
  <c r="K167" i="1" s="1"/>
  <c r="E213" i="1"/>
  <c r="F213" i="1" s="1"/>
  <c r="K213" i="1" s="1"/>
  <c r="E214" i="1"/>
  <c r="F214" i="1" s="1"/>
  <c r="K214" i="1" s="1"/>
  <c r="E215" i="1"/>
  <c r="F215" i="1" s="1"/>
  <c r="K215" i="1" s="1"/>
  <c r="E216" i="1"/>
  <c r="F216" i="1" s="1"/>
  <c r="K216" i="1" s="1"/>
  <c r="E217" i="1"/>
  <c r="F217" i="1" s="1"/>
  <c r="K217" i="1" s="1"/>
  <c r="E218" i="1"/>
  <c r="F218" i="1" s="1"/>
  <c r="K218" i="1" s="1"/>
  <c r="E219" i="1"/>
  <c r="F219" i="1" s="1"/>
  <c r="K219" i="1" s="1"/>
  <c r="E220" i="1"/>
  <c r="F220" i="1" s="1"/>
  <c r="K220" i="1" s="1"/>
  <c r="E221" i="1"/>
  <c r="F221" i="1" s="1"/>
  <c r="K221" i="1" s="1"/>
  <c r="E222" i="1"/>
  <c r="F222" i="1" s="1"/>
  <c r="K222" i="1" s="1"/>
  <c r="E223" i="1"/>
  <c r="F223" i="1" s="1"/>
  <c r="K223" i="1" s="1"/>
  <c r="E224" i="1"/>
  <c r="F224" i="1" s="1"/>
  <c r="K224" i="1" s="1"/>
  <c r="E225" i="1"/>
  <c r="F225" i="1" s="1"/>
  <c r="K225" i="1" s="1"/>
  <c r="E226" i="1"/>
  <c r="F226" i="1" s="1"/>
  <c r="K226" i="1" s="1"/>
  <c r="E227" i="1"/>
  <c r="F227" i="1" s="1"/>
  <c r="K227" i="1" s="1"/>
  <c r="E228" i="1"/>
  <c r="F228" i="1" s="1"/>
  <c r="K228" i="1" s="1"/>
  <c r="E229" i="1"/>
  <c r="F229" i="1" s="1"/>
  <c r="K229" i="1" s="1"/>
  <c r="E230" i="1"/>
  <c r="F230" i="1" s="1"/>
  <c r="K230" i="1" s="1"/>
  <c r="E231" i="1"/>
  <c r="F231" i="1" s="1"/>
  <c r="K231" i="1" s="1"/>
  <c r="E232" i="1"/>
  <c r="F232" i="1" s="1"/>
  <c r="K232" i="1" s="1"/>
  <c r="E233" i="1"/>
  <c r="F233" i="1" s="1"/>
  <c r="K233" i="1" s="1"/>
  <c r="E234" i="1"/>
  <c r="F234" i="1" s="1"/>
  <c r="K234" i="1" s="1"/>
  <c r="E235" i="1"/>
  <c r="F235" i="1" s="1"/>
  <c r="K235" i="1" s="1"/>
  <c r="E236" i="1"/>
  <c r="F236" i="1" s="1"/>
  <c r="K236" i="1" s="1"/>
  <c r="E237" i="1"/>
  <c r="F237" i="1" s="1"/>
  <c r="K237" i="1" s="1"/>
  <c r="E238" i="1"/>
  <c r="F238" i="1" s="1"/>
  <c r="K238" i="1" s="1"/>
  <c r="E239" i="1"/>
  <c r="F239" i="1" s="1"/>
  <c r="K239" i="1" s="1"/>
  <c r="E240" i="1"/>
  <c r="F240" i="1" s="1"/>
  <c r="K240" i="1" s="1"/>
  <c r="E241" i="1"/>
  <c r="F241" i="1" s="1"/>
  <c r="K241" i="1" s="1"/>
  <c r="E242" i="1"/>
  <c r="F242" i="1" s="1"/>
  <c r="K242" i="1" s="1"/>
  <c r="E243" i="1"/>
  <c r="F243" i="1" s="1"/>
  <c r="K243" i="1" s="1"/>
  <c r="E244" i="1"/>
  <c r="F244" i="1" s="1"/>
  <c r="K244" i="1" s="1"/>
  <c r="E245" i="1"/>
  <c r="F245" i="1" s="1"/>
  <c r="K245" i="1" s="1"/>
  <c r="E246" i="1"/>
  <c r="F246" i="1" s="1"/>
  <c r="K246" i="1" s="1"/>
  <c r="E247" i="1"/>
  <c r="F247" i="1" s="1"/>
  <c r="K247" i="1" s="1"/>
  <c r="E248" i="1"/>
  <c r="F248" i="1" s="1"/>
  <c r="K248" i="1" s="1"/>
  <c r="E249" i="1"/>
  <c r="F249" i="1" s="1"/>
  <c r="K249" i="1" s="1"/>
  <c r="E212" i="1"/>
  <c r="F212" i="1" s="1"/>
  <c r="K212" i="1" s="1"/>
  <c r="E250" i="1"/>
  <c r="F250" i="1" s="1"/>
  <c r="K250" i="1" s="1"/>
  <c r="E262" i="1"/>
  <c r="F262" i="1" s="1"/>
  <c r="K262" i="1" s="1"/>
  <c r="E265" i="1"/>
  <c r="F265" i="1" s="1"/>
  <c r="K265" i="1" s="1"/>
  <c r="E266" i="1"/>
  <c r="F266" i="1" s="1"/>
  <c r="K266" i="1" s="1"/>
  <c r="F267" i="1"/>
  <c r="K267" i="1" s="1"/>
  <c r="F268" i="1"/>
  <c r="K268" i="1" s="1"/>
  <c r="E269" i="1"/>
  <c r="F269" i="1" s="1"/>
  <c r="K269" i="1" s="1"/>
  <c r="F270" i="1"/>
  <c r="K270" i="1" s="1"/>
  <c r="F271" i="1"/>
  <c r="K271" i="1" s="1"/>
  <c r="E274" i="1"/>
  <c r="F274" i="1" s="1"/>
  <c r="K274" i="1" s="1"/>
  <c r="E275" i="1"/>
  <c r="F275" i="1" s="1"/>
  <c r="K275" i="1" s="1"/>
  <c r="E276" i="1"/>
  <c r="F276" i="1" s="1"/>
  <c r="K276" i="1" s="1"/>
  <c r="F277" i="1"/>
  <c r="K277" i="1" s="1"/>
  <c r="E278" i="1"/>
  <c r="F278" i="1" s="1"/>
  <c r="K278" i="1" s="1"/>
  <c r="E280" i="1"/>
  <c r="F280" i="1" s="1"/>
  <c r="K280" i="1" s="1"/>
  <c r="E281" i="1"/>
  <c r="F281" i="1" s="1"/>
  <c r="K281" i="1" s="1"/>
  <c r="E284" i="1"/>
  <c r="F284" i="1" s="1"/>
  <c r="K284" i="1" s="1"/>
  <c r="E285" i="1"/>
  <c r="F285" i="1" s="1"/>
  <c r="K285" i="1" s="1"/>
  <c r="E286" i="1"/>
  <c r="F286" i="1" s="1"/>
  <c r="K286" i="1" s="1"/>
  <c r="E287" i="1"/>
  <c r="F287" i="1" s="1"/>
  <c r="K287" i="1" s="1"/>
  <c r="E290" i="1"/>
  <c r="F290" i="1" s="1"/>
  <c r="K290" i="1" s="1"/>
  <c r="E292" i="1"/>
  <c r="F292" i="1" s="1"/>
  <c r="K292" i="1" s="1"/>
  <c r="E293" i="1"/>
  <c r="F293" i="1" s="1"/>
  <c r="K293" i="1" s="1"/>
  <c r="E294" i="1"/>
  <c r="F294" i="1" s="1"/>
  <c r="K294" i="1" s="1"/>
  <c r="E295" i="1"/>
  <c r="F295" i="1" s="1"/>
  <c r="K295" i="1" s="1"/>
  <c r="E296" i="1"/>
  <c r="F296" i="1" s="1"/>
  <c r="K296" i="1" s="1"/>
  <c r="E298" i="1"/>
  <c r="F298" i="1" s="1"/>
  <c r="K298" i="1" s="1"/>
  <c r="E299" i="1"/>
  <c r="F299" i="1" s="1"/>
  <c r="K299" i="1" s="1"/>
  <c r="E300" i="1"/>
  <c r="F300" i="1" s="1"/>
  <c r="K300" i="1" s="1"/>
  <c r="E301" i="1"/>
  <c r="F301" i="1" s="1"/>
  <c r="K301" i="1" s="1"/>
  <c r="E302" i="1"/>
  <c r="F302" i="1" s="1"/>
  <c r="K302" i="1" s="1"/>
  <c r="E303" i="1"/>
  <c r="F303" i="1" s="1"/>
  <c r="K303" i="1" s="1"/>
  <c r="E308" i="1"/>
  <c r="F308" i="1" s="1"/>
  <c r="K308" i="1" s="1"/>
  <c r="E312" i="1"/>
  <c r="F312" i="1" s="1"/>
  <c r="K312" i="1" s="1"/>
  <c r="E313" i="1"/>
  <c r="F313" i="1" s="1"/>
  <c r="K313" i="1" s="1"/>
  <c r="E314" i="1"/>
  <c r="F314" i="1" s="1"/>
  <c r="K314" i="1" s="1"/>
  <c r="E316" i="1"/>
  <c r="F316" i="1" s="1"/>
  <c r="K316" i="1" s="1"/>
  <c r="F317" i="1"/>
  <c r="K317" i="1" s="1"/>
  <c r="E319" i="1"/>
  <c r="F319" i="1" s="1"/>
  <c r="K319" i="1" s="1"/>
  <c r="F320" i="1"/>
  <c r="K320" i="1" s="1"/>
  <c r="F321" i="1"/>
  <c r="K321" i="1" s="1"/>
  <c r="F322" i="1"/>
  <c r="K322" i="1" s="1"/>
  <c r="E324" i="1"/>
  <c r="F324" i="1" s="1"/>
  <c r="K324" i="1" s="1"/>
  <c r="F325" i="1"/>
  <c r="K325" i="1" s="1"/>
  <c r="E328" i="1"/>
  <c r="F328" i="1" s="1"/>
  <c r="K328" i="1" s="1"/>
  <c r="F329" i="1"/>
  <c r="K329" i="1" s="1"/>
  <c r="E330" i="1"/>
  <c r="F330" i="1" s="1"/>
  <c r="K330" i="1" s="1"/>
  <c r="F331" i="1"/>
  <c r="K331" i="1" s="1"/>
  <c r="F336" i="1"/>
  <c r="K336" i="1" s="1"/>
  <c r="F337" i="1"/>
  <c r="K337" i="1" s="1"/>
  <c r="E338" i="1"/>
  <c r="F338" i="1" s="1"/>
  <c r="K338" i="1" s="1"/>
  <c r="E339" i="1"/>
  <c r="F339" i="1" s="1"/>
  <c r="K339" i="1" s="1"/>
  <c r="E360" i="1"/>
  <c r="F360" i="1" s="1"/>
  <c r="K360" i="1" s="1"/>
  <c r="E362" i="1"/>
  <c r="F362" i="1" s="1"/>
  <c r="K362" i="1" s="1"/>
  <c r="E364" i="1"/>
  <c r="F364" i="1" s="1"/>
  <c r="K364" i="1" s="1"/>
  <c r="E365" i="1"/>
  <c r="F365" i="1" s="1"/>
  <c r="K365" i="1" s="1"/>
  <c r="E391" i="1"/>
  <c r="F391" i="1" s="1"/>
  <c r="K391" i="1" s="1"/>
  <c r="E393" i="1"/>
  <c r="F393" i="1" s="1"/>
  <c r="K393" i="1" s="1"/>
  <c r="F417" i="1"/>
  <c r="K417" i="1" s="1"/>
  <c r="F418" i="1"/>
  <c r="K418" i="1" s="1"/>
  <c r="F419" i="1"/>
  <c r="K419" i="1" s="1"/>
  <c r="F560" i="1"/>
  <c r="K560" i="1" s="1"/>
  <c r="F561" i="1"/>
  <c r="K561" i="1" s="1"/>
  <c r="E566" i="1"/>
  <c r="F566" i="1" s="1"/>
  <c r="K566" i="1" s="1"/>
  <c r="E567" i="1"/>
  <c r="F567" i="1" s="1"/>
  <c r="K567" i="1" s="1"/>
  <c r="E568" i="1"/>
  <c r="F568" i="1" s="1"/>
  <c r="K568" i="1" s="1"/>
  <c r="E569" i="1"/>
  <c r="F569" i="1" s="1"/>
  <c r="K569" i="1" s="1"/>
  <c r="E570" i="1"/>
  <c r="F570" i="1" s="1"/>
  <c r="K570" i="1" s="1"/>
  <c r="E571" i="1"/>
  <c r="F571" i="1" s="1"/>
  <c r="K571" i="1" s="1"/>
  <c r="E572" i="1"/>
  <c r="F572" i="1" s="1"/>
  <c r="K572" i="1" s="1"/>
  <c r="E573" i="1"/>
  <c r="F573" i="1" s="1"/>
  <c r="K573" i="1" s="1"/>
  <c r="E576" i="1"/>
  <c r="F576" i="1" s="1"/>
  <c r="K576" i="1" s="1"/>
  <c r="E577" i="1"/>
  <c r="F577" i="1" s="1"/>
  <c r="K577" i="1" s="1"/>
  <c r="E578" i="1"/>
  <c r="F578" i="1" s="1"/>
  <c r="K578" i="1" s="1"/>
  <c r="E579" i="1"/>
  <c r="F579" i="1" s="1"/>
  <c r="K579" i="1" s="1"/>
  <c r="E580" i="1"/>
  <c r="F580" i="1" s="1"/>
  <c r="K580" i="1" s="1"/>
  <c r="E581" i="1"/>
  <c r="F581" i="1" s="1"/>
  <c r="K581" i="1" s="1"/>
  <c r="E582" i="1"/>
  <c r="F582" i="1" s="1"/>
  <c r="K582" i="1" s="1"/>
  <c r="E583" i="1"/>
  <c r="F583" i="1" s="1"/>
  <c r="K583" i="1" s="1"/>
  <c r="E584" i="1"/>
  <c r="F584" i="1" s="1"/>
  <c r="K584" i="1" s="1"/>
  <c r="E585" i="1"/>
  <c r="F585" i="1" s="1"/>
  <c r="K585" i="1" s="1"/>
  <c r="E586" i="1"/>
  <c r="F586" i="1" s="1"/>
  <c r="K586" i="1" s="1"/>
  <c r="E587" i="1"/>
  <c r="F587" i="1" s="1"/>
  <c r="K587" i="1" s="1"/>
  <c r="E588" i="1"/>
  <c r="F588" i="1" s="1"/>
  <c r="K588" i="1" s="1"/>
  <c r="E589" i="1"/>
  <c r="F589" i="1" s="1"/>
  <c r="K589" i="1" s="1"/>
  <c r="E590" i="1"/>
  <c r="F590" i="1" s="1"/>
  <c r="K590" i="1" s="1"/>
  <c r="E591" i="1"/>
  <c r="F591" i="1" s="1"/>
  <c r="K591" i="1" s="1"/>
  <c r="E592" i="1"/>
  <c r="F592" i="1" s="1"/>
  <c r="K592" i="1" s="1"/>
  <c r="E593" i="1"/>
  <c r="F593" i="1" s="1"/>
  <c r="K593" i="1" s="1"/>
  <c r="E596" i="1"/>
  <c r="F596" i="1" s="1"/>
  <c r="K596" i="1" s="1"/>
  <c r="E597" i="1"/>
  <c r="F597" i="1" s="1"/>
  <c r="K597" i="1" s="1"/>
  <c r="E598" i="1"/>
  <c r="F598" i="1" s="1"/>
  <c r="K598" i="1" s="1"/>
  <c r="E680" i="1"/>
  <c r="F680" i="1" s="1"/>
  <c r="K680" i="1" s="1"/>
  <c r="E684" i="1"/>
  <c r="F684" i="1" s="1"/>
  <c r="K684" i="1" s="1"/>
  <c r="E752" i="1"/>
  <c r="F752" i="1" s="1"/>
  <c r="K752" i="1" s="1"/>
  <c r="E753" i="1"/>
  <c r="F753" i="1" s="1"/>
  <c r="K753" i="1" s="1"/>
  <c r="E754" i="1"/>
  <c r="F754" i="1" s="1"/>
  <c r="K754" i="1" s="1"/>
  <c r="E755" i="1"/>
  <c r="F755" i="1" s="1"/>
  <c r="K755" i="1" s="1"/>
  <c r="E756" i="1"/>
  <c r="F756" i="1" s="1"/>
  <c r="K756" i="1" s="1"/>
  <c r="E757" i="1"/>
  <c r="F757" i="1" s="1"/>
  <c r="K757" i="1" s="1"/>
  <c r="E758" i="1"/>
  <c r="F758" i="1" s="1"/>
  <c r="K758" i="1" s="1"/>
  <c r="E759" i="1"/>
  <c r="F759" i="1" s="1"/>
  <c r="K759" i="1" s="1"/>
  <c r="E760" i="1"/>
  <c r="F760" i="1" s="1"/>
  <c r="K760" i="1" s="1"/>
  <c r="E761" i="1"/>
  <c r="F761" i="1" s="1"/>
  <c r="K761" i="1" s="1"/>
  <c r="E762" i="1"/>
  <c r="F762" i="1" s="1"/>
  <c r="K762" i="1" s="1"/>
  <c r="E763" i="1"/>
  <c r="F763" i="1" s="1"/>
  <c r="K763" i="1" s="1"/>
  <c r="E764" i="1"/>
  <c r="F764" i="1" s="1"/>
  <c r="K764" i="1" s="1"/>
  <c r="E916" i="1"/>
  <c r="F916" i="1" s="1"/>
  <c r="K916" i="1" s="1"/>
  <c r="E917" i="1"/>
  <c r="F917" i="1" s="1"/>
  <c r="K917" i="1" s="1"/>
  <c r="E918" i="1"/>
  <c r="F918" i="1" s="1"/>
  <c r="K918" i="1" s="1"/>
  <c r="E919" i="1"/>
  <c r="F919" i="1" s="1"/>
  <c r="K919" i="1" s="1"/>
  <c r="E920" i="1"/>
  <c r="F920" i="1" s="1"/>
  <c r="K920" i="1" s="1"/>
  <c r="E922" i="1"/>
  <c r="F922" i="1" s="1"/>
  <c r="K922" i="1" s="1"/>
  <c r="E923" i="1"/>
  <c r="F923" i="1" s="1"/>
  <c r="K923" i="1" s="1"/>
  <c r="E926" i="1"/>
  <c r="F926" i="1" s="1"/>
  <c r="K926" i="1" s="1"/>
  <c r="E927" i="1"/>
  <c r="F927" i="1" s="1"/>
  <c r="K927" i="1" s="1"/>
  <c r="E928" i="1"/>
  <c r="F928" i="1" s="1"/>
  <c r="K928" i="1" s="1"/>
  <c r="E929" i="1"/>
  <c r="F929" i="1" s="1"/>
  <c r="K929" i="1" s="1"/>
  <c r="E930" i="1"/>
  <c r="F930" i="1" s="1"/>
  <c r="K930" i="1" s="1"/>
  <c r="E931" i="1"/>
  <c r="F931" i="1" s="1"/>
  <c r="K931" i="1" s="1"/>
  <c r="E932" i="1"/>
  <c r="F932" i="1" s="1"/>
  <c r="K932" i="1" s="1"/>
  <c r="E933" i="1"/>
  <c r="F933" i="1" s="1"/>
  <c r="K933" i="1" s="1"/>
  <c r="E934" i="1"/>
  <c r="F934" i="1" s="1"/>
  <c r="K934" i="1" s="1"/>
  <c r="E937" i="1"/>
  <c r="F937" i="1" s="1"/>
  <c r="K937" i="1" s="1"/>
  <c r="E938" i="1"/>
  <c r="F938" i="1" s="1"/>
  <c r="K938" i="1" s="1"/>
  <c r="E939" i="1"/>
  <c r="F939" i="1" s="1"/>
  <c r="K939" i="1" s="1"/>
  <c r="E940" i="1"/>
  <c r="F940" i="1" s="1"/>
  <c r="K940" i="1" s="1"/>
  <c r="E941" i="1"/>
  <c r="F941" i="1" s="1"/>
  <c r="K941" i="1" s="1"/>
  <c r="E942" i="1"/>
  <c r="F942" i="1" s="1"/>
  <c r="K942" i="1" s="1"/>
  <c r="E943" i="1"/>
  <c r="F943" i="1" s="1"/>
  <c r="K943" i="1" s="1"/>
  <c r="E944" i="1"/>
  <c r="F944" i="1" s="1"/>
  <c r="K944" i="1" s="1"/>
  <c r="E945" i="1"/>
  <c r="F945" i="1" s="1"/>
  <c r="K94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<sst xmlns="http://schemas.openxmlformats.org/spreadsheetml/2006/main" count="3529" uniqueCount="3048">
  <si>
    <t>Target_product_url</t>
  </si>
  <si>
    <t>Target_product_image_url</t>
  </si>
  <si>
    <t>Target_product_name</t>
  </si>
  <si>
    <t>target_product_name_adj</t>
  </si>
  <si>
    <t>Target_product_quantity</t>
  </si>
  <si>
    <t>Target_product_brand</t>
  </si>
  <si>
    <t>Target_product_type</t>
  </si>
  <si>
    <t>Target_product_price</t>
  </si>
  <si>
    <t>https://www.target.com/p/annie-s-2-pack-6oz-each-organic-super-mac-shells-real-aged-cheddar-value-bundle/-/A-94629700#lnk=sametab</t>
  </si>
  <si>
    <t>https://target.scene7.com/is/image/Target/GUEST_1443b2ad-4d26-4aff-8257-640678dda19c?qlt=65&amp;fmt=webp&amp;hei=350&amp;wid=350</t>
  </si>
  <si>
    <t>Annie's 2 Pack/6oz Each Organic Super Mac Shells &amp; Real Aged Cheddar</t>
  </si>
  <si>
    <t>12oz</t>
  </si>
  <si>
    <t>https://www.target.com/p/annie-s-2-pack-6oz-each-organic-super-mac-shells-white-cheddar-mac-and-cheese/-/A-94629689#lnk=sametab</t>
  </si>
  <si>
    <t>https://target.scene7.com/is/image/Target/GUEST_18a89e92-433e-46f6-852d-413efcf146c8?qlt=65&amp;fmt=webp&amp;hei=350&amp;wid=350</t>
  </si>
  <si>
    <t>Annie's 2 Pack/6oz Each Organic Super Mac Shells &amp; White Cheddar Mac and Cheese</t>
  </si>
  <si>
    <t>https://www.target.com/p/annie-s-3-pack-6oz-each-organic-super-mac-shells-real-aged-cheddar/-/A-94629709#lnk=sametab</t>
  </si>
  <si>
    <t>https://target.scene7.com/is/image/Target/GUEST_280b423c-4205-428c-a1c4-d2e2a253704d?qlt=65&amp;fmt=webp&amp;hei=350&amp;wid=350</t>
  </si>
  <si>
    <t>Annie's 3 Pack/6oz Each Organic Super Mac Shells &amp; Real Aged Cheddar</t>
  </si>
  <si>
    <t>18oz</t>
  </si>
  <si>
    <t>https://www.target.com/p/annie-s-3-pack-6oz-each-organic-super-mac-shells-white-cheddar-mac-and-cheese-value-bundle/-/A-94629690#lnk=sametab</t>
  </si>
  <si>
    <t>https://target.scene7.com/is/image/Target/GUEST_5a939dc6-b3c5-426b-926d-69580195adf7?qlt=65&amp;fmt=webp&amp;hei=350&amp;wid=350</t>
  </si>
  <si>
    <t>Annie's 3 Pack/6oz Each Organic Super Mac Shells &amp; White Cheddar Mac and Cheese</t>
  </si>
  <si>
    <t>https://www.target.com/p/annie-s-cheddar-squares-baked-snack-crackers-7-5oz/-/A-52089346#lnk=sametab</t>
  </si>
  <si>
    <t>https://target.scene7.com/is/image/Target/GUEST_f39bd746-17a0-4765-a79f-68710563e9b4?qlt=65&amp;fmt=webp&amp;hei=350&amp;wid=350</t>
  </si>
  <si>
    <t>Annie's Cheddar Squares Baked Snack Crackers - 7.5oz</t>
  </si>
  <si>
    <t>https://www.target.com/p/annie-39-s-chocolate-chip-38-peanut-butter-value-pack-granola-bar-10-68oz-12ct/-/A-81411297#lnk=sametab</t>
  </si>
  <si>
    <t>https://target.scene7.com/is/image/Target/GUEST_5d02ff30-5610-41ec-b211-85b5c1cc3ec9?qlt=65&amp;fmt=webp&amp;hei=350&amp;wid=350</t>
  </si>
  <si>
    <t>Annie's Chocolate Chip &amp; Peanut Butter Value Pack Granola Bar - 10.68oz/12ct</t>
  </si>
  <si>
    <t>https://www.target.com/p/annie-39-s-chocolate-chip-chewy-value-pack-10-68oz/-/A-79344876#lnk=sametab</t>
  </si>
  <si>
    <t>https://target.scene7.com/is/image/Target/GUEST_80283a8c-3f7c-4ab0-b3d5-0c92a58d9899?qlt=65&amp;fmt=webp&amp;hei=350&amp;wid=350</t>
  </si>
  <si>
    <t>Annie's Chocolate Chip Chewy Value Pack - 10.68oz</t>
  </si>
  <si>
    <t>https://www.target.com/p/annie-39-s-classic-deluxe-microwavable-mac-38-cheese-cup-2-6oz/-/A-54492162#lnk=sametab</t>
  </si>
  <si>
    <t>https://target.scene7.com/is/image/Target/GUEST_9ee4f2ed-3145-48e4-a802-ee53ce66e083?qlt=65&amp;fmt=webp&amp;hei=350&amp;wid=350</t>
  </si>
  <si>
    <t>Annie's Classic Deluxe Microwavable Mac &amp; Cheese Cup - 2.6oz</t>
  </si>
  <si>
    <t>https://www.target.com/p/annie-39-s-gluten-free-deluxe-rich-38-creamy-rice-pasta-shells-38-cheese-sauce-11oz/-/A-14771616#lnk=sametab</t>
  </si>
  <si>
    <t>https://target.scene7.com/is/image/Target/GUEST_e4a99a75-e634-4a04-9ece-0a2a203dc4e1?qlt=65&amp;fmt=webp&amp;hei=350&amp;wid=350</t>
  </si>
  <si>
    <t>Annie's Deluxe Gluten Free Rice Pasta Shells &amp; Cheese Sauce - 11oz</t>
  </si>
  <si>
    <t>https://www.target.com/p/annie-39-s-classic-deluxe-microwavable-mac-and-cheese-cups-10-4oz-4ct/-/A-54492187#lnk=sametab</t>
  </si>
  <si>
    <t>https://target.scene7.com/is/image/Target/GUEST_698571c6-3259-4fac-9500-d311e53883ad?qlt=65&amp;fmt=webp&amp;hei=350&amp;wid=350</t>
  </si>
  <si>
    <t>Annie's Deluxe Rich &amp; Creamy Classic Cheddar Mac and Cheese Microwavable Cups - 10.4oz/4pk</t>
  </si>
  <si>
    <t>https://www.target.com/p/annie-39-s-deluxe-rich-38-creamy-shells-38-aged-cheddar-macaroni-38-cheese-sauce-11oz/-/A-13083696#lnk=sametab</t>
  </si>
  <si>
    <t>https://target.scene7.com/is/image/Target/GUEST_76e5a2af-aff5-44f1-86a6-d46504ad3bda?qlt=65&amp;fmt=webp&amp;hei=350&amp;wid=350</t>
  </si>
  <si>
    <t>Annie's Deluxe Rich &amp; Creamy Shells &amp; Aged Cheddar Mac and Cheese Sauce - 11oz</t>
  </si>
  <si>
    <t>https://www.target.com/p/annie-39-s-disney-100-shapes-cheddar-mac-and-cheese-6oz/-/A-87673888#lnk=sametab</t>
  </si>
  <si>
    <t>https://target.scene7.com/is/image/Target/GUEST_b420f622-1886-45db-b355-8521617bf577?qlt=65&amp;fmt=webp&amp;hei=350&amp;wid=350</t>
  </si>
  <si>
    <t>Annie's Disney 100 Shapes Cheddar Mac and Cheese - 6oz</t>
  </si>
  <si>
    <t>https://www.target.com/p/annie-39-s-disney-100-shapes-mac-38-cheese-cup-8-04oz-4pk/-/A-87674443#lnk=sametab</t>
  </si>
  <si>
    <t>https://target.scene7.com/is/image/Target/GUEST_090943cf-2500-4c6b-8b99-3f5268689ad7?qlt=65&amp;fmt=webp&amp;hei=350&amp;wid=350</t>
  </si>
  <si>
    <t>Annie's Disney 100 Shapes Cheddar Mac and Cheese Microwavable Cups - 8.04oz/4pk</t>
  </si>
  <si>
    <t>https://www.target.com/p/annie-39-s-fall-festival-mac-38-cheese-6oz/-/A-91376356#lnk=sametab</t>
  </si>
  <si>
    <t>https://target.scene7.com/is/image/Target/GUEST_f2ae1142-1da0-4a45-8ee1-bd69b62e4411?qlt=65&amp;fmt=webp&amp;hei=350&amp;wid=350</t>
  </si>
  <si>
    <t>Annie's Fall Harvest Shapes &amp; Cheddar Mac and Cheese - 6oz</t>
  </si>
  <si>
    <t>https://www.target.com/p/annie-39-s-gluten-free-chicken-38-pasta-soup-14oz/-/A-86262110#lnk=sametab</t>
  </si>
  <si>
    <t>https://target.scene7.com/is/image/Target/GUEST_127f1b0d-0de3-456f-abbc-c7b90743b218?qlt=65&amp;fmt=webp&amp;hei=350&amp;wid=350</t>
  </si>
  <si>
    <t>Annie's Gluten Free Chicken &amp; Pasta Soup - 14oz</t>
  </si>
  <si>
    <t>https://www.target.com/p/annie-39-s-gluten-free-microwavable-cups-4pk-8-04oz/-/A-86204856#lnk=sametab</t>
  </si>
  <si>
    <t>https://target.scene7.com/is/image/Target/GUEST_ae0c65a9-7a94-4027-b2bd-26e174408c6f?qlt=65&amp;fmt=webp&amp;hei=350&amp;wid=350</t>
  </si>
  <si>
    <t>Annie's Gluten Free Real Aged Cheddar Mac and Cheese  Microwavable Cups - 8.04oz/4pk</t>
  </si>
  <si>
    <t>https://www.target.com/p/annie-39-s-gluten-free-rice-pasta-38-cheddar-macaroni-38-cheese-6oz/-/A-12935306#lnk=sametab</t>
  </si>
  <si>
    <t>https://target.scene7.com/is/image/Target/GUEST_637d8756-7835-4864-8781-d2c164363a38?qlt=65&amp;fmt=webp&amp;hei=350&amp;wid=350</t>
  </si>
  <si>
    <t>Annie's Gluten Free Rice Pasta &amp; Cheddar Mac and Cheese - 6oz</t>
  </si>
  <si>
    <t>https://www.target.com/p/annie-39-s-gluten-free-rice-shell-pasta-with-creamy-white-cheddar-6oz/-/A-14082264#lnk=sametab</t>
  </si>
  <si>
    <t>https://target.scene7.com/is/image/Target/GUEST_c2a6671c-e887-4fbc-bb0c-75a312854914?qlt=65&amp;fmt=webp&amp;hei=350&amp;wid=350</t>
  </si>
  <si>
    <t>Annie's Gluten Free Rice Pasta &amp; White Cheddar Mac and Cheese - 6oz</t>
  </si>
  <si>
    <t>https://www.target.com/p/annie-39-s-homegrown-birthday-confetti-pancake-38-waffle-mix-26oz/-/A-82305192#lnk=sametab</t>
  </si>
  <si>
    <t>https://target.scene7.com/is/image/Target/GUEST_a5e3b945-f3f3-4cbd-9a68-2c54ee5d5a95?qlt=65&amp;fmt=webp&amp;hei=350&amp;wid=350</t>
  </si>
  <si>
    <t>Annie's Homegrown Birthday Confetti Pancake &amp; Waffle Mix - 26oz</t>
  </si>
  <si>
    <t>https://www.target.com/p/annie-39-s-homegrown-organic-bernie-o-39-s-pasta-in-tomato-38-cheese-sauce-15oz/-/A-13035361#lnk=sametab</t>
  </si>
  <si>
    <t>https://target.scene7.com/is/image/Target/GUEST_9c23ef71-0c9b-4677-970e-4419c083c7c3?qlt=65&amp;fmt=webp&amp;hei=350&amp;wid=350</t>
  </si>
  <si>
    <t>Annie's Homegrown Organic Bernie O's Pasta in Tomato &amp; Cheese Sauce 15oz</t>
  </si>
  <si>
    <t>15oz</t>
  </si>
  <si>
    <t>https://www.target.com/p/annie-s-macaroni-classic-cheddar-family-size-case-of-6-10-5-oz/-/A-90642588#lnk=sametab</t>
  </si>
  <si>
    <t>https://target.scene7.com/is/image/Target/GUEST_95c9b63a-9f51-4bde-b42e-f227f9cc11db?qlt=65&amp;fmt=webp&amp;hei=350&amp;wid=350</t>
  </si>
  <si>
    <t>Annie's Macaroni &amp; Classic Cheddar Family Size - Case of 6/10.5 oz</t>
  </si>
  <si>
    <t>https://www.target.com/p/annie-39-s-bees-bugs-38-butterflies-strawberry-raspberry-38-apple-fruit-snacks-7oz-10ct/-/A-84093837#lnk=sametab</t>
  </si>
  <si>
    <t>https://target.scene7.com/is/image/Target/GUEST_eb80035a-4b7e-4ac9-b81c-5b42b1e0ee19?qlt=65&amp;fmt=webp&amp;hei=350&amp;wid=350</t>
  </si>
  <si>
    <t>Annie's Organic Bees, Bugs &amp; Butterflies Strawberry, Raspberry &amp; Apple Fruit Snacks - 7oz/10ct</t>
  </si>
  <si>
    <t>https://www.target.com/p/annie-39-s-organic-bunny-fruit-rope-berry-strawberry-8-04oz-12ct/-/A-91022053#lnk=sametab</t>
  </si>
  <si>
    <t>https://target.scene7.com/is/image/Target/GUEST_bc8cca0e-da5b-4a78-bfe7-187dcc475316?qlt=65&amp;fmt=webp&amp;hei=350&amp;wid=350</t>
  </si>
  <si>
    <t>Annie's Organic Bunny Fruit Rope Berry Strawberry - 8.04oz/12ct</t>
  </si>
  <si>
    <t>https://www.target.com/p/annie-39-s-organic-bunny-pasta-38-chicken-broth-soup-14oz/-/A-54436799#lnk=sametab</t>
  </si>
  <si>
    <t>https://target.scene7.com/is/image/Target/GUEST_80f66479-348d-4f40-9027-c141cb90ee63?qlt=65&amp;fmt=webp&amp;hei=350&amp;wid=350</t>
  </si>
  <si>
    <t>Annie's Organic Bunny Pasta &amp; Chicken Broth Soup - 14oz</t>
  </si>
  <si>
    <t>https://www.target.com/p/annie-s-cheddar-bunnies-baked-snack-crackers-12oz/-/A-52089423#lnk=sametab</t>
  </si>
  <si>
    <t>https://target.scene7.com/is/image/Target/GUEST_be6602d9-ed35-4038-b999-2cd36253b5a9?qlt=65&amp;fmt=webp&amp;hei=350&amp;wid=350</t>
  </si>
  <si>
    <t>Annie's Organic Cheddar Bunnies Baked Snack Crackers - 12oz/12pk</t>
  </si>
  <si>
    <t>https://www.target.com/p/annie-39-s-organic-cheddar-moana-mac-and-cheese-6oz/-/A-93538223#lnk=sametab</t>
  </si>
  <si>
    <t>https://target.scene7.com/is/image/Target/GUEST_d11cbb11-b55e-4d07-a991-65552eed8756?qlt=65&amp;fmt=webp&amp;hei=350&amp;wid=350</t>
  </si>
  <si>
    <t>Annie's Organic Cheddar Moana Mac and Cheese - 6oz</t>
  </si>
  <si>
    <t>https://www.target.com/p/annie-s-organic-chicken-noodle-soup-14oz/-/A-53402903#lnk=sametab</t>
  </si>
  <si>
    <t>https://target.scene7.com/is/image/Target/GUEST_45403221-85df-4c78-838e-6d5adb26716b?qlt=65&amp;fmt=webp&amp;hei=350&amp;wid=350</t>
  </si>
  <si>
    <t>Annie's Organic Chicken Noodle Soup - 14oz</t>
  </si>
  <si>
    <t>https://www.target.com/p/annie-39-s-organic-cinnamon-rolls-with-icing-17-5oz-5ct/-/A-51021939#lnk=sametab</t>
  </si>
  <si>
    <t>https://target.scene7.com/is/image/Target/GUEST_2a00ef1f-90cb-45c7-b03c-1bf31db49885?qlt=65&amp;fmt=webp&amp;hei=350&amp;wid=350</t>
  </si>
  <si>
    <t>Annie's Organic Cinnamon Rolls with Icing - 17.5oz/5ct</t>
  </si>
  <si>
    <t>https://www.target.com/p/annie-39-s-organic-classic-cheddar-super-mac-and-cheese-cups-11-44oz-4ct/-/A-93538225#lnk=sametab</t>
  </si>
  <si>
    <t>https://target.scene7.com/is/image/Target/GUEST_ea7cee56-9365-4d4a-83af-d5f1825f66fa?qlt=65&amp;fmt=webp&amp;hei=350&amp;wid=350</t>
  </si>
  <si>
    <t>Annie's Organic Classic Cheddar Super Mac and Cheese Cups - 11.44oz/4ct</t>
  </si>
  <si>
    <t>https://www.target.com/p/annie-s-organic-creamy-tomato-soup-with-bunny-pasta-14-3oz/-/A-53403069#lnk=sametab</t>
  </si>
  <si>
    <t>https://target.scene7.com/is/image/Target/GUEST_5dfea246-ec7f-4b8a-b732-b1f17ac4cb18?qlt=65&amp;fmt=webp&amp;hei=350&amp;wid=350</t>
  </si>
  <si>
    <t>Annie's Organic Creamy Tomato Soup with Bunny Pasta - 14.3oz</t>
  </si>
  <si>
    <t>https://www.target.com/p/annie-39-s-organic-gluten-free-double-chocolate-chip-granola-bars-value-pack-11-7oz/-/A-82083653#lnk=sametab</t>
  </si>
  <si>
    <t>https://target.scene7.com/is/image/Target/GUEST_b0ad575c-8491-464c-a5f8-b228d9ececbd?qlt=65&amp;fmt=webp&amp;hei=350&amp;wid=350</t>
  </si>
  <si>
    <t>Annie's Organic Gluten Free Double Chocolate Chip Granola Bars Value Pack - 11.7oz</t>
  </si>
  <si>
    <t>https://www.target.com/p/annie-39-s-organic-gluten-free-vegan-pasta-6oz/-/A-82244069#lnk=sametab</t>
  </si>
  <si>
    <t>https://target.scene7.com/is/image/Target/GUEST_4c2de752-0c07-4139-b53b-ce9a641fb02b?qlt=65&amp;fmt=webp&amp;hei=350&amp;wid=350</t>
  </si>
  <si>
    <t>Annie's Organic Gluten Free Vegan Pasta - 6oz</t>
  </si>
  <si>
    <t>https://www.target.com/p/annie-39-s-organic-original-all-stars-pasta-in-tomato-38-cheese-sauce-15oz/-/A-13035259#lnk=sametab</t>
  </si>
  <si>
    <t>https://target.scene7.com/is/image/Target/GUEST_8cfba897-4044-4d72-baf5-1786cbb98565?qlt=65&amp;fmt=webp&amp;hei=350&amp;wid=350</t>
  </si>
  <si>
    <t>Annie's Organic Original All Stars Pasta in Tomato &amp; Cheese Sauce 15oz</t>
  </si>
  <si>
    <t>https://www.target.com/p/annie-39-s-organic-real-aged-cheddar-protein-super-mac-and-cheese-cups-11-44oz-4ct/-/A-94142118#lnk=sametab</t>
  </si>
  <si>
    <t>https://target.scene7.com/is/image/Target/GUEST_8d652b86-33e9-45f6-bc2d-c7624cdbe022?qlt=65&amp;fmt=webp&amp;hei=350&amp;wid=350</t>
  </si>
  <si>
    <t>Annie's Organic Real Aged Cheddar Protein Super Mac and Cheese Cups - 11.44oz/4ct</t>
  </si>
  <si>
    <t>https://www.target.com/p/annies-microwave-mac-and-cheese-bunny-pasta-6oz/-/A-90259777#lnk=sametab</t>
  </si>
  <si>
    <t>https://target.scene7.com/is/image/Target/GUEST_d22f5477-840e-4c33-a6d6-263f7e50d01a?qlt=65&amp;fmt=webp&amp;hei=350&amp;wid=350</t>
  </si>
  <si>
    <t>Annie's Organic Springtime Yummy Bunnies Cheddar Mac &amp; Cheese - 6oz</t>
  </si>
  <si>
    <t>https://www.target.com/p/annie-39-s-organic-star-pasta-and-chicken-soup-14oz/-/A-54436664#lnk=sametab</t>
  </si>
  <si>
    <t>https://target.scene7.com/is/image/Target/GUEST_4a7edbb0-56fc-452e-8c87-428a778f7233?qlt=65&amp;fmt=webp&amp;hei=350&amp;wid=350</t>
  </si>
  <si>
    <t>Annie's Organic Star Pasta and Chicken Soup - 14oz</t>
  </si>
  <si>
    <t>https://www.target.com/p/annie-39-s-super-mac-protein-mac-38-cheese-shells-38-real-aged-cheddar-6oz/-/A-89056272#lnk=sametab</t>
  </si>
  <si>
    <t>https://target.scene7.com/is/image/Target/GUEST_eaa30685-b932-4cc0-94f6-9945cc7d0d57?qlt=65&amp;fmt=webp&amp;hei=350&amp;wid=350</t>
  </si>
  <si>
    <t>Annie's Organic Super Mac Shells &amp; Real Aged Cheddar - 6oz</t>
  </si>
  <si>
    <t>https://www.target.com/p/annie-39-s-super-mac-protein-mac-38-cheese-shells-38-white-cheddar-6oz/-/A-89056204#lnk=sametab</t>
  </si>
  <si>
    <t>https://target.scene7.com/is/image/Target/GUEST_56aa1a64-b6e6-4693-9e6d-a3f754e87275?qlt=65&amp;fmt=webp&amp;hei=350&amp;wid=350</t>
  </si>
  <si>
    <t>Annie's Organic Super Mac Shells &amp; White Cheddar Mac and Cheese - 6oz</t>
  </si>
  <si>
    <t>https://www.target.com/p/annie-s-organic-vegan-mac-cheddar-flavor-6oz/-/A-53397655#lnk=sametab</t>
  </si>
  <si>
    <t>https://target.scene7.com/is/image/Target/GUEST_49829adf-decf-4a2a-b801-1b9d85a58138?qlt=65&amp;fmt=webp&amp;hei=350&amp;wid=350</t>
  </si>
  <si>
    <t>Annie's Organic Vegan Cheddar Mac and Cheese - 6oz</t>
  </si>
  <si>
    <t>https://www.target.com/p/annie-s-organic-vegan-mac-shells-and-sweet-potato-pumpkin-case-of-12-6-oz/-/A-90642485#lnk=sametab</t>
  </si>
  <si>
    <t>https://target.scene7.com/is/image/Target/GUEST_57cc40bf-a1e3-4774-befc-66cf9e628841?qlt=65&amp;fmt=webp&amp;hei=350&amp;wid=350</t>
  </si>
  <si>
    <t>Annie's Organic Vegan Mac Shells and Sweet Potato Pumpkin - Case of 12/6 oz</t>
  </si>
  <si>
    <t>https://www.target.com/p/annie-39-s-yummy-bunnies-38-cheddar-pasta-38-cheese-6oz/-/A-13373400#lnk=sametab</t>
  </si>
  <si>
    <t>https://target.scene7.com/is/image/Target/GUEST_28e319cc-5913-44ef-a12a-1d3ca6b83369?qlt=65&amp;fmt=webp&amp;hei=350&amp;wid=350</t>
  </si>
  <si>
    <t>Annie's Organic Yummy Bunnies &amp; Cheddar Mac and Cheese - 6oz</t>
  </si>
  <si>
    <t>https://www.target.com/p/annie-39-s-original-organic-cheesy-ravioli-15oz/-/A-13035362#lnk=sametab</t>
  </si>
  <si>
    <t>https://target.scene7.com/is/image/Target/GUEST_c475d49f-0d0a-4be1-aab5-a91bc027e07c?qlt=65&amp;fmt=webp&amp;hei=350&amp;wid=350</t>
  </si>
  <si>
    <t>Annie's Original Organic Cheesy Ravioli - 15oz</t>
  </si>
  <si>
    <t>https://www.target.com/p/annie-39-s-four-cheese-macaroni-38-cheese-6oz/-/A-17141697#lnk=sametab</t>
  </si>
  <si>
    <t>https://target.scene7.com/is/image/Target/GUEST_3c4664c9-7ad0-457e-9d9b-e0d3e807b74a?qlt=65&amp;fmt=webp&amp;hei=350&amp;wid=350</t>
  </si>
  <si>
    <t>Annie's Penne &amp; Four Cheese Mac and Cheese - 5.5oz</t>
  </si>
  <si>
    <t>https://www.target.com/p/annie-39-s-puppies-38-kitties-38-white-cheddar-pasta-38-cheese-6oz/-/A-82320833#lnk=sametab</t>
  </si>
  <si>
    <t>https://target.scene7.com/is/image/Target/GUEST_afebc019-9c27-4c4c-821e-30b939af4938?qlt=65&amp;fmt=webp&amp;hei=350&amp;wid=350</t>
  </si>
  <si>
    <t>Annie's Puppies &amp; Kitties &amp; White Cheddar Mac and Cheese - 6oz</t>
  </si>
  <si>
    <t>https://www.target.com/p/annie-39-s-shells-and-real-aged-cheddar-4pk-24oz/-/A-91370114#lnk=sametab</t>
  </si>
  <si>
    <t>https://target.scene7.com/is/image/Target/GUEST_1946f8dc-78ff-4f21-b08b-44b85cb086ea?qlt=65&amp;fmt=webp&amp;hei=350&amp;wid=350</t>
  </si>
  <si>
    <t>Annie's Shells &amp; Real Aged Cheddar Mac and Cheese - 4pk / 24oz</t>
  </si>
  <si>
    <t>https://www.target.com/p/annie-39-s-shells-38-real-aged-cheddar-macaroni-38-cheese-6oz/-/A-12936306#lnk=sametab</t>
  </si>
  <si>
    <t>https://target.scene7.com/is/image/Target/GUEST_726f6ba9-fcbe-43e7-97ef-222ca71b4d77?qlt=65&amp;fmt=webp&amp;hei=350&amp;wid=350</t>
  </si>
  <si>
    <t>Annie's Shells &amp; Real Aged Cheddar Mac and Cheese - 6oz</t>
  </si>
  <si>
    <t>https://www.target.com/p/annie-s-shells-white-cheddar-macaroni-cheese-family-size-case-of-6-10-5-oz/-/A-90642562#lnk=sametab</t>
  </si>
  <si>
    <t>https://target.scene7.com/is/image/Target/GUEST_3da0881e-71fe-406f-a01a-9dadc62023fd?qlt=65&amp;fmt=webp&amp;hei=350&amp;wid=350</t>
  </si>
  <si>
    <t>Annie's Shells &amp; White Cheddar Macaroni &amp; Cheese Family Size - Case of 6/10.5 oz</t>
  </si>
  <si>
    <t>https://www.target.com/p/annie-39-s-snack-variety-pack-10-8oz-12ct/-/A-92352764#lnk=sametab</t>
  </si>
  <si>
    <t>https://target.scene7.com/is/image/Target/GUEST_6ba1a623-e5cb-48f3-a7e2-e112ca0e6b09?qlt=65&amp;fmt=webp&amp;hei=350&amp;wid=350</t>
  </si>
  <si>
    <t>Annie's Snack Variety Pack - 10.8oz/12ct</t>
  </si>
  <si>
    <t>https://www.target.com/p/annie-39-s-spidey-shapes-cheddar-mac-and-cheese-6oz/-/A-87669586#lnk=sametab</t>
  </si>
  <si>
    <t>https://target.scene7.com/is/image/Target/GUEST_133a7605-091c-4657-829f-603e98b7397a?qlt=65&amp;fmt=webp&amp;hei=350&amp;wid=350</t>
  </si>
  <si>
    <t>Annie's Spidey Shapes &amp; Cheddar Mac and Cheese - 6oz</t>
  </si>
  <si>
    <t>https://www.target.com/p/annie-39-s-spidey-shapes-mac-38-cheese-cup-8-04oz-4pk/-/A-87673891#lnk=sametab</t>
  </si>
  <si>
    <t>https://target.scene7.com/is/image/Target/GUEST_37e271d0-8394-450d-acc8-f083db56d81d?qlt=65&amp;fmt=webp&amp;hei=350&amp;wid=350</t>
  </si>
  <si>
    <t>Annie's Spidey Shapes &amp; Cheddar Mac and Cheese Microwavable Cups - 8.04oz / 4pk</t>
  </si>
  <si>
    <t>https://www.target.com/p/annie-39-s-spirals-with-butter-38-parmesan-macaroni-38-cheese-5-25oz/-/A-14082210#lnk=sametab</t>
  </si>
  <si>
    <t>https://target.scene7.com/is/image/Target/GUEST_1756e008-06e3-4d91-8bf1-b045cd217c37?qlt=65&amp;fmt=webp&amp;hei=350&amp;wid=350</t>
  </si>
  <si>
    <t>Annie's Spirals with Butter &amp; Parmesan Mac and Cheese - 5.25oz</t>
  </si>
  <si>
    <t>https://www.target.com/p/annie-39-s-super-mac-shapes-white-cheddar-6oz/-/A-91370121#lnk=sametab</t>
  </si>
  <si>
    <t>https://target.scene7.com/is/image/Target/GUEST_35fd7d93-3150-4c31-b75f-3179b98c6ebe?qlt=65&amp;fmt=webp&amp;hei=350&amp;wid=350</t>
  </si>
  <si>
    <t>Annie's Super Mac Shapes &amp; Real Aged Cheddar Mac and Cheese - 6oz</t>
  </si>
  <si>
    <t>https://www.target.com/p/annie-39-s-boxed-vegan-organic-cheddar-mac-38-cheese-4ct-24oz/-/A-91370116#lnk=sametab</t>
  </si>
  <si>
    <t>https://target.scene7.com/is/image/Target/GUEST_8881abad-738b-4c91-a341-2797789758e3?qlt=65&amp;fmt=webp&amp;hei=350&amp;wid=350</t>
  </si>
  <si>
    <t>Annie's Vegan Cheddar Flavor Mac and Cheese - 24oz/4ct</t>
  </si>
  <si>
    <t>https://www.target.com/p/arizona-arnold-palmer-half-38-half-iced-tea-38-lemonade-12pk-16-fl-oz-bottles/-/A-85259420#lnk=sametab</t>
  </si>
  <si>
    <t>https://target.scene7.com/is/image/Target/GUEST_b7e0fdc7-d402-4c20-a513-383f8399570d?qlt=65&amp;fmt=webp&amp;hei=350&amp;wid=350</t>
  </si>
  <si>
    <t>Arizona Arnold Palmer Half &amp; Half Iced Tea &amp; Lemonade - 12pk/16 fl oz Bottles</t>
  </si>
  <si>
    <t>https://www.target.com/p/arizona-arnold-palmer-half-and-half-big-can-22-fl-oz-pack-of-12/-/A-1001946278#lnk=sametab</t>
  </si>
  <si>
    <t>https://target.scene7.com/is/image/Target/GUEST_bcbd31ed-19dd-4a19-9fb1-a11f4eac7f2d?qlt=65&amp;fmt=webp&amp;hei=350&amp;wid=350</t>
  </si>
  <si>
    <t>Arizona Arnold Palmer Half and Half - Big Can, 22 Fl Oz (Pack of 12)</t>
  </si>
  <si>
    <t>https://www.target.com/p/arizona-arnold-palmer-iced-tea-lemonade-16-fl-oz/-/A-50558319#lnk=sametab</t>
  </si>
  <si>
    <t>https://target.scene7.com/is/image/Target/GUEST_a2cff7ac-5c42-433e-b008-191a44ac7d56?qlt=65&amp;fmt=webp&amp;hei=350&amp;wid=350</t>
  </si>
  <si>
    <t>Arizona Arnold Palmer Iced Tea Lemonade - 16 fl oz</t>
  </si>
  <si>
    <t>https://www.target.com/p/arizona-arnold-palmer-lite-half-iced-tea-half-lemonade-128-fl-oz-jug/-/A-13388793#lnk=sametab</t>
  </si>
  <si>
    <t>https://target.scene7.com/is/image/Target/GUEST_4629419b-d5ee-4fd2-a0ac-fc3542879d8a?qlt=65&amp;fmt=webp&amp;hei=350&amp;wid=350</t>
  </si>
  <si>
    <t>Arizona Arnold Palmer Lite Half Iced Tea &amp; Half Lemonade - 128 fl oz Jug</t>
  </si>
  <si>
    <t>https://www.target.com/p/arizona-green-tea-16-9-fl-oz/-/A-50558315#lnk=sametab</t>
  </si>
  <si>
    <t>https://target.scene7.com/is/image/Target/GUEST_147aab93-9730-422f-abef-9c56dd2de67c?qlt=65&amp;fmt=webp&amp;hei=350&amp;wid=350</t>
  </si>
  <si>
    <t>Arizona Green Tea - 16.9 fl oz</t>
  </si>
  <si>
    <t>https://www.target.com/p/arizona-green-tea-ginseng-and-honey-24pk-16-fl-oz-bottles/-/A-87909689#lnk=sametab</t>
  </si>
  <si>
    <t>https://target.scene7.com/is/image/Target/GUEST_81a0286d-6e59-4f80-9cc9-4e1ed107f351?qlt=65&amp;fmt=webp&amp;hei=350&amp;wid=350</t>
  </si>
  <si>
    <t>Arizona Green Tea Ginseng and Honey - 24pk/16 fl oz Bottles</t>
  </si>
  <si>
    <t>https://www.target.com/p/arizona-green-tea-with-ginseng-and-honey-128-fl-oz-jug/-/A-13388795?preselect=13388795#lnk=sametab</t>
  </si>
  <si>
    <t>https://target.scene7.com/is/image/Target/GUEST_b852aec1-1ea5-4b4d-b622-b87e501956d9?qlt=65&amp;fmt=webp&amp;hei=350&amp;wid=350</t>
  </si>
  <si>
    <t>Arizona Green Tea with Ginseng and Honey - 128 fl oz Jug</t>
  </si>
  <si>
    <t>https://www.target.com/p/arizona-green-tea-with-ginseng-and-honey-12pk-16-fl-oz-bottles/-/A-85259627#lnk=sametab</t>
  </si>
  <si>
    <t>https://target.scene7.com/is/image/Target/GUEST_3fe1dd33-ddda-4c26-993e-efc1404fec12?qlt=65&amp;fmt=webp&amp;hei=350&amp;wid=350</t>
  </si>
  <si>
    <t>Arizona Green Tea with Ginseng and Honey - 12pk/16 fl oz Bottles</t>
  </si>
  <si>
    <t>https://www.target.com/p/arizona-juice-variety-pack-24pk-20-fl-oz-bottles/-/A-87909712#lnk=sametab</t>
  </si>
  <si>
    <t>https://target.scene7.com/is/image/Target/GUEST_6afb8312-dcad-4d40-a941-b7f629e2a05b?qlt=65&amp;fmt=webp&amp;hei=350&amp;wid=350</t>
  </si>
  <si>
    <t>Arizona Juice Variety Pack - 24pk/20 fl oz Bottles</t>
  </si>
  <si>
    <t>https://www.target.com/p/arizona-southern-style-sweet-tea-16-9-fl-oz/-/A-52754370#lnk=sametab</t>
  </si>
  <si>
    <t>https://target.scene7.com/is/image/Target/GUEST_21d0d1ae-c268-4327-8e24-743ed4bc05e1?qlt=65&amp;fmt=webp&amp;hei=350&amp;wid=350</t>
  </si>
  <si>
    <t>Arizona Southern Style Sweet Tea - 16.9 fl oz</t>
  </si>
  <si>
    <t>https://www.target.com/p/arizona-x-fallout-georgia-peach-green-tea-22-fl-oz-can-pack-of-12/-/A-1001657500#lnk=sametab</t>
  </si>
  <si>
    <t>https://target.scene7.com/is/image/Target/GUEST_61093d17-21fb-4810-b241-1220266ce2c5?qlt=65&amp;fmt=webp&amp;hei=350&amp;wid=350</t>
  </si>
  <si>
    <t>Arizona X Fallout Georgia Peach Green Tea - 22 Fl Oz Can (Pack of 12)</t>
  </si>
  <si>
    <t>https://www.target.com/p/arizona-x-fallout-green-tea-variety-energy-drinks-22-fl-oz-can-pack-of-12/-/A-1001657497#lnk=sametab</t>
  </si>
  <si>
    <t>https://target.scene7.com/is/image/Target/GUEST_adbdf426-7301-447c-97a2-1fecbec23639?qlt=65&amp;fmt=webp&amp;hei=350&amp;wid=350</t>
  </si>
  <si>
    <t>Arizona X Fallout Green Tea Variety Energy Drinks - 22 Fl Oz Can (Pack of 12)</t>
  </si>
  <si>
    <t>https://www.target.com/p/arizona-x-fallout-red-apple-green-tea-energy-drink-22-fl-oz-can-pack-of-12/-/A-1001657495#lnk=sametab</t>
  </si>
  <si>
    <t>https://target.scene7.com/is/image/Target/GUEST_52e7b7ed-7b06-480e-bfe8-285e180aed63?qlt=65&amp;fmt=webp&amp;hei=350&amp;wid=350</t>
  </si>
  <si>
    <t>Arizona X Fallout Red Apple Green Tea Energy Drink - 22 Fl Oz Can (Pack of 12)</t>
  </si>
  <si>
    <t>https://www.target.com/p/barilla-campanelle-pasta-16oz/-/A-13156079#lnk=sametab</t>
  </si>
  <si>
    <t>https://target.scene7.com/is/image/Target/GUEST_f2138561-c220-4edd-b7aa-5084bc7217a6?qlt=65&amp;fmt=webp&amp;hei=350&amp;wid=350</t>
  </si>
  <si>
    <t>Barilla Campanelle Pasta - 16oz</t>
  </si>
  <si>
    <t>https://www.target.com/p/barilla-ditalini-pasta-16oz/-/A-13237419#lnk=sametab</t>
  </si>
  <si>
    <t>https://target.scene7.com/is/image/Target/GUEST_48932128-fdfe-407c-b134-abe88e8055e4?qlt=65&amp;fmt=webp&amp;hei=350&amp;wid=350</t>
  </si>
  <si>
    <t>Barilla Ditalini Pasta - 16oz</t>
  </si>
  <si>
    <t>https://www.target.com/p/barilla-elbow-macaroni-pasta-16oz/-/A-13156086#lnk=sametab</t>
  </si>
  <si>
    <t>https://target.scene7.com/is/image/Target/GUEST_b6a7ca5d-189a-4f3f-b07f-841da40800d2?qlt=65&amp;fmt=webp&amp;hei=350&amp;wid=350</t>
  </si>
  <si>
    <t>Barilla Elbows Macaroni Pasta - 16oz</t>
  </si>
  <si>
    <t>https://www.target.com/p/barilla-fettuccine-pasta-16oz/-/A-13156090#lnk=sametab</t>
  </si>
  <si>
    <t>https://target.scene7.com/is/image/Target/GUEST_e158ce27-5f38-4745-bc4d-a5202eb8e644?qlt=65&amp;fmt=webp&amp;hei=350&amp;wid=350</t>
  </si>
  <si>
    <t>Barilla Fettuccine Pasta - 16oz</t>
  </si>
  <si>
    <t>https://www.target.com/p/barilla-gluten-free-elbows-pasta-12oz/-/A-47759741#lnk=sametab</t>
  </si>
  <si>
    <t>https://target.scene7.com/is/image/Target/GUEST_20ca06af-463f-4f51-ac98-75f7ef3099a6?qlt=65&amp;fmt=webp&amp;hei=350&amp;wid=350</t>
  </si>
  <si>
    <t>Barilla Gluten Free Elbows Pasta - 12oz</t>
  </si>
  <si>
    <t>https://www.target.com/p/barilla-gluten-free-fettuccine-pasta-12oz/-/A-51393210#lnk=sametab</t>
  </si>
  <si>
    <t>https://target.scene7.com/is/image/Target/GUEST_a9596a89-cb9b-45c0-ab85-c8c8ae688291?qlt=65&amp;fmt=webp&amp;hei=350&amp;wid=350</t>
  </si>
  <si>
    <t>Barilla Gluten Free Fettuccine Pasta - 12oz</t>
  </si>
  <si>
    <t>https://www.target.com/p/barilla-gluten-free-oven-ready-lasagna-pasta-10oz/-/A-53659445#lnk=sametab</t>
  </si>
  <si>
    <t>https://target.scene7.com/is/image/Target/GUEST_39fbf505-9e4e-4cc0-8618-e316458a6857?qlt=65&amp;fmt=webp&amp;hei=350&amp;wid=350</t>
  </si>
  <si>
    <t>Barilla Gluten Free Oven Ready Lasagna Pasta - 10oz</t>
  </si>
  <si>
    <t>https://www.target.com/p/barilla-gluten-free-penne-pasta-12oz/-/A-14922284#lnk=sametab</t>
  </si>
  <si>
    <t>https://target.scene7.com/is/image/Target/GUEST_dba77cb1-73f7-4782-877d-960d24b7d201?qlt=65&amp;fmt=webp&amp;hei=350&amp;wid=350</t>
  </si>
  <si>
    <t>Barilla Gluten Free Penne Pasta - 12oz</t>
  </si>
  <si>
    <t>https://www.target.com/p/barilla-gluten-free-spaghetti-pasta-12oz/-/A-14922285#lnk=sametab</t>
  </si>
  <si>
    <t>https://target.scene7.com/is/image/Target/GUEST_7d8ceec7-1e42-4031-bcae-a9aae4bfd060?qlt=65&amp;fmt=webp&amp;hei=350&amp;wid=350</t>
  </si>
  <si>
    <t>Barilla Gluten Free Spaghetti Pasta - 12oz</t>
  </si>
  <si>
    <t>https://www.target.com/p/barilla-medium-shells-pasta-16oz/-/A-13156100#lnk=sametab</t>
  </si>
  <si>
    <t>https://target.scene7.com/is/image/Target/GUEST_be4fb22d-72be-4192-b91c-896f2aa757ce?qlt=65&amp;fmt=webp&amp;hei=350&amp;wid=350</t>
  </si>
  <si>
    <t>Barilla Medium Shells Pasta - 16oz</t>
  </si>
  <si>
    <t>https://www.target.com/p/barilla-oven-ready-lasagna-pasta-9oz/-/A-13156089#lnk=sametab</t>
  </si>
  <si>
    <t>https://target.scene7.com/is/image/Target/GUEST_a2e06014-2df1-4d7f-9921-c42893dce393?qlt=65&amp;fmt=webp&amp;hei=350&amp;wid=350</t>
  </si>
  <si>
    <t>Barilla Oven Ready Lasagna Pasta - 9oz</t>
  </si>
  <si>
    <t>https://www.target.com/p/barilla-penne-38-spaghetti-variety-pack-128oz-8pk/-/A-89962834#lnk=sametab</t>
  </si>
  <si>
    <t>https://target.scene7.com/is/image/Target/GUEST_f4f8bcd7-69d8-4b64-969a-968686b00bee?qlt=65&amp;fmt=webp&amp;hei=350&amp;wid=350</t>
  </si>
  <si>
    <t>Barilla Penne &amp; Spaghetti Variety Pack - 128oz/8pk</t>
  </si>
  <si>
    <t>https://www.target.com/p/barilla-penne-pasta-16oz/-/A-13156215#lnk=sametab</t>
  </si>
  <si>
    <t>https://target.scene7.com/is/image/Target/GUEST_5ae5aa78-6d3d-4691-add6-e74acd3c45d4?qlt=65&amp;fmt=webp&amp;hei=350&amp;wid=350</t>
  </si>
  <si>
    <t>Barilla Penne Pasta - 16oz</t>
  </si>
  <si>
    <t>https://www.target.com/p/barilla-protein-multigrain-cellentani-pasta-14-5oz/-/A-91559997#lnk=sametab</t>
  </si>
  <si>
    <t>https://target.scene7.com/is/image/Target/GUEST_3d5c9f66-d475-43c3-a6c0-04222aa05c0b?qlt=65&amp;fmt=webp&amp;hei=350&amp;wid=350</t>
  </si>
  <si>
    <t>Barilla Protein+ Multigrain Cellentani Pasta - 14.5oz</t>
  </si>
  <si>
    <t>https://www.target.com/p/barilla-proteinplus-multigrain-penne-pasta-14-5oz/-/A-13156217#lnk=sametab</t>
  </si>
  <si>
    <t>https://target.scene7.com/is/image/Target/GUEST_ce6a3ef3-7c76-4958-b721-429075c727f3?qlt=65&amp;fmt=webp&amp;hei=350&amp;wid=350</t>
  </si>
  <si>
    <t>Barilla ProteinPLUS Multigrain Penne Pasta - 14.5oz</t>
  </si>
  <si>
    <t>https://www.target.com/p/barilla-proteinplus-multigrain-spaghetti-pasta-14-5oz/-/A-13156104#lnk=sametab</t>
  </si>
  <si>
    <t>https://target.scene7.com/is/image/Target/GUEST_f6674010-78ba-425b-86fe-fd961c710a8c?qlt=65&amp;fmt=webp&amp;hei=350&amp;wid=350</t>
  </si>
  <si>
    <t>Barilla ProteinPLUS Multigrain Spaghetti Pasta - 14.5oz</t>
  </si>
  <si>
    <t>https://www.target.com/p/barilla-ready-pasta-penne-7oz/-/A-88083474#lnk=sametab</t>
  </si>
  <si>
    <t>https://target.scene7.com/is/image/Target/GUEST_28112977-c772-4dc3-9fe9-2ed5552d1b8f?qlt=65&amp;fmt=webp&amp;hei=350&amp;wid=350</t>
  </si>
  <si>
    <t>Barilla Ready Pasta Penne - 7oz</t>
  </si>
  <si>
    <t>https://www.target.com/p/barilla-ready-pasta-rotini-7oz/-/A-88083475#lnk=sametab</t>
  </si>
  <si>
    <t>https://target.scene7.com/is/image/Target/GUEST_bd8bd31d-da0f-467a-b380-4403b4b1c529?qlt=65&amp;fmt=webp&amp;hei=350&amp;wid=350</t>
  </si>
  <si>
    <t>Barilla Ready Pasta Rotini - 7oz</t>
  </si>
  <si>
    <t>https://www.target.com/p/barilla-rigatoni-pasta-16oz/-/A-13156112#lnk=sametab</t>
  </si>
  <si>
    <t>https://target.scene7.com/is/image/Target/GUEST_57057788-416e-4d9a-9315-454337570999?qlt=65&amp;fmt=webp&amp;hei=350&amp;wid=350</t>
  </si>
  <si>
    <t>Barilla Rigatoni Pasta - 16oz</t>
  </si>
  <si>
    <t>https://www.target.com/p/barilla-rotini-pasta-16oz/-/A-13156094#lnk=sametab</t>
  </si>
  <si>
    <t>https://target.scene7.com/is/image/Target/GUEST_f58356dd-ae68-4fda-8e2c-128ca5355aaa?qlt=65&amp;fmt=webp&amp;hei=350&amp;wid=350</t>
  </si>
  <si>
    <t>Barilla Rotini Pasta - 16oz</t>
  </si>
  <si>
    <t>https://www.target.com/p/barilla-spaghetti-pasta-16oz/-/A-13156213#lnk=sametab</t>
  </si>
  <si>
    <t>https://target.scene7.com/is/image/Target/GUEST_3e6b4a7e-8960-4dbf-9116-ed69be15bc74?qlt=65&amp;fmt=webp&amp;hei=350&amp;wid=350</t>
  </si>
  <si>
    <t>Barilla Spaghetti Pasta  - 16oz</t>
  </si>
  <si>
    <t>https://www.target.com/p/barilla-thin-spaghetti-pasta-16oz/-/A-13156219#lnk=sametab</t>
  </si>
  <si>
    <t>https://target.scene7.com/is/image/Target/GUEST_d9b86b33-726d-40d8-8d4a-0ac884855100?qlt=65&amp;fmt=webp&amp;hei=350&amp;wid=350</t>
  </si>
  <si>
    <t>Barilla Thin Spaghetti Pasta - 16oz</t>
  </si>
  <si>
    <t>https://www.target.com/p/barilla-wavy-lasagna-pasta-16oz/-/A-13156081#lnk=sametab</t>
  </si>
  <si>
    <t>https://target.scene7.com/is/image/Target/GUEST_999ba6ba-2f9a-4a49-a30a-44aa550abb94?qlt=65&amp;fmt=webp&amp;hei=350&amp;wid=350</t>
  </si>
  <si>
    <t>Barilla Wavy Lasagna Pasta - 16oz</t>
  </si>
  <si>
    <t>https://www.target.com/p/belgioioso-burrata-cheese-8oz/-/A-84992816#lnk=sametab</t>
  </si>
  <si>
    <t>https://target.scene7.com/is/image/Target/GUEST_a186d337-3422-4952-9ed8-ee48aa85dcb2?qlt=65&amp;fmt=webp&amp;hei=350&amp;wid=350</t>
  </si>
  <si>
    <t>BelGioioso Burrata Cheese - 8oz</t>
  </si>
  <si>
    <t>https://www.target.com/p/belgioioso-fresh-mozzarella-all-natural-cheese-8oz/-/A-14929070#lnk=sametab</t>
  </si>
  <si>
    <t>https://target.scene7.com/is/image/Target/GUEST_f12d1300-24b0-45d4-8b01-6fb2610808f0?qlt=65&amp;fmt=webp&amp;hei=350&amp;wid=350</t>
  </si>
  <si>
    <t>BelGioioso Fresh Mozzarella All Natural Cheese - 8oz</t>
  </si>
  <si>
    <t>https://www.target.com/p/belgioioso-fresh-mozzarella-cheese-prosciutto-38-basil-roll-8oz/-/A-91219885#lnk=sametab</t>
  </si>
  <si>
    <t>https://target.scene7.com/is/image/Target/GUEST_555bbed6-63c6-4cf1-8d00-63dafe24b30c?qlt=65&amp;fmt=webp&amp;hei=350&amp;wid=350</t>
  </si>
  <si>
    <t>BelGioioso Fresh Mozzarella Cheese Prosciutto &amp; Basil Roll - 8oz</t>
  </si>
  <si>
    <t>https://www.target.com/p/belgioioso-fresh-mozzarella-cheese-sliced-log-16oz/-/A-84992611#lnk=sametab</t>
  </si>
  <si>
    <t>https://target.scene7.com/is/image/Target/GUEST_d2e309da-2097-44b3-9b49-898e940c28f6?qlt=65&amp;fmt=webp&amp;hei=350&amp;wid=350</t>
  </si>
  <si>
    <t>BelGioioso Fresh Mozzarella Cheese Sliced Log - 16oz</t>
  </si>
  <si>
    <t>https://www.target.com/p/belgioioso-fresh-mozzarella-ciliengine-cheese-8oz/-/A-14929067#lnk=sametab</t>
  </si>
  <si>
    <t>https://target.scene7.com/is/image/Target/GUEST_2c7d11a5-b05d-448b-b540-00a3aea7c9d4?qlt=65&amp;fmt=webp&amp;hei=350&amp;wid=350</t>
  </si>
  <si>
    <t>BelGioioso Fresh Mozzarella Ciliegine Cheese - 8oz</t>
  </si>
  <si>
    <t>https://www.target.com/p/belgioioso-fresh-mozzarella-pearl-cheese-8oz/-/A-14933668#lnk=sametab</t>
  </si>
  <si>
    <t>https://target.scene7.com/is/image/Target/GUEST_1ffd1195-dae3-4754-8d07-2772ce22074f?qlt=65&amp;fmt=webp&amp;hei=350&amp;wid=350</t>
  </si>
  <si>
    <t>BelGioioso Fresh Mozzarella Pearl Cheese - 8oz</t>
  </si>
  <si>
    <t>https://www.target.com/p/belgioioso-fresh-mozzarella-sliced-cheese-8oz/-/A-14929640#lnk=sametab</t>
  </si>
  <si>
    <t>https://target.scene7.com/is/image/Target/GUEST_62edf50d-0b0d-4f9b-926f-78a12403beb5?qlt=65&amp;fmt=webp&amp;hei=350&amp;wid=350</t>
  </si>
  <si>
    <t>BelGioioso Fresh Mozzarella Sliced Cheese - 8oz</t>
  </si>
  <si>
    <t>https://www.target.com/p/belgioioso-fresh-mozzarella-snacking-cheese-6oz/-/A-47992973#lnk=sametab</t>
  </si>
  <si>
    <t>https://target.scene7.com/is/image/Target/GUEST_0c8cb8c6-66f2-408f-8f37-8e622f64a08f?qlt=65&amp;fmt=webp&amp;hei=350&amp;wid=350</t>
  </si>
  <si>
    <t>BelGioioso Fresh Mozzarella Snacking Cheese - 6oz</t>
  </si>
  <si>
    <t>https://www.target.com/p/belgioioso-parmesan-cheese-wedge-8oz/-/A-86023078#lnk=sametab</t>
  </si>
  <si>
    <t>https://target.scene7.com/is/image/Target/GUEST_c91ed65f-3c93-4dfd-a0a3-91d48fc05c02?qlt=65&amp;fmt=webp&amp;hei=350&amp;wid=350</t>
  </si>
  <si>
    <t>BelGioioso Parmesan Cheese Wedge - 8oz</t>
  </si>
  <si>
    <t>https://www.target.com/p/belgioioso-shredded-parmesan-cheese-5oz/-/A-50802797#lnk=sametab</t>
  </si>
  <si>
    <t>https://target.scene7.com/is/image/Target/GUEST_f366c90a-19f0-42d1-a7f8-adea54cb49b5?qlt=65&amp;fmt=webp&amp;hei=350&amp;wid=350</t>
  </si>
  <si>
    <t>BelGioioso Shredded Parmesan Cheese - 5oz</t>
  </si>
  <si>
    <t>https://www.target.com/p/belgioioso-sliced-fresh-mozzarella-low-moisture-cheese-1lb/-/A-91219687#lnk=sametab</t>
  </si>
  <si>
    <t>https://target.scene7.com/is/image/Target/GUEST_f625877c-7d11-4fd9-bb2c-6cf645a3da14?qlt=65&amp;fmt=webp&amp;hei=350&amp;wid=350</t>
  </si>
  <si>
    <t>BelGioioso Sliced Fresh Mozzarella Low Moisture Cheese - 1lb</t>
  </si>
  <si>
    <t>https://www.target.com/p/ben-38-jerry-39-s-americone-dream-vanilla-ice-cream-16oz/-/A-13493654#lnk=sametab</t>
  </si>
  <si>
    <t>https://target.scene7.com/is/image/Target/GUEST_dfe067f0-3f70-475b-ac6d-5868de24930f?qlt=65&amp;fmt=webp&amp;hei=350&amp;wid=354</t>
  </si>
  <si>
    <t>Ben &amp; Jerry's Americone Dream Vanilla Ice Cream - 16oz</t>
  </si>
  <si>
    <t>https://www.target.com/p/ben-38-jerry-39-s-brownie-batter-core-chocolate-38-vanilla-ice-cream-16oz/-/A-50262508#lnk=sametab</t>
  </si>
  <si>
    <t>https://target.scene7.com/is/image/Target/GUEST_dfe067f0-3f70-475b-ac6d-5868de24930f?qlt=65&amp;fmt=webp&amp;hei=350&amp;wid=355</t>
  </si>
  <si>
    <t>Ben &amp; Jerry's Brownie Batter Core Chocolate &amp; Vanilla Ice Cream - 16oz</t>
  </si>
  <si>
    <t>https://www.target.com/p/ben-jerry-s-cherry-garcia-ice-cream-16oz/-/A-13332021#lnk=sametab</t>
  </si>
  <si>
    <t>https://target.scene7.com/is/image/Target/GUEST_1318b3e8-7bcf-4b15-bfe0-15ec26518528?qlt=65&amp;fmt=webp&amp;hei=350&amp;wid=350</t>
  </si>
  <si>
    <t>Ben &amp; Jerry's Cherry Garcia Ice Cream - 16oz</t>
  </si>
  <si>
    <t>https://www.target.com/p/ben-38-jerry-39-s-churray-for-churros-cinnamon-ice-cream-16oz/-/A-87543900#lnk=sametab</t>
  </si>
  <si>
    <t>https://target.scene7.com/is/image/Target/GUEST_f106c23f-4f79-449b-8f3c-b3d3ea42041a?qlt=65&amp;fmt=webp&amp;hei=350&amp;wid=350</t>
  </si>
  <si>
    <t>Ben &amp; Jerry's Churray for Churros Cinnamon Ice Cream - 16oz</t>
  </si>
  <si>
    <t>https://www.target.com/p/ben-38-jerry-39-s-cookie-core-chocolate-chip-cookie-ice-cream-1pt/-/A-54008977#lnk=sametab</t>
  </si>
  <si>
    <t>https://target.scene7.com/is/image/Target/GUEST_507f4e20-3d29-42b5-830d-96d3b0a3f37d?qlt=65&amp;fmt=webp&amp;hei=350&amp;wid=350</t>
  </si>
  <si>
    <t>Ben &amp; Jerry's Cookie Core Chocolate Chip Cookie Ice Cream - 1pt</t>
  </si>
  <si>
    <t>https://www.target.com/p/ben-38-jerry-39-s-dulce-delish-frozen-sundae-14-44-fl-oz/-/A-93618958#lnk=sametab</t>
  </si>
  <si>
    <t>https://target.scene7.com/is/image/Target/GUEST_dfe067f0-3f70-475b-ac6d-5868de24930f?qlt=65&amp;fmt=webp&amp;hei=350&amp;wid=358</t>
  </si>
  <si>
    <t>Ben &amp; Jerry's Dulce Delish Frozen Sundae - 14.44 fl oz</t>
  </si>
  <si>
    <t>https://www.target.com/p/ben-38-jerry-39-s-frozen-chocolate-fudge-swirl-28oz/-/A-93620364#lnk=sametab</t>
  </si>
  <si>
    <t>https://target.scene7.com/is/image/Target/GUEST_a356a070-d925-424f-9a99-cba2af3336fe?qlt=65&amp;fmt=webp&amp;hei=350&amp;wid=350</t>
  </si>
  <si>
    <t>Ben &amp; Jerry's Frozen Chocolate Fudge Swirl - 28oz</t>
  </si>
  <si>
    <t>https://www.target.com/p/ben-38-jerry-39-s-frozen-vanila-fudge-brownie-28oz/-/A-93620352#lnk=sametab</t>
  </si>
  <si>
    <t>https://target.scene7.com/is/image/Target/GUEST_b7824138-8a9a-45f9-904d-c19f87bc0cff?qlt=65&amp;fmt=webp&amp;hei=350&amp;wid=350</t>
  </si>
  <si>
    <t>Ben &amp; Jerry's Frozen Vanila Fudge Brownie - 28oz</t>
  </si>
  <si>
    <t>https://www.target.com/p/ben-38-jerry-39-s-half-baked-chocolate-38-vanilla-ice-cream-16oz/-/A-13332560#lnk=sametab</t>
  </si>
  <si>
    <t>https://target.scene7.com/is/image/Target/GUEST_a0b438f8-dd62-4faa-9eba-abbb2ad8474b?qlt=65&amp;fmt=webp&amp;hei=350&amp;wid=350</t>
  </si>
  <si>
    <t>Ben &amp; Jerry's Half Baked Chocolate &amp; Vanilla Ice Cream - 16oz</t>
  </si>
  <si>
    <t>https://www.target.com/p/ben-jerry-s-ice-cream-chocolate-chip-cookie-dough-16oz/-/A-13331191#lnk=sametab</t>
  </si>
  <si>
    <t>https://target.scene7.com/is/image/Target/GUEST_2c403673-db17-4e24-b696-9c88849ca239?qlt=65&amp;fmt=webp&amp;hei=350&amp;wid=350</t>
  </si>
  <si>
    <t>Ben &amp; Jerry's Ice Cream Chocolate Chip Cookie Dough - 16oz</t>
  </si>
  <si>
    <t>https://www.target.com/p/ben-jerry-s-ice-cream-chocolate-fudge-brownie-16oz/-/A-13332641#lnk=sametab</t>
  </si>
  <si>
    <t>https://target.scene7.com/is/image/Target/GUEST_61a825d3-31ff-435d-b20b-87b94be93001?qlt=65&amp;fmt=webp&amp;hei=350&amp;wid=350</t>
  </si>
  <si>
    <t>Ben &amp; Jerry's Ice Cream Chocolate Fudge Brownie - 16oz</t>
  </si>
  <si>
    <t>https://www.target.com/p/ben-38-jerry-39-s-ice-glampfire-trail-mix-frozen-dessert-16oz/-/A-53165343#lnk=sametab</t>
  </si>
  <si>
    <t>https://target.scene7.com/is/image/Target/GUEST_d1d0915e-a20e-42e9-b6b8-a9e1d697f772?qlt=65&amp;fmt=webp&amp;hei=350&amp;wid=350</t>
  </si>
  <si>
    <t>Ben &amp; Jerry's Ice Glampfire Trail Mix Frozen Dessert - 16oz</t>
  </si>
  <si>
    <t>https://www.target.com/p/ben-38-jerry-39-s-lights-caramel-action-ice-cream-16oz/-/A-87543908#lnk=sametab</t>
  </si>
  <si>
    <t>https://target.scene7.com/is/image/Target/GUEST_736ef44e-dc79-4f1c-b7ef-880af2829361?qlt=65&amp;fmt=webp&amp;hei=350&amp;wid=350</t>
  </si>
  <si>
    <t>Ben &amp; Jerry's Lights Caramel Action Ice Cream - 16oz</t>
  </si>
  <si>
    <t>https://www.target.com/p/ben-38-jerry-39-s-milk-and-cookies-vanilla-ice-cream-16oz/-/A-13752632#lnk=sametab</t>
  </si>
  <si>
    <t>https://target.scene7.com/is/image/Target/GUEST_b719fa64-fbbd-4724-a3f7-bea222d23243?qlt=65&amp;fmt=webp&amp;hei=350&amp;wid=350</t>
  </si>
  <si>
    <t>Ben &amp; Jerry's Milk and Cookies Vanilla Ice Cream - 16oz</t>
  </si>
  <si>
    <t>https://www.target.com/p/ben-jerry-s-mint-chocolate-cookie-ice-cream-16oz/-/A-13332629#lnk=sametab</t>
  </si>
  <si>
    <t>https://target.scene7.com/is/image/Target/GUEST_632e2e73-fded-4025-8ecd-b29cf2357bf5?qlt=65&amp;fmt=webp&amp;hei=350&amp;wid=350</t>
  </si>
  <si>
    <t>Ben &amp; Jerry's Mint Chocolate Cookie Ice Cream - 16oz</t>
  </si>
  <si>
    <t>https://www.target.com/p/ben-38-jerry-39-s-minter-wonderland-dark-chocolate-mint-ice-cream-16oz/-/A-53664478#lnk=sametab</t>
  </si>
  <si>
    <t>https://target.scene7.com/is/image/Target/GUEST_24db779a-7bc2-4185-bb94-f41e9ae32ac6?qlt=65&amp;fmt=webp&amp;hei=350&amp;wid=350</t>
  </si>
  <si>
    <t>Ben &amp; Jerry's Minter Wonderland Dark Chocolate Mint Ice Cream - 16oz</t>
  </si>
  <si>
    <t>https://www.target.com/p/ben-38-jerry-39-s-mousse-pie-chocolate-ice-cream-16oz/-/A-87543910#lnk=sametab</t>
  </si>
  <si>
    <t>https://target.scene7.com/is/image/Target/GUEST_75187257-971f-4ff2-a346-de4e92312b5d?qlt=65&amp;fmt=webp&amp;hei=350&amp;wid=350</t>
  </si>
  <si>
    <t>Ben &amp; Jerry's Mousse Pie Chocolate Ice Cream - 16oz</t>
  </si>
  <si>
    <t>https://www.target.com/p/ben-38-jerry-39-s-netflix-38-chilled-peanut-butter-ice-cream-16oz/-/A-78389922#lnk=sametab</t>
  </si>
  <si>
    <t>https://target.scene7.com/is/image/Target/GUEST_7ceaebde-7356-4618-9c71-7e2530e5702b?qlt=65&amp;fmt=webp&amp;hei=350&amp;wid=350</t>
  </si>
  <si>
    <t>Ben &amp; Jerry's Netflix &amp; Chilled Peanut Butter Ice Cream - 16oz</t>
  </si>
  <si>
    <t>https://www.target.com/p/ben-jerry-s-non-dairy-frozen-dessert-16oz/-/A-94634961?preselect=89885663#lnk=sametab</t>
  </si>
  <si>
    <t>https://target.scene7.com/is/image/Target/GUEST_cd8c853e-5a3c-4f0c-bdb4-6a5336849155?qlt=65&amp;fmt=webp&amp;hei=350&amp;wid=350</t>
  </si>
  <si>
    <t>Ben &amp; Jerry's Non-Dairy Cherry Garcia Frozen Dessert Certified Vegan - 1 Pint</t>
  </si>
  <si>
    <t>19oz</t>
  </si>
  <si>
    <t>https://www.target.com/p/ben-jerry-s-non-dairy-frozen-dessert-16oz/-/A-94634961?preselect=54007377#lnk=sametab</t>
  </si>
  <si>
    <t>https://target.scene7.com/is/image/Target/GUEST_05593851-2647-496a-83c3-fd3b4b300582?qlt=65&amp;fmt=webp&amp;hei=350&amp;wid=350</t>
  </si>
  <si>
    <t>Ben &amp; Jerry's Non-Dairy Chocolate Chip Cookie Dough Frozen Dessert - 16oz</t>
  </si>
  <si>
    <t>16oz</t>
  </si>
  <si>
    <t>https://www.target.com/p/ben-jerry-s-non-dairy-frozen-dessert-16oz/-/A-94634961?preselect=81425791#lnk=sametab</t>
  </si>
  <si>
    <t>https://target.scene7.com/is/image/Target/GUEST_dab1f4ab-3295-4654-ac19-fa770bc8f521?qlt=65&amp;fmt=webp&amp;hei=350&amp;wid=350</t>
  </si>
  <si>
    <t>Ben &amp; Jerry's Non-Dairy Karamel Sutra Chocolate &amp; Caramel Frozen Dessert - 16oz</t>
  </si>
  <si>
    <t>https://www.target.com/p/ben-jerry-s-non-dairy-frozen-dessert-16oz/-/A-94634961?preselect=78389921#lnk=sametab</t>
  </si>
  <si>
    <t>https://target.scene7.com/is/image/Target/GUEST_ce700441-036e-47c6-b523-7f4998898ad2?qlt=65&amp;fmt=webp&amp;hei=350&amp;wid=350</t>
  </si>
  <si>
    <t>Ben &amp; Jerry's Non-Dairy Milk &amp; Cookies Vanilla Frozen Dessert - 16oz</t>
  </si>
  <si>
    <t>https://www.target.com/p/ben-jerry-s-non-dairy-frozen-dessert-16oz/-/A-94634961?preselect=81425789#lnk=sametab</t>
  </si>
  <si>
    <t>https://target.scene7.com/is/image/Target/GUEST_b4773826-12e0-41b8-b9b1-21a216686ca3?qlt=65&amp;fmt=webp&amp;hei=350&amp;wid=350</t>
  </si>
  <si>
    <t>Ben &amp; Jerry's Non-Dairy Phish Food Chocolate Frozen Dessert - 16oz</t>
  </si>
  <si>
    <t>https://www.target.com/p/ben-jerry-s-non-dairy-frozen-dessert-16oz/-/A-94634961?preselect=89885661#lnk=sametab</t>
  </si>
  <si>
    <t>https://target.scene7.com/is/image/Target/GUEST_c94dcac7-ef3c-45d8-9876-538d3e4447c2?qlt=65&amp;fmt=webp&amp;hei=350&amp;wid=350</t>
  </si>
  <si>
    <t>Ben &amp; Jerry's Non-Dairy Strawberry Cheesecake Frozen Dessert Certified Vegan - 1 Pint</t>
  </si>
  <si>
    <t>https://www.target.com/p/ben-jerry-s-non-dairy-frozen-dessert-16oz/-/A-94634961?preselect=81425788#lnk=sametab</t>
  </si>
  <si>
    <t>https://target.scene7.com/is/image/Target/GUEST_8273ad23-d0cb-495b-b2d8-0f7300ddf18f?qlt=65&amp;fmt=webp&amp;hei=350&amp;wid=350</t>
  </si>
  <si>
    <t>Ben &amp; Jerry's Non-Dairy The Tonight Dough Chocolate &amp; Caramel Frozen Dessert - 16oz</t>
  </si>
  <si>
    <t>https://www.target.com/p/ben-38-jerry-39-s-oat-of-this-swirled-brown-sugar-ice-cream-16oz/-/A-51811207#lnk=sametab</t>
  </si>
  <si>
    <t>https://target.scene7.com/is/image/Target/GUEST_048c0760-865b-4469-a28a-6055cffbdc94?qlt=65&amp;fmt=webp&amp;hei=350&amp;wid=350</t>
  </si>
  <si>
    <t>Ben &amp; Jerry's Oat Of This Swirled Brown Sugar Ice Cream - 16oz</t>
  </si>
  <si>
    <t>https://www.target.com/p/ben-38-jerry-39-s-peanut-butter-half-baked-chocolate-38-peanut-butter-ice-cream-16oz/-/A-78389916#lnk=sametab</t>
  </si>
  <si>
    <t>https://target.scene7.com/is/image/Target/GUEST_63efa6b0-b71d-4958-a242-56af03465a8b?qlt=65&amp;fmt=webp&amp;hei=350&amp;wid=350</t>
  </si>
  <si>
    <t>Ben &amp; Jerry's Peanut Butter Half Baked Chocolate &amp; Peanut Butter Ice Cream - 16oz</t>
  </si>
  <si>
    <t>https://www.target.com/p/ben-38-jerry-39-s-peanut-butter-s-39-more-marshmallow-ice-cream-non-gmo-1-pint/-/A-89885660#lnk=sametab</t>
  </si>
  <si>
    <t>https://target.scene7.com/is/image/Target/GUEST_9b7ba16d-897b-4206-96e0-753e393b1e20?qlt=65&amp;fmt=webp&amp;hei=350&amp;wid=350</t>
  </si>
  <si>
    <t>Ben &amp; Jerry's Peanut Butter S'more Marshmallow Ice Cream Non-GMO - 1 Pint</t>
  </si>
  <si>
    <t>https://www.target.com/p/ben-38-jerry-39-s-peanut-butter-world-chocolate-ice-cream-16oz/-/A-13752672#lnk=sametab</t>
  </si>
  <si>
    <t>https://target.scene7.com/is/image/Target/GUEST_dfe067f0-3f70-475b-ac6d-5868de24930f?qlt=65&amp;fmt=webp&amp;hei=350&amp;wid=356</t>
  </si>
  <si>
    <t>Ben &amp; Jerry's Peanut Butter World Chocolate Ice Cream - 16oz</t>
  </si>
  <si>
    <t>https://www.target.com/p/ben-38-jerry-39-s-phish-food-chocolate-ice-cream-16oz/-/A-13026777#lnk=sametab</t>
  </si>
  <si>
    <t>https://target.scene7.com/is/image/Target/GUEST_dfe067f0-3f70-475b-ac6d-5868de24930f?qlt=65&amp;fmt=webp&amp;hei=350&amp;wid=350</t>
  </si>
  <si>
    <t>Ben &amp; Jerry's Phish Food Chocolate Ice Cream - 16oz</t>
  </si>
  <si>
    <t>https://www.target.com/p/ben-jerry-s-pistachio-pistachio-ice-cream-16oz/-/A-17074107#lnk=sametab</t>
  </si>
  <si>
    <t>https://target.scene7.com/is/image/Target/GUEST_82aad047-51ac-4279-947b-74e34d18fe16?qlt=65&amp;fmt=webp&amp;hei=350&amp;wid=350</t>
  </si>
  <si>
    <t>Ben &amp; Jerry's Pistachio Pistachio Ice Cream - 16oz</t>
  </si>
  <si>
    <t>https://www.target.com/p/ben-jerry-s-strawberry-cheesecake-ice-cream-16oz/-/A-13493822#lnk=sametab</t>
  </si>
  <si>
    <t>https://target.scene7.com/is/image/Target/GUEST_dfe067f0-3f70-475b-ac6d-5868de24930f?qlt=65&amp;fmt=webp&amp;hei=350&amp;wid=352</t>
  </si>
  <si>
    <t>Ben &amp; Jerry's Strawberry Cheesecake Ice Cream - 16oz</t>
  </si>
  <si>
    <t>https://www.target.com/p/ben-and-jerry-39-s-the-tonight-dough-caramel-38-chocolate-ice-cream-16oz/-/A-16875667#lnk=sametab</t>
  </si>
  <si>
    <t>https://target.scene7.com/is/image/Target/GUEST_dfe067f0-3f70-475b-ac6d-5868de24930f?qlt=65&amp;fmt=webp&amp;hei=350&amp;wid=351</t>
  </si>
  <si>
    <t>Ben &amp; Jerry's The Tonight Dough Caramel &amp; Chocolate Ice Cream - 16oz</t>
  </si>
  <si>
    <t>https://www.target.com/p/ben-38-jerry-39-s-topped-bossin-39-cream-pie-frozen-ice-cream-15-2oz/-/A-87543902#lnk=sametab</t>
  </si>
  <si>
    <t>https://target.scene7.com/is/image/Target/GUEST_1d51b8b0-1f58-42bf-a475-528ad79ceae0?qlt=65&amp;fmt=webp&amp;hei=350&amp;wid=350</t>
  </si>
  <si>
    <t>Ben &amp; Jerry's Topped Bossin' Cream Pie Frozen Ice Cream - 15.2oz</t>
  </si>
  <si>
    <t>https://target.scene7.com/is/image/Target/GUEST_dfe067f0-3f70-475b-ac6d-5868de24930f?qlt=65&amp;fmt=webp&amp;hei=350&amp;wid=357</t>
  </si>
  <si>
    <t>https://www.target.com/p/ben-38-jerry-39-s-topped-ice-cream-dirt-cake-frozen-dessert-15-2oz/-/A-84266281#lnk=sametab</t>
  </si>
  <si>
    <t>https://target.scene7.com/is/image/Target/GUEST_dfe067f0-3f70-475b-ac6d-5868de24930f?qlt=65&amp;fmt=webp&amp;hei=350&amp;wid=353</t>
  </si>
  <si>
    <t>Ben &amp; Jerry's Topped Ice Cream Dirt Cake Frozen Dessert - 15.2oz</t>
  </si>
  <si>
    <t>https://www.target.com/p/ben-38-jerry-39-s-topped-raspberry-cheesecake-ice-cream-15-2oz/-/A-87543906#lnk=sametab</t>
  </si>
  <si>
    <t>https://target.scene7.com/is/image/Target/GUEST_b2e370fc-4c36-47e3-a409-bec22ac03924?qlt=65&amp;fmt=webp&amp;hei=350&amp;wid=350</t>
  </si>
  <si>
    <t>Ben &amp; Jerry's Topped Raspberry Cheesecake Ice Cream - 15.2oz</t>
  </si>
  <si>
    <t>https://www.target.com/p/ben-38-jerry-39-s-topped-salted-caramel-brownie-ice-cream-15-2oz/-/A-81425779#lnk=sametab</t>
  </si>
  <si>
    <t>https://target.scene7.com/is/image/Target/GUEST_a6c2caf0-fbc6-4d1b-98a5-3259d448932b?qlt=65&amp;fmt=webp&amp;hei=350&amp;wid=350</t>
  </si>
  <si>
    <t>Ben &amp; Jerry's Topped Salted Caramel Brownie Ice Cream - 15.2oz</t>
  </si>
  <si>
    <t>https://www.target.com/p/ben-38-jerry-39-s-topped-tiramisu-ice-cream-15-2oz/-/A-81425793#lnk=sametab</t>
  </si>
  <si>
    <t>https://target.scene7.com/is/image/Target/GUEST_19982cde-452e-45e7-ba59-d89ea320aedf?qlt=65&amp;fmt=webp&amp;hei=350&amp;wid=350</t>
  </si>
  <si>
    <t>Ben &amp; Jerry's Topped Tiramisu Ice Cream - 15.2oz</t>
  </si>
  <si>
    <t>https://www.target.com/p/ben-38-jerry-39-s-vanilla-caramel-fudge-frozen-ice-cream-16oz/-/A-89075736#lnk=sametab</t>
  </si>
  <si>
    <t>https://target.scene7.com/is/image/Target/GUEST_e39072b3-b5f7-4dbe-9d6b-bf82c89eb2ec?qlt=65&amp;fmt=webp&amp;hei=350&amp;wid=350</t>
  </si>
  <si>
    <t>Ben &amp; Jerry's Vanilla Caramel Fudge Frozen Ice Cream - 16oz</t>
  </si>
  <si>
    <t>https://www.target.com/p/ben-s-original-basmati-ready-rice/-/A-89286603?preselect=87828146#lnk=sametab</t>
  </si>
  <si>
    <t>https://target.scene7.com/is/image/Target/GUEST_133e7905-cc8e-4bb9-a28e-2cfb029c336c?qlt=65&amp;fmt=webp&amp;hei=350&amp;wid=350</t>
  </si>
  <si>
    <t>Ben's Original Basmati Ready Rice Family Size - 17.3oz</t>
  </si>
  <si>
    <t>https://www.target.com/p/ben-s-original-jasmine-ready-rice/-/A-89286694?preselect=87827913#lnk=sametab</t>
  </si>
  <si>
    <t>https://target.scene7.com/is/image/Target/GUEST_c3ba24da-839d-43c7-b1b7-034148b61da6?qlt=65&amp;fmt=webp&amp;hei=350&amp;wid=350</t>
  </si>
  <si>
    <t>Ben's Original Jasmine Ready Rice Family Size - 17.3oz</t>
  </si>
  <si>
    <t>https://www.target.com/p/ben-s-original-basmati-ready-rice/-/A-89286603?preselect=13474541#lnk=sametab</t>
  </si>
  <si>
    <t>https://target.scene7.com/is/image/Target/GUEST_0ae12a23-45d0-4e8d-8c34-96c1ecc4482e?qlt=65&amp;fmt=webp&amp;hei=350&amp;wid=350</t>
  </si>
  <si>
    <t>Ben's Original Ready Rice Basmati Microwavable Pouch - 8.5oz</t>
  </si>
  <si>
    <t>https://www.target.com/p/ben-39-s-original-ready-rice-coconut-jasmine-8-5oz/-/A-91836264#lnk=sametab</t>
  </si>
  <si>
    <t>https://target.scene7.com/is/image/Target/GUEST_f700d5f9-d8a2-4a5e-8099-8897273e7c6a?qlt=65&amp;fmt=webp&amp;hei=350&amp;wid=350</t>
  </si>
  <si>
    <t>Ben's Original Ready Rice Coconut Jasmine - 8.5oz</t>
  </si>
  <si>
    <t>https://www.target.com/p/ben-39-s-original-ready-rice-garden-vegetable-microwavable-pouch-8-8oz/-/A-13393921#lnk=sametab</t>
  </si>
  <si>
    <t>https://target.scene7.com/is/image/Target/GUEST_ff7d378c-f8a4-4960-874a-0496bd363d31?qlt=65&amp;fmt=webp&amp;hei=350&amp;wid=350</t>
  </si>
  <si>
    <t>Ben's Original Ready Rice Garden Vegetable Microwavable Pouch - 8.8oz</t>
  </si>
  <si>
    <t>https://www.target.com/p/ben-s-original-jasmine-ready-rice/-/A-89286694?preselect=13474540#lnk=sametab</t>
  </si>
  <si>
    <t>https://target.scene7.com/is/image/Target/GUEST_3b2b4a02-5b9c-4929-9f3b-120797918d3c?qlt=65&amp;fmt=webp&amp;hei=350&amp;wid=350</t>
  </si>
  <si>
    <t>Ben's Original Ready Rice Jasmine Rice Microwavable Pouch - 8.5oz</t>
  </si>
  <si>
    <t>https://www.target.com/p/ben-39-s-original-ready-rice-rice-pilaf-microwavable-pouch-8-8oz/-/A-13473896#lnk=sametab</t>
  </si>
  <si>
    <t>https://target.scene7.com/is/image/Target/GUEST_27999af3-b5ec-4eba-9d50-ccc1a77feb32?qlt=65&amp;fmt=webp&amp;hei=350&amp;wid=350</t>
  </si>
  <si>
    <t>Ben's Original Ready Rice Rice Pilaf Microwavable Pouch - 8.8oz</t>
  </si>
  <si>
    <t>https://www.target.com/p/ben-39-s-original-ready-rice-roasted-chicken-family-size-17-3oz/-/A-91838057#lnk=sametab</t>
  </si>
  <si>
    <t>https://target.scene7.com/is/image/Target/GUEST_6f887c50-558c-43d2-9efb-b81f1b3ed124?qlt=65&amp;fmt=webp&amp;hei=350&amp;wid=350</t>
  </si>
  <si>
    <t>Ben's Original Ready Rice Roasted Chicken Family Size - 17.3oz</t>
  </si>
  <si>
    <t>https://www.target.com/p/ben-39-s-original-ready-rice-roasted-chicken-rice-microwavable-pouch-8-8oz/-/A-13474534#lnk=sametab</t>
  </si>
  <si>
    <t>https://target.scene7.com/is/image/Target/GUEST_dd210699-a491-413a-be38-a5a2755bafa3?qlt=65&amp;fmt=webp&amp;hei=350&amp;wid=350</t>
  </si>
  <si>
    <t>Ben's Original Ready Rice Roasted Chicken Rice Microwavable Pouch - 8.8oz</t>
  </si>
  <si>
    <t>https://www.target.com/p/ben-39-s-original-ready-rice-spanish-family-size-17-3oz/-/A-91837851#lnk=sametab</t>
  </si>
  <si>
    <t>https://target.scene7.com/is/image/Target/GUEST_f1b603e2-045d-42d1-b1b3-bfba7b8b8687?qlt=65&amp;fmt=webp&amp;hei=350&amp;wid=350</t>
  </si>
  <si>
    <t>Ben's Original Ready Rice Spanish Family Size - 17.3oz</t>
  </si>
  <si>
    <t>https://www.target.com/p/ben-39-s-original-ready-rice-spanish-style-rice-microwavable-pouch-8-8oz/-/A-13393920#lnk=sametab</t>
  </si>
  <si>
    <t>https://target.scene7.com/is/image/Target/GUEST_f11b95e7-dc26-4bc8-a38f-0b1fa425758a?qlt=65&amp;fmt=webp&amp;hei=350&amp;wid=350</t>
  </si>
  <si>
    <t>Ben's Original Ready Rice Spanish Style Rice Microwavable Pouch - 8.8oz</t>
  </si>
  <si>
    <t>https://www.target.com/p/ben-39-s-original-ready-rice-spicy-mexican-8-5oz/-/A-91838251#lnk=sametab</t>
  </si>
  <si>
    <t>https://target.scene7.com/is/image/Target/GUEST_c58da294-bc92-4d9d-842c-8e1e40271efc?qlt=65&amp;fmt=webp&amp;hei=350&amp;wid=350</t>
  </si>
  <si>
    <t>Ben's Original Ready Rice Spicy Mexican - 8.5oz</t>
  </si>
  <si>
    <t>https://www.target.com/p/ben-39-s-original-ready-rice-tikka-masala-8-5oz/-/A-91838140#lnk=sametab</t>
  </si>
  <si>
    <t>https://target.scene7.com/is/image/Target/GUEST_d7891fbd-468e-44f4-8a73-c022a43acb8d?qlt=65&amp;fmt=webp&amp;hei=350&amp;wid=350</t>
  </si>
  <si>
    <t>Ben's Original Ready Rice Tikka Masala - 8.5oz</t>
  </si>
  <si>
    <t>https://www.target.com/p/ben-39-s-original-ready-rice-white-rice-microwavable-pouch-8-8oz/-/A-13474535#lnk=sametab</t>
  </si>
  <si>
    <t>https://target.scene7.com/is/image/Target/GUEST_72231c9b-281a-4df9-8993-4b5d6e65b796?qlt=65&amp;fmt=webp&amp;hei=350&amp;wid=350</t>
  </si>
  <si>
    <t>Ben's Original Ready Rice White Rice Microwavable Pouch - 8.8oz</t>
  </si>
  <si>
    <t>https://www.target.com/p/ben-39-s-original-ready-rice-whole-grain-brown-rice-microwavable-pouch-8-8oz/-/A-13393706#lnk=sametab</t>
  </si>
  <si>
    <t>https://target.scene7.com/is/image/Target/GUEST_e25b2764-18e7-4d5c-9ef8-d3c98d2ad559?qlt=65&amp;fmt=webp&amp;hei=350&amp;wid=350</t>
  </si>
  <si>
    <t>Ben's Original Ready Rice Whole Grain Brown Rice Microwavable Pouch - 8.8oz</t>
  </si>
  <si>
    <t>https://www.target.com/p/ben-39-s-original-seasoned-long-grain-38-wild-rice-6oz/-/A-13393725#lnk=sametab</t>
  </si>
  <si>
    <t>https://target.scene7.com/is/image/Target/GUEST_c148270a-9245-405e-b730-472514a1ef75?qlt=65&amp;fmt=webp&amp;hei=350&amp;wid=350</t>
  </si>
  <si>
    <t>Ben's Original Seasoned Long Grain &amp; Wild Rice - 6oz</t>
  </si>
  <si>
    <t>https://www.target.com/p/betty-crocker-oreo-brownie-mix-9-3oz/-/A-90305376#lnk=sametab</t>
  </si>
  <si>
    <t>https://target.scene7.com/is/image/Target/GUEST_d1ff920c-8e15-40fc-ab20-d045e502eb6d?qlt=65&amp;fmt=webp&amp;hei=350&amp;wid=350</t>
  </si>
  <si>
    <t>Betty Crocker Oreo Brownie Mix - 9.3oz</t>
  </si>
  <si>
    <t>https://www.target.com/p/birds-eye-frozen-chicken-flavored-rice-with-broccoli-carrots-onions-10oz/-/A-50496494#lnk=sametab</t>
  </si>
  <si>
    <t>https://target.scene7.com/is/image/Target/GUEST_4e615fdf-f742-4878-8d09-ebd7f6eed8a9?qlt=65&amp;fmt=webp&amp;hei=350&amp;wid=350</t>
  </si>
  <si>
    <t>Birds Eye Frozen Chicken Flavored Rice with Broccoli-Carrots &amp; Onions - 10oz</t>
  </si>
  <si>
    <t>10oz</t>
  </si>
  <si>
    <t>https://www.target.com/p/birds-eye-frozen-chopped-spinach-10oz/-/A-13187564#lnk=sametab</t>
  </si>
  <si>
    <t>https://target.scene7.com/is/image/Target/GUEST_c34d04b9-e810-4062-8171-edcc29b5df86?qlt=65&amp;fmt=webp&amp;hei=350&amp;wid=352</t>
  </si>
  <si>
    <t>Birds Eye Frozen Chopped Spinach - 10oz</t>
  </si>
  <si>
    <t>https://www.target.com/p/birds-eye-frozen-crispy-green-beans-12oz/-/A-79699249#lnk=sametab</t>
  </si>
  <si>
    <t>https://target.scene7.com/is/image/Target/GUEST_c34d04b9-e810-4062-8171-edcc29b5df86?qlt=65&amp;fmt=webp&amp;hei=350&amp;wid=350</t>
  </si>
  <si>
    <t>Birds Eye Frozen Crispy Green Beans - 12oz</t>
  </si>
  <si>
    <t>https://www.target.com/p/birds-eye-frozen-fire-roasted-corn-12oz/-/A-87496355#lnk=sametab</t>
  </si>
  <si>
    <t>https://target.scene7.com/is/image/Target/GUEST_a0bb7e0c-c6e5-4f02-9d9f-50312d086c20?qlt=65&amp;fmt=webp&amp;hei=350&amp;wid=350</t>
  </si>
  <si>
    <t>Birds Eye Frozen Fire Roasted Corn - 12oz</t>
  </si>
  <si>
    <t>https://www.target.com/p/birds-eye-frozen-fire-roasted-peppers-38-onions-12oz/-/A-87496353#lnk=sametab</t>
  </si>
  <si>
    <t>https://target.scene7.com/is/image/Target/GUEST_a3951c32-3a9d-4e9d-ab58-e3c212f503c9?qlt=65&amp;fmt=webp&amp;hei=350&amp;wid=350</t>
  </si>
  <si>
    <t>Birds Eye Frozen Fire Roasted Peppers &amp; Onions - 12oz</t>
  </si>
  <si>
    <t>https://www.target.com/p/birds-eye-frozen-fusions-asian-style-with-sesame-soy-11oz/-/A-87496359#lnk=sametab</t>
  </si>
  <si>
    <t>https://target.scene7.com/is/image/Target/GUEST_51139baf-0873-4cf2-b86e-3bd9a3428efc?qlt=65&amp;fmt=webp&amp;hei=350&amp;wid=350</t>
  </si>
  <si>
    <t>Birds Eye Frozen Fusions Asian Style with Sesame Soy - 11oz</t>
  </si>
  <si>
    <t>https://www.target.com/p/birds-eye-frozen-fusions-spring-mix-with-garlic-butter-11oz/-/A-87496363#lnk=sametab</t>
  </si>
  <si>
    <t>https://target.scene7.com/is/image/Target/GUEST_8705c196-ec1e-402c-8c02-c4c6ee74b728?qlt=65&amp;fmt=webp&amp;hei=350&amp;wid=350</t>
  </si>
  <si>
    <t>Birds Eye Frozen Fusions Spring Mix with Garlic Butter - 11oz</t>
  </si>
  <si>
    <t>https://www.target.com/p/birds-eye-frozen-garlic-butter-broccoli-9oz/-/A-89967842#lnk=sametab</t>
  </si>
  <si>
    <t>https://target.scene7.com/is/image/Target/GUEST_022241db-ec6d-4dd8-9e13-88b8ceb7bdbd?qlt=65&amp;fmt=webp&amp;hei=350&amp;wid=350</t>
  </si>
  <si>
    <t>Birds Eye Frozen Garlic Butter Broccoli - 9oz</t>
  </si>
  <si>
    <t>https://www.target.com/p/birds-eye-frozen-garlic-butter-green-beans-10-8oz/-/A-89967835#lnk=sametab</t>
  </si>
  <si>
    <t>https://target.scene7.com/is/image/Target/GUEST_4d5fb3e6-d388-4045-9b14-8fd2e9f0ae69?qlt=65&amp;fmt=webp&amp;hei=350&amp;wid=350</t>
  </si>
  <si>
    <t>Birds Eye Frozen Garlic Butter Green Beans - 10.8oz</t>
  </si>
  <si>
    <t>https://www.target.com/p/birds-eye-frozen-maple-glazed-carrots-10-8oz/-/A-89967833#lnk=sametab</t>
  </si>
  <si>
    <t>https://target.scene7.com/is/image/Target/GUEST_73961e42-794f-4801-bfb5-fa0a52cc9e0a?qlt=65&amp;fmt=webp&amp;hei=350&amp;wid=350</t>
  </si>
  <si>
    <t>Birds Eye Frozen Maple Glazed Carrots - 10.8oz</t>
  </si>
  <si>
    <t>https://www.target.com/p/birds-eye-frozen-oven-roasters-brussel-sprouts-38-carrots-15oz/-/A-79754939#lnk=sametab</t>
  </si>
  <si>
    <t>https://target.scene7.com/is/image/Target/GUEST_4042b421-88f3-4131-8939-2d7cc8ba5b06?qlt=65&amp;fmt=webp&amp;hei=350&amp;wid=350</t>
  </si>
  <si>
    <t>Birds Eye Frozen Oven Roasters Brussel Sprouts &amp; Carrots - 15oz</t>
  </si>
  <si>
    <t>https://www.target.com/p/birds-eye-frozen-oven-roasters-red-potatoes-38-onions-15oz/-/A-79344006#lnk=sametab</t>
  </si>
  <si>
    <t>https://target.scene7.com/is/image/Target/GUEST_98f220e8-f2e6-4c1d-ad0b-dbe4eabb25b9?qlt=65&amp;fmt=webp&amp;hei=350&amp;wid=350</t>
  </si>
  <si>
    <t>Birds Eye Frozen Oven Roasters Red Potatoes &amp; Onions - 15oz</t>
  </si>
  <si>
    <t>https://www.target.com/p/birds-eye-frozen-sauced-cheesy-broccoli-10-8oz/-/A-87545432#lnk=sametab</t>
  </si>
  <si>
    <t>https://target.scene7.com/is/image/Target/GUEST_c34d04b9-e810-4062-8171-edcc29b5df86?qlt=65&amp;fmt=webp&amp;hei=350&amp;wid=353</t>
  </si>
  <si>
    <t>Birds Eye Frozen Sauced Cheesy Broccoli - 10.8oz</t>
  </si>
  <si>
    <t>https://www.target.com/p/birds-eye-frozen-stir-fry-veggies-and-sauce-teriyaki-15oz/-/A-82101581#lnk=sametab</t>
  </si>
  <si>
    <t>https://target.scene7.com/is/image/Target/GUEST_c34d04b9-e810-4062-8171-edcc29b5df86?qlt=65&amp;fmt=webp&amp;hei=350&amp;wid=351</t>
  </si>
  <si>
    <t>Birds Eye Frozen Stir-Fry Veggies and Sauce Teriyaki - 15oz</t>
  </si>
  <si>
    <t>https://www.target.com/p/birds-eye-frozen-tri-colored-pepper-38-onion-medley-14-4oz/-/A-79343628#lnk=sametab</t>
  </si>
  <si>
    <t>https://target.scene7.com/is/image/Target/GUEST_f2942fca-7992-4706-80c2-1bcac24e1dca?qlt=65&amp;fmt=webp&amp;hei=350&amp;wid=350</t>
  </si>
  <si>
    <t>Birds Eye Frozen Tri Colored Pepper &amp; Onion Medley  - 14.4oz</t>
  </si>
  <si>
    <t>https://www.target.com/p/birds-eye-frozen-zucchini-lentil-pasta-with-marinara-sauce-10oz/-/A-52099471#lnk=sametab</t>
  </si>
  <si>
    <t>https://target.scene7.com/is/image/Target/GUEST_2b5ff40c-de5c-48d0-b0e7-8045cf9d428d?qlt=65&amp;fmt=webp&amp;hei=350&amp;wid=350</t>
  </si>
  <si>
    <t>Birds Eye Frozen Zucchini Lentil Pasta with Marinara Sauce - 10oz</t>
  </si>
  <si>
    <t>https://www.target.com/p/birds-eye-meal-starters-frozen-broccoli-alfredo-17oz/-/A-89967837#lnk=sametab</t>
  </si>
  <si>
    <t>https://target.scene7.com/is/image/Target/GUEST_11269a53-3633-49cb-906e-dccc66ad1c35?qlt=65&amp;fmt=webp&amp;hei=350&amp;wid=350</t>
  </si>
  <si>
    <t>Birds Eye Meal Starters Frozen Broccoli Alfredo - 17oz</t>
  </si>
  <si>
    <t>https://www.target.com/p/birds-eye-oven-roasters-frozen-broccoli-38-cauliflower-14oz/-/A-79344003#lnk=sametab</t>
  </si>
  <si>
    <t>https://target.scene7.com/is/image/Target/GUEST_c34d04b9-e810-4062-8171-edcc29b5df86?qlt=65&amp;fmt=webp&amp;hei=350&amp;wid=354</t>
  </si>
  <si>
    <t>Birds Eye Oven Roasters Frozen Broccoli &amp; Cauliflower - 14oz</t>
  </si>
  <si>
    <t>https://www.target.com/p/birds-eye-shoestring-frozen-zucchini-fries-12oz/-/A-79699246#lnk=sametab</t>
  </si>
  <si>
    <t>https://target.scene7.com/is/image/Target/GUEST_180c03da-19d9-4643-b8ee-2f4daa5c32e5?qlt=65&amp;fmt=webp&amp;hei=350&amp;wid=350</t>
  </si>
  <si>
    <t>Birds Eye Shoestring Frozen Zucchini Fries - 12oz</t>
  </si>
  <si>
    <t>https://www.target.com/p/birds-eye-skillets-frozen-garlic-butter-green-beans-11oz/-/A-86800648#lnk=sametab</t>
  </si>
  <si>
    <t>https://target.scene7.com/is/image/Target/GUEST_5b1e8ae3-baf1-40fd-a5c1-ab4bcf656b32?qlt=65&amp;fmt=webp&amp;hei=350&amp;wid=350</t>
  </si>
  <si>
    <t>Birds Eye Skillets Frozen Garlic Butter Green Beans - 11oz</t>
  </si>
  <si>
    <t>https://www.target.com/p/birds-eye-steamfresh-asian-medley-frozen-vegetables-10-8oz/-/A-14753395#lnk=sametab</t>
  </si>
  <si>
    <t>https://target.scene7.com/is/image/Target/GUEST_3c95237a-846e-47a6-8525-d4726d8e2920?qlt=65&amp;fmt=webp&amp;hei=350&amp;wid=350</t>
  </si>
  <si>
    <t>Birds Eye Steamfresh Asian Medley Frozen Vegetables - 10.8oz</t>
  </si>
  <si>
    <t>https://www.target.com/p/birds-eye-steamfresh-frozen-asparagus-spears-8oz/-/A-26398456#lnk=sametab</t>
  </si>
  <si>
    <t>https://target.scene7.com/is/image/Target/GUEST_5228df5a-caaf-49e7-8cce-c5efeb240a23?qlt=65&amp;fmt=webp&amp;hei=350&amp;wid=350</t>
  </si>
  <si>
    <t>Birds Eye Steamfresh Frozen Asparagus Spears - 8oz</t>
  </si>
  <si>
    <t>https://www.target.com/p/birds-eye-steamfresh-frozen-broccoli-38-cauliflower-10-8oz/-/A-53244818#lnk=sametab</t>
  </si>
  <si>
    <t>https://target.scene7.com/is/image/Target/GUEST_2166f7c1-92bd-48b3-a530-1bfb12572e70?qlt=65&amp;fmt=webp&amp;hei=350&amp;wid=350</t>
  </si>
  <si>
    <t>Birds Eye Steamfresh Frozen Broccoli &amp; Cauliflower - 10.8oz</t>
  </si>
  <si>
    <t>https://www.target.com/p/birds-eye-steamfresh-frozen-broccoli-florets-10-8oz/-/A-13187871#lnk=sametab</t>
  </si>
  <si>
    <t>https://target.scene7.com/is/image/Target/GUEST_285929eb-f041-4d6f-9284-80553d1de39b?qlt=65&amp;fmt=webp&amp;hei=350&amp;wid=350</t>
  </si>
  <si>
    <t>Birds Eye Steamfresh Frozen Broccoli Florets - 10.8oz</t>
  </si>
  <si>
    <t>https://www.target.com/p/birds-eye-steamfresh-frozen-cut-green-beans-10oz/-/A-13183139#lnk=sametab</t>
  </si>
  <si>
    <t>https://target.scene7.com/is/image/Target/GUEST_e755ac3f-f1db-4d2e-899b-9e8756cc80a8?qlt=65&amp;fmt=webp&amp;hei=350&amp;wid=350</t>
  </si>
  <si>
    <t>Birds Eye Steamfresh Frozen Cut Green Beans - 10oz</t>
  </si>
  <si>
    <t>https://www.target.com/p/birds-eye-steamfresh-frozen-edamame-pods-frozen-vegetables-10oz/-/A-14753393#lnk=sametab</t>
  </si>
  <si>
    <t>https://target.scene7.com/is/image/Target/GUEST_da4ba264-0823-4b0d-95c3-93186471098e?qlt=65&amp;fmt=webp&amp;hei=350&amp;wid=350</t>
  </si>
  <si>
    <t>Birds Eye Steamfresh Frozen Edamame Pods Frozen Vegetables - 10oz</t>
  </si>
  <si>
    <t>https://www.target.com/p/birds-eye-steamfresh-frozen-mixed-vegetables-10oz/-/A-13183384#lnk=sametab</t>
  </si>
  <si>
    <t>https://target.scene7.com/is/image/Target/GUEST_27cbc1ec-574f-45fe-bf88-713f3a679551?qlt=65&amp;fmt=webp&amp;hei=350&amp;wid=350</t>
  </si>
  <si>
    <t>Birds Eye Steamfresh Frozen Mixed Vegetables - 10oz</t>
  </si>
  <si>
    <t>https://www.target.com/p/birds-eye-steamfresh-frozen-rotini-38-vegetables-with-roasted-garlic-sauce-11oz/-/A-79343721#lnk=sametab</t>
  </si>
  <si>
    <t>https://target.scene7.com/is/image/Target/GUEST_d4289797-3779-423b-a8eb-3b7f7a68ba28?qlt=65&amp;fmt=webp&amp;hei=350&amp;wid=350</t>
  </si>
  <si>
    <t>Birds Eye Steamfresh Frozen Rotini &amp; Vegetables with Roasted Garlic Sauce - 11oz</t>
  </si>
  <si>
    <t>https://www.target.com/p/birds-eye-steamfresh-frozen-super-sweet-corn-10oz/-/A-13183138#lnk=sametab</t>
  </si>
  <si>
    <t>https://target.scene7.com/is/image/Target/GUEST_e0b75846-f3da-4b62-8539-ec4be8378047?qlt=65&amp;fmt=webp&amp;hei=350&amp;wid=350</t>
  </si>
  <si>
    <t>Birds Eye Steamfresh Frozen Super Sweet Corn - 10oz</t>
  </si>
  <si>
    <t>https://www.target.com/p/birds-eye-steamfresh-frozen-sweet-peas-10oz/-/A-13183140#lnk=sametab</t>
  </si>
  <si>
    <t>https://target.scene7.com/is/image/Target/GUEST_b9722099-5b10-4339-99da-862862b094cf?qlt=65&amp;fmt=webp&amp;hei=350&amp;wid=350</t>
  </si>
  <si>
    <t>Birds Eye Steamfresh Frozen Sweet Peas - 10oz</t>
  </si>
  <si>
    <t>https://www.target.com/p/birds-eye-steamfresh-frozen-vegetables-10-8oz/-/A-50538730#lnk=sametab</t>
  </si>
  <si>
    <t>https://target.scene7.com/is/image/Target/GUEST_15f8dbd2-6cc1-4035-8993-8e47d5ece239?qlt=65&amp;fmt=webp&amp;hei=350&amp;wid=350</t>
  </si>
  <si>
    <t>Birds Eye Steamfresh Frozen Vegetables - 10.8oz</t>
  </si>
  <si>
    <t>https://www.target.com/p/birds-eye-steamfresh-premium-selects-frozen-whole-green-beans-10-8oz/-/A-13190419#lnk=sametab</t>
  </si>
  <si>
    <t>https://target.scene7.com/is/image/Target/GUEST_b8bc8a06-e657-424f-8604-f1e0014430c4?qlt=65&amp;fmt=webp&amp;hei=350&amp;wid=350</t>
  </si>
  <si>
    <t>Birds Eye Steamfresh Premium Selects Frozen Whole Green Beans - 10.8oz</t>
  </si>
  <si>
    <t>https://www.target.com/p/birds-eye-ultimate-cheesy-frozen-broccoli-11oz/-/A-93827452#lnk=sametab</t>
  </si>
  <si>
    <t>https://target.scene7.com/is/image/Target/GUEST_1b47c8a3-29e3-4bab-adf2-99dca01a9f12?qlt=65&amp;fmt=webp&amp;hei=350&amp;wid=350</t>
  </si>
  <si>
    <t>Birds Eye Ultimate Cheesy Frozen Broccoli - 11oz</t>
  </si>
  <si>
    <t>https://www.target.com/p/birds-eye-ultimate-cheesy-frozen-california-blend-11oz/-/A-93827453#lnk=sametab</t>
  </si>
  <si>
    <t>https://target.scene7.com/is/image/Target/GUEST_77d804bf-5440-4cbd-9b64-98d9d3313021?qlt=65&amp;fmt=webp&amp;hei=350&amp;wid=350</t>
  </si>
  <si>
    <t>Birds Eye Ultimate Cheesy Frozen California Blend - 11oz</t>
  </si>
  <si>
    <t>https://www.target.com/p/birds-eye-ultimate-frozen-buttery-corn-12oz/-/A-93731831#lnk=sametab</t>
  </si>
  <si>
    <t>https://target.scene7.com/is/image/Target/GUEST_e9fbf5e4-52e0-48bf-abc2-74b3fd555496?qlt=65&amp;fmt=webp&amp;hei=350&amp;wid=350</t>
  </si>
  <si>
    <t>Birds Eye Ultimate Frozen Buttery Corn - 12oz</t>
  </si>
  <si>
    <t>https://www.target.com/p/birds-eye-ultimate-frozen-buttery-green-beans-12oz/-/A-93731823#lnk=sametab</t>
  </si>
  <si>
    <t>https://target.scene7.com/is/image/Target/GUEST_53ae9fe9-2b70-4484-b873-213adac38920?qlt=65&amp;fmt=webp&amp;hei=350&amp;wid=350</t>
  </si>
  <si>
    <t>Birds Eye Ultimate Frozen Buttery Green Beans - 12oz</t>
  </si>
  <si>
    <t>https://www.target.com/p/birds-eye-voila-family-size-frozen-chicken-fried-rice-42oz/-/A-53243104#lnk=sametab</t>
  </si>
  <si>
    <t>https://target.scene7.com/is/image/Target/GUEST_ff384c3b-0f73-4596-a867-c6b5eca67549?qlt=65&amp;fmt=webp&amp;hei=350&amp;wid=350</t>
  </si>
  <si>
    <t>Birds Eye Voila! Family Size Frozen Chicken Fried Rice - 42oz</t>
  </si>
  <si>
    <t>https://www.target.com/p/birds-eye-voila-frozen-family-size-alfredo-chicken-42oz/-/A-34841869#lnk=sametab</t>
  </si>
  <si>
    <t>https://target.scene7.com/is/image/Target/GUEST_efc28a6e-724d-4ac8-8e83-3a8a0f907620?qlt=65&amp;fmt=webp&amp;hei=350&amp;wid=350</t>
  </si>
  <si>
    <t>Birds Eye Voila! Frozen Family Size Alfredo Chicken - 42oz</t>
  </si>
  <si>
    <t>https://www.target.com/p/birds-eye-voila-frozen-family-size-cheesy-chicken-42oz/-/A-28786684#lnk=sametab</t>
  </si>
  <si>
    <t>https://target.scene7.com/is/image/Target/GUEST_21b71736-e2a8-46af-b48a-60dc57ace99d?qlt=65&amp;fmt=webp&amp;hei=350&amp;wid=350</t>
  </si>
  <si>
    <t>Birds Eye Voila! Frozen Family Size Cheesy Chicken - 42oz</t>
  </si>
  <si>
    <t>https://www.target.com/p/bush-s-best-baked-beans-golden-hominy-15-5-oz/-/A-90521525#lnk=sametab</t>
  </si>
  <si>
    <t>Bush's Best Baked Beans, Golden Hominy - 15.5 Oz</t>
  </si>
  <si>
    <t>15.5oz</t>
  </si>
  <si>
    <t>https://www.target.com/p/bush-s-best-baked-beans-white-hominy-15-5-oz/-/A-90521539#lnk=sametab</t>
  </si>
  <si>
    <t>Bush's Best Baked Beans, White Hominy - 15.5 Oz</t>
  </si>
  <si>
    <t>https://www.target.com/p/bush-s-best-bean-dip-black-9-5-oz/-/A-90521520#lnk=sametab</t>
  </si>
  <si>
    <t>Bush's Best Bean Dip, Black - 9.5 Oz</t>
  </si>
  <si>
    <t>9.5oz</t>
  </si>
  <si>
    <t>https://www.target.com/p/bush-s-best-bean-dip-original-9-5-oz/-/A-90521517#lnk=sametab</t>
  </si>
  <si>
    <t>Bush's Best Bean Dip, Original - 9.5 Oz</t>
  </si>
  <si>
    <t>https://www.target.com/p/bushs-best-boston-recipe-baked-beans-28oz/-/A-90521556#lnk=sametab</t>
  </si>
  <si>
    <t>Bush's Best Boston Recipe Baked Beans - 28oz</t>
  </si>
  <si>
    <t>https://www.target.com/p/bush-s-best-homestyle-baked-beans-8-3-oz/-/A-90521521#lnk=sametab</t>
  </si>
  <si>
    <t>https://target.scene7.com/is/image/Target/GUEST_c67a450c-f37c-4a94-ae07-9db0af6fa10c?qlt=65&amp;fmt=webp&amp;hei=350&amp;wid=350</t>
  </si>
  <si>
    <t>Bush's Best Homestyle Baked Beans - 8.3 oz</t>
  </si>
  <si>
    <t>https://www.target.com/p/bush-s-best-onion-baked-beans-28oz/-/A-90521518#lnk=sametab</t>
  </si>
  <si>
    <t>Bush's Best Onion Baked Beans - 28oz</t>
  </si>
  <si>
    <t>https://www.target.com/p/bush-39-s-black-beans-15oz/-/A-13536162#lnk=sametab</t>
  </si>
  <si>
    <t>https://target.scene7.com/is/image/Target/GUEST_68cf9b25-2806-4b12-96e8-b102fd692e54?qlt=65&amp;fmt=webp&amp;hei=350&amp;wid=350</t>
  </si>
  <si>
    <t>Bush's Black Beans - 15oz</t>
  </si>
  <si>
    <t>https://www.target.com/p/bush-39-s-blackeye-peas-15-8oz/-/A-13573116#lnk=sametab</t>
  </si>
  <si>
    <t>https://target.scene7.com/is/image/Target/GUEST_95b08ab0-43c7-46fc-a4e5-08ddfa077d05?qlt=65&amp;fmt=webp&amp;hei=350&amp;wid=350</t>
  </si>
  <si>
    <t>Bush's Blackeye Peas - 15.8oz</t>
  </si>
  <si>
    <t>https://www.target.com/p/bush-s-brown-sugar-hickory-baked-beans/-/A-94669602?preselect=50429599#lnk=sametab</t>
  </si>
  <si>
    <t>https://target.scene7.com/is/image/Target/GUEST_282f53dd-c221-45e4-93e4-db4862d09958?qlt=65&amp;fmt=webp&amp;hei=350&amp;wid=350</t>
  </si>
  <si>
    <t>Bush's Brown Sugar Hickory Baked Beans - 16oz</t>
  </si>
  <si>
    <t>https://www.target.com/p/bush-s-brown-sugar-hickory-baked-beans/-/A-94669602?preselect=17079652#lnk=sametab</t>
  </si>
  <si>
    <t>https://target.scene7.com/is/image/Target/GUEST_51128042-1149-49b4-ae7f-ea7b191f83fe?qlt=65&amp;fmt=webp&amp;hei=350&amp;wid=350</t>
  </si>
  <si>
    <t>Bush's Brown Sugar Hickory Baked Beans - 28oz</t>
  </si>
  <si>
    <t>https://www.target.com/p/bush-39-s-cannellini-beans-15-5oz/-/A-13742463#lnk=sametab</t>
  </si>
  <si>
    <t>https://target.scene7.com/is/image/Target/GUEST_46176628-c475-485c-b560-bcd6f7d78374?qlt=65&amp;fmt=webp&amp;hei=350&amp;wid=350</t>
  </si>
  <si>
    <t>Bush's Cannellini Beans - 15.5oz</t>
  </si>
  <si>
    <t>https://www.target.com/p/bush-39-s-country-style-baked-beans-28oz/-/A-13595308#lnk=sametab</t>
  </si>
  <si>
    <t>https://target.scene7.com/is/image/Target/GUEST_45fcf4a0-8a14-49bd-9066-cd01ffd5051b?qlt=65&amp;fmt=webp&amp;hei=350&amp;wid=350</t>
  </si>
  <si>
    <t>Bush's Country Style Baked Beans - 28oz</t>
  </si>
  <si>
    <t>https://www.target.com/p/bush-39-s-dark-red-kidney-beans-16oz/-/A-13593955#lnk=sametab</t>
  </si>
  <si>
    <t>https://target.scene7.com/is/image/Target/GUEST_a173dfd7-cc18-459d-9368-0b6659c3c9fd?qlt=65&amp;fmt=webp&amp;hei=350&amp;wid=350</t>
  </si>
  <si>
    <t>Bush's Dark Red Kidney Beans - 16oz</t>
  </si>
  <si>
    <t>https://www.target.com/p/bush-39-s-garbanzo-beans-16oz/-/A-13593959#lnk=sametab</t>
  </si>
  <si>
    <t>Bush's Garbanzo Beans - 16oz</t>
  </si>
  <si>
    <t>https://www.target.com/p/bush-39-s-gluten-free-bourbon-and-brown-sugar-grillin-39-beans-22oz/-/A-13742528#lnk=sametab</t>
  </si>
  <si>
    <t>https://target.scene7.com/is/image/Target/GUEST_1eae8eb5-70a2-46a9-94ba-da4c995a573f?qlt=65&amp;fmt=webp&amp;hei=350&amp;wid=350</t>
  </si>
  <si>
    <t>Bush's Gluten Free Bourbon and Brown Sugar Grillin' Beans - 22oz</t>
  </si>
  <si>
    <t>https://www.target.com/p/bush-39-s-great-northern-beans-15-8oz/-/A-13598296#lnk=sametab</t>
  </si>
  <si>
    <t>https://target.scene7.com/is/image/Target/GUEST_b97825ea-f876-431e-b59b-c5d79a72b7c6?qlt=65&amp;fmt=webp&amp;hei=350&amp;wid=350</t>
  </si>
  <si>
    <t>Bush's Great Northern Beans - 15.8oz</t>
  </si>
  <si>
    <t>https://www.target.com/p/bush-39-s-great-northern-beans-in-mild-white-chili-sauce-15-5oz/-/A-16369682#lnk=sametab</t>
  </si>
  <si>
    <t>https://target.scene7.com/is/image/Target/GUEST_8075e023-6576-4b54-b144-6646e2a9758c?qlt=65&amp;fmt=webp&amp;hei=350&amp;wid=350</t>
  </si>
  <si>
    <t>Bush's Great Northern Beans in Mild White Chili Sauce - 15.5oz</t>
  </si>
  <si>
    <t>https://www.target.com/p/bush-39-s-grillin-39-hot-honey-baked-bean-21-7oz/-/A-91370145#lnk=sametab</t>
  </si>
  <si>
    <t>https://target.scene7.com/is/image/Target/GUEST_6471aff8-f121-432d-912f-050bf39cb35f?qlt=65&amp;fmt=webp&amp;hei=350&amp;wid=350</t>
  </si>
  <si>
    <t>Bush's Grillin' Hot Honey Baked Bean - 21.7oz</t>
  </si>
  <si>
    <t>https://www.target.com/p/bush-39-s-kidney-beans-in-mild-chili-sauce-16oz/-/A-16369679#lnk=sametab</t>
  </si>
  <si>
    <t>https://target.scene7.com/is/image/Target/GUEST_7dbb6e9b-6114-44e3-bb37-768728d36e8b?qlt=65&amp;fmt=webp&amp;hei=350&amp;wid=350</t>
  </si>
  <si>
    <t>Bush's Kidney Beans in Mild Chili Sauce - 16oz</t>
  </si>
  <si>
    <t>https://www.target.com/p/bush-39-s-kidney-beans-in-spicy-chili-sauce-16oz/-/A-52162134#lnk=sametab</t>
  </si>
  <si>
    <t>https://target.scene7.com/is/image/Target/GUEST_9a2d41a9-8efd-4c85-9716-d91f782b8b35?qlt=65&amp;fmt=webp&amp;hei=350&amp;wid=350</t>
  </si>
  <si>
    <t>Bush's Kidney Beans in Spicy Chili Sauce - 16oz</t>
  </si>
  <si>
    <t>https://www.target.com/p/bush-39-s-low-sodium-red-beans-in-mild-chili-sauce-15oz/-/A-54539588#lnk=sametab</t>
  </si>
  <si>
    <t>https://target.scene7.com/is/image/Target/GUEST_cb21499e-887d-421d-8fd3-2c7995d352b2?qlt=65&amp;fmt=webp&amp;hei=350&amp;wid=350</t>
  </si>
  <si>
    <t>Bush's Low Sodium Red Beans in Mild Chili Sauce - 15oz</t>
  </si>
  <si>
    <t>https://www.target.com/p/bush-39-s-maple-cured-bacon-baked-beans-16oz/-/A-13599086#lnk=sametab</t>
  </si>
  <si>
    <t>https://target.scene7.com/is/image/Target/GUEST_00c2ea79-6f17-435c-963e-354874fdb673?qlt=65&amp;fmt=webp&amp;hei=350&amp;wid=350</t>
  </si>
  <si>
    <t>Bush's Maple Cured Bacon Baked Beans - 16oz</t>
  </si>
  <si>
    <t>https://www.target.com/p/bush-39-s-mixed-pinto-38-kidney-beans-in-medium-chili-sauce-15-5oz/-/A-52162215#lnk=sametab</t>
  </si>
  <si>
    <t>https://target.scene7.com/is/image/Target/GUEST_e4c4e73c-7168-4625-adab-c698bc087dc3?qlt=65&amp;fmt=webp&amp;hei=350&amp;wid=350</t>
  </si>
  <si>
    <t>Bush's Mixed Pinto &amp; Kidney Beans in Medium Chili Sauce - 15.5oz</t>
  </si>
  <si>
    <t>https://www.target.com/p/bush-39-s-organic-baked-beans-16oz/-/A-51249603#lnk=sametab</t>
  </si>
  <si>
    <t>https://target.scene7.com/is/image/Target/GUEST_4b0550be-c98a-40aa-b234-ad7dc4b991a7?qlt=65&amp;fmt=webp&amp;hei=350&amp;wid=350</t>
  </si>
  <si>
    <t>Bush's Organic Baked Beans - 16oz</t>
  </si>
  <si>
    <t>https://www.target.com/p/bush-s-original-baked-beans/-/A-94669603?preselect=13536136#lnk=sametab</t>
  </si>
  <si>
    <t>https://target.scene7.com/is/image/Target/GUEST_a292e2c4-7e14-4aab-bc8e-e0cb3d6de76f?qlt=65&amp;fmt=webp&amp;hei=350&amp;wid=350</t>
  </si>
  <si>
    <t>Bush's Original Baked Beans - 16oz</t>
  </si>
  <si>
    <t>https://www.target.com/p/bush-s-original-baked-beans/-/A-94669603?preselect=13599080#lnk=sametab</t>
  </si>
  <si>
    <t>https://target.scene7.com/is/image/Target/GUEST_44ff3811-c942-46c9-bc93-781bee152832?qlt=65&amp;fmt=webp&amp;hei=350&amp;wid=350</t>
  </si>
  <si>
    <t>Bush's Original Baked Beans - 28oz</t>
  </si>
  <si>
    <t>https://www.target.com/p/bush-s-original-baked-beans/-/A-94669603?preselect=14777262#lnk=sametab</t>
  </si>
  <si>
    <t>https://target.scene7.com/is/image/Target/GUEST_6d705860-563c-4237-b2d8-094f3eedc46e?qlt=65&amp;fmt=webp&amp;hei=350&amp;wid=350</t>
  </si>
  <si>
    <t>Bush's Original Baked Beans - 8.3oz</t>
  </si>
  <si>
    <t>https://www.target.com/p/bush-39-s-pinto-beans-16oz/-/A-13602137#lnk=sametab</t>
  </si>
  <si>
    <t>https://target.scene7.com/is/image/Target/GUEST_4ef031f1-974c-4a6d-8ee7-9245dcb62fa7?qlt=65&amp;fmt=webp&amp;hei=350&amp;wid=350</t>
  </si>
  <si>
    <t>Bush's Pinto Beans - 16oz</t>
  </si>
  <si>
    <t>https://www.target.com/p/bush-39-s-pinto-beans-in-mild-chili-sauce-16oz/-/A-13602125#lnk=sametab</t>
  </si>
  <si>
    <t>https://target.scene7.com/is/image/Target/GUEST_a5439961-fce2-43e0-9643-8eb56aabb809?qlt=65&amp;fmt=webp&amp;hei=350&amp;wid=350</t>
  </si>
  <si>
    <t>Bush's Pinto Beans in Mild Chili Sauce - 16oz</t>
  </si>
  <si>
    <t>https://www.target.com/p/bush-39-s-red-beans-in-mild-chili-sauce-16oz/-/A-17249512#lnk=sametab</t>
  </si>
  <si>
    <t>https://target.scene7.com/is/image/Target/GUEST_1690bde3-167a-4ae6-a231-7382068fc50b?qlt=65&amp;fmt=webp&amp;hei=350&amp;wid=350</t>
  </si>
  <si>
    <t>Bush's Red Beans in Mild Chili Sauce - 16oz</t>
  </si>
  <si>
    <t>https://www.target.com/p/bush-39-s-reduced-sodium-black-beans-15oz/-/A-13595163#lnk=sametab</t>
  </si>
  <si>
    <t>https://target.scene7.com/is/image/Target/GUEST_686bb825-e66c-4d49-9a61-ea07da33aaad?qlt=65&amp;fmt=webp&amp;hei=350&amp;wid=350</t>
  </si>
  <si>
    <t>Bush's Reduced Sodium Black Beans - 15oz</t>
  </si>
  <si>
    <t>https://www.target.com/p/bush-39-s-reduced-sodium-dark-red-kidney-beans-16oz/-/A-13593956#lnk=sametab</t>
  </si>
  <si>
    <t>Bush's Reduced Sodium Dark Red Kidney Beans - 16oz</t>
  </si>
  <si>
    <t>https://www.target.com/p/bush-39-s-reduced-sodium-pinto-beans-16oz/-/A-13593961#lnk=sametab</t>
  </si>
  <si>
    <t>Bush's Reduced Sodium Pinto Beans - 16oz</t>
  </si>
  <si>
    <t>https://www.target.com/p/bush-39-s-sidekicks-taco-fiesta-black-beans-15-1oz/-/A-82559047#lnk=sametab</t>
  </si>
  <si>
    <t>Bush's Sidekicks Taco Fiesta Black Beans - 15.1oz</t>
  </si>
  <si>
    <t>https://www.target.com/p/bush-s-vegetarian-baked-beans/-/A-94669605?preselect=13598298#lnk=sametab</t>
  </si>
  <si>
    <t>https://target.scene7.com/is/image/Target/GUEST_a6fc1c05-7b72-4374-a914-5efcefab9fce?qlt=65&amp;fmt=webp&amp;hei=350&amp;wid=350</t>
  </si>
  <si>
    <t>Bush's Vegetarian Baked Beans - 28oz</t>
  </si>
  <si>
    <t>https://www.target.com/p/bush-s-vegetarian-baked-beans/-/A-94669605?preselect=14777263#lnk=sametab</t>
  </si>
  <si>
    <t>https://target.scene7.com/is/image/Target/GUEST_23fc6750-c020-4d3d-9e5c-c9aec6a5149f?qlt=65&amp;fmt=webp&amp;hei=350&amp;wid=350</t>
  </si>
  <si>
    <t>Bush's Vegetarian Baked Beans - 8.3oz</t>
  </si>
  <si>
    <t>https://www.target.com/p/mott-s-applesauce-6ct-4oz-cups/-/A-13062584#lnk=sametab</t>
  </si>
  <si>
    <t>https://target.scene7.com/is/image/Target/GUEST_acbde9ff-6755-40a0-828d-e0cc466d6774?qlt=65&amp;fmt=webp&amp;hei=350&amp;wid=350</t>
  </si>
  <si>
    <t>Mott's Applesauce - 4oz/3ct</t>
  </si>
  <si>
    <t>https://www.target.com/p/cheerios-blends-apple-strawberry-pouches-8ct-9-87oz/-/A-91761759#lnk=sametab</t>
  </si>
  <si>
    <t>https://target.scene7.com/is/image/Target/GUEST_d27fd700-df8d-441e-8c01-7e2634d2ff18?qlt=65&amp;fmt=webp&amp;hei=350&amp;wid=350</t>
  </si>
  <si>
    <t>Cheerios Blends Apple Strawberry Pouches - 8ct / 9.87oz</t>
  </si>
  <si>
    <t>https://www.target.com/p/cheerios-breakfast-cereal/-/A-88752573?preselect=39602815#lnk=sametab</t>
  </si>
  <si>
    <t>https://target.scene7.com/is/image/Target/GUEST_a563ec23-346d-4fec-b980-ef96ef5320c1?qlt=65&amp;fmt=webp&amp;hei=350&amp;wid=350</t>
  </si>
  <si>
    <t>Cheerios Breakfast Cereal - 8.9oz - General Mills</t>
  </si>
  <si>
    <t>8.9oz</t>
  </si>
  <si>
    <t>https://www.target.com/p/cheerios-chocolate-peanut-butter-cereal-family-size-18oz-general-mills/-/A-81900160#lnk=sametab</t>
  </si>
  <si>
    <t>https://target.scene7.com/is/image/Target/GUEST_d33b7448-bdbc-4734-9764-3231353fecd2?qlt=65&amp;fmt=webp&amp;hei=350&amp;wid=350</t>
  </si>
  <si>
    <t>Cheerios Chocolate Peanut Butter Cereal Family Size - 18oz - General Mills</t>
  </si>
  <si>
    <t>https://www.target.com/p/cheerios-chocolate-strawberry-family-size-cereal-18-5-oz/-/A-83939031#lnk=sametab</t>
  </si>
  <si>
    <t>https://target.scene7.com/is/image/Target/GUEST_954208e7-e340-4a14-b9a7-b689ebc8613a?qlt=65&amp;fmt=webp&amp;hei=350&amp;wid=350</t>
  </si>
  <si>
    <t>Cheerios Chocolate Strawberry Family Size Cereal - 18.5 oz</t>
  </si>
  <si>
    <t>https://www.target.com/p/cheerios-hearty-nut-medley-maple-cinnamon-family-size-cereal-20oz/-/A-89567344#lnk=sametab</t>
  </si>
  <si>
    <t>https://target.scene7.com/is/image/Target/GUEST_b2af99cd-ae6a-4df4-8b21-6e1105630bc0?qlt=65&amp;fmt=webp&amp;hei=350&amp;wid=350</t>
  </si>
  <si>
    <t>Cheerios Hearty Nut Medley Maple Cinnamon Family Size Cereal - 20oz</t>
  </si>
  <si>
    <t>https://www.target.com/p/cheerios-oat-crunch-cinnamon-family-size-cereal-192oz-8ct/-/A-91820620#lnk=sametab</t>
  </si>
  <si>
    <t>https://target.scene7.com/is/image/Target/GUEST_4a0bc9f0-ffcf-4825-9ef7-34a6fc2fe209?qlt=65&amp;fmt=webp&amp;hei=350&amp;wid=350</t>
  </si>
  <si>
    <t>Cheerios Oat Crunch Cinnamon Family Size Cereal - 192oz/8ct</t>
  </si>
  <si>
    <t>192oz</t>
  </si>
  <si>
    <t>https://www.target.com/p/cheerios-oat-crunch-oats-n-honey-family-size-cereal-192oz-8ct/-/A-91829119#lnk=sametab</t>
  </si>
  <si>
    <t>https://target.scene7.com/is/image/Target/GUEST_bed502df-d0f7-4987-a50e-39f752046e0a?qlt=65&amp;fmt=webp&amp;hei=350&amp;wid=350</t>
  </si>
  <si>
    <t>Cheerios Oat Crunch Oats N Honey Family Size Cereal - 192oz/8ct</t>
  </si>
  <si>
    <t>https://www.target.com/p/cheerios-on-the-go-pouches-8ct-7-33oz/-/A-90480161#lnk=sametab</t>
  </si>
  <si>
    <t>https://target.scene7.com/is/image/Target/GUEST_2fcabdab-cb5b-444e-8ef4-e6fca1d1908a?qlt=65&amp;fmt=webp&amp;hei=350&amp;wid=350</t>
  </si>
  <si>
    <t>Cheerios On The Go Pouches - 8ct / 7.33oz</t>
  </si>
  <si>
    <t>https://www.target.com/p/cheerios-protein-cinnamon-breakfast-cereal-15oz/-/A-92789415#lnk=sametab</t>
  </si>
  <si>
    <t>https://target.scene7.com/is/image/Target/GUEST_2ce9a17f-bf47-42b1-abf2-47bc3b78570e?qlt=65&amp;fmt=webp&amp;hei=350&amp;wid=350</t>
  </si>
  <si>
    <t>Cheerios Protein Cinnamon Breakfast Cereal - 15oz</t>
  </si>
  <si>
    <t>https://www.target.com/p/cheerios-protein-strawberry-breakfast-cereal-15oz/-/A-92789130#lnk=sametab</t>
  </si>
  <si>
    <t>https://target.scene7.com/is/image/Target/GUEST_77202e1e-60ba-4603-a344-1bcffd7f3f7d?qlt=65&amp;fmt=webp&amp;hei=350&amp;wid=350</t>
  </si>
  <si>
    <t>Cheerios Protein Strawberry Breakfast Cereal - 15oz</t>
  </si>
  <si>
    <t>https://www.target.com/p/chobani-complete-cherry-vanilla-yogurt-drink-10oz/-/A-90302036#lnk=sametab</t>
  </si>
  <si>
    <t>https://target.scene7.com/is/image/Target/GUEST_2657b84a-c756-495d-b763-02c2343f7b7d?qlt=65&amp;fmt=webp&amp;hei=350&amp;wid=350</t>
  </si>
  <si>
    <t>Chobani 20g Cherry Vanilla Yogurt Drink - 10 fl oz</t>
  </si>
  <si>
    <t>https://www.target.com/p/chobani-20g-protein-mango-greek-yogurt-6-7oz/-/A-90302034#lnk=sametab</t>
  </si>
  <si>
    <t>https://target.scene7.com/is/image/Target/GUEST_2732ce0e-c7a8-4136-9650-f718e634a964?qlt=65&amp;fmt=webp&amp;hei=350&amp;wid=350</t>
  </si>
  <si>
    <t>Chobani 20g Protein Mango Greek Yogurt - 6.7oz</t>
  </si>
  <si>
    <t>https://www.target.com/p/chobani-complete-protein-mixed-berry-vanilla-yogurt-drink-10-fl-oz/-/A-79543782#lnk=sametab</t>
  </si>
  <si>
    <t>https://target.scene7.com/is/image/Target/GUEST_986051a3-78f7-4ff6-b1e1-8ce6fdce130d?qlt=65&amp;fmt=webp&amp;hei=350&amp;wid=350</t>
  </si>
  <si>
    <t>Chobani 20g Protein Mixed Berry Vanilla Yogurt Drink - 10 fl oz</t>
  </si>
  <si>
    <t>https://www.target.com/p/chobani-20g-protein-raspberry-lemonade-greek-yogurt-6-7oz/-/A-90302033#lnk=sametab</t>
  </si>
  <si>
    <t>https://target.scene7.com/is/image/Target/GUEST_4c58a697-8c16-4550-88ac-dac6954d3f64?qlt=65&amp;fmt=webp&amp;hei=350&amp;wid=350</t>
  </si>
  <si>
    <t>Chobani 20g Protein Raspberry Lemonade Greek Yogurt - 6.7oz</t>
  </si>
  <si>
    <t>https://www.target.com/p/chobani-complete-protein-strawberry-cream-yogurt-drink-10-fl-oz/-/A-79543780#lnk=sametab</t>
  </si>
  <si>
    <t>https://target.scene7.com/is/image/Target/GUEST_4c58ba7b-177c-482e-ad3a-98d8cdcab273?qlt=65&amp;fmt=webp&amp;hei=350&amp;wid=350</t>
  </si>
  <si>
    <t>Chobani 20g Protein Strawberries and Cream Yogurt Drink - 10 fl oz</t>
  </si>
  <si>
    <t>https://www.target.com/p/chobani-20g-protein-strawberry-kiwi-greek-yogurt-6-7oz/-/A-90302032#lnk=sametab</t>
  </si>
  <si>
    <t>https://target.scene7.com/is/image/Target/GUEST_26fce811-c389-44ca-888f-30d0e5a7b813?qlt=65&amp;fmt=webp&amp;hei=350&amp;wid=350</t>
  </si>
  <si>
    <t>Chobani 20g Protein Strawberry Kiwi Greek Yogurt - 6.7oz</t>
  </si>
  <si>
    <t>https://www.target.com/p/chobani-strawberry-greek-probiotic-yogurt-drink-14-fl-oz/-/A-93993355#lnk=sametab</t>
  </si>
  <si>
    <t>https://target.scene7.com/is/image/Target/GUEST_38f630d6-dec4-4b43-ae53-4ddc74b305f0?qlt=65&amp;fmt=webp&amp;hei=350&amp;wid=350</t>
  </si>
  <si>
    <t>Chobani 30g Protein Strawberries and Cream Greek Probiotic Yogurt Drink - 14 fl oz</t>
  </si>
  <si>
    <t>https://www.target.com/p/chobani-vanilla-greek-yogurt-drink-14-fl-oz/-/A-93993354#lnk=sametab</t>
  </si>
  <si>
    <t>https://target.scene7.com/is/image/Target/GUEST_7977009f-02c0-4d31-a46e-c7bb2ebc4019?qlt=65&amp;fmt=webp&amp;hei=350&amp;wid=350</t>
  </si>
  <si>
    <t>Chobani 30g Protein Vanilla Ice Cream Greek Yogurt Drink - 14 fl oz</t>
  </si>
  <si>
    <t>https://www.target.com/p/chobani-black-cherry-on-the-bottom-nonfat-greek-yogurt-4ct-5-3oz-cups/-/A-14859449#lnk=sametab</t>
  </si>
  <si>
    <t>https://target.scene7.com/is/image/Target/GUEST_5beb18b0-695b-4dd7-befc-a1ffead994cf?qlt=65&amp;fmt=webp&amp;hei=350&amp;wid=350</t>
  </si>
  <si>
    <t>Chobani Black Cherry on the Bottom Nonfat Greek Yogurt - 4ct/5.3oz Cups</t>
  </si>
  <si>
    <t>https://www.target.com/p/chobani-blueberry-on-the-bottom-nonfat-greek-yogurt-4ct-5-3oz-cups/-/A-14859437#lnk=sametab</t>
  </si>
  <si>
    <t>https://target.scene7.com/is/image/Target/GUEST_1e4c3a63-d98b-427f-81bb-052ecac06b01?qlt=65&amp;fmt=webp&amp;hei=350&amp;wid=350</t>
  </si>
  <si>
    <t>Chobani Blueberry on the Bottom Nonfat Greek Yogurt - 4ct/5.3oz Cups</t>
  </si>
  <si>
    <t>https://www.target.com/p/chobani-creations-apple-pie-a-la-mode-greek-yogurt-5-3oz/-/A-90411100#lnk=sametab</t>
  </si>
  <si>
    <t>https://target.scene7.com/is/image/Target/GUEST_2b458fe2-373d-4e90-a31d-d2f6c4a3ffce?qlt=65&amp;fmt=webp&amp;hei=350&amp;wid=350</t>
  </si>
  <si>
    <t>Chobani Creations Apple Pie a la Mode Greek Yogurt - 5.3oz</t>
  </si>
  <si>
    <t>https://www.target.com/p/chobani-creations-mocha-tiramisu-greek-yogurt-5-3oz/-/A-90411095#lnk=sametab</t>
  </si>
  <si>
    <t>https://target.scene7.com/is/image/Target/GUEST_a0a1d129-3fcc-4438-883f-34fed2e593ba?qlt=65&amp;fmt=webp&amp;hei=350&amp;wid=350</t>
  </si>
  <si>
    <t>Chobani Creations Mocha Tiramisu Greek Yogurt - 5.3oz</t>
  </si>
  <si>
    <t>https://www.target.com/p/chobani-extra-creamy-plant-based-oatmilk-52-fl-oz/-/A-77594474#lnk=sametab</t>
  </si>
  <si>
    <t>https://target.scene7.com/is/image/Target/GUEST_9304725f-35b5-4d67-9102-4cc3460c2a6d?qlt=65&amp;fmt=webp&amp;hei=350&amp;wid=350</t>
  </si>
  <si>
    <t>Chobani Extra Creamy Plant Based Oatmilk  - 52 fl oz</t>
  </si>
  <si>
    <t>https://www.target.com/p/chobani-flip-almond-coco-loco-low-fat-greek-yogurt-4-5oz/-/A-14990475#lnk=sametab</t>
  </si>
  <si>
    <t>https://target.scene7.com/is/image/Target/GUEST_4a30c351-9266-49e3-95da-eda5bd457d78?qlt=65&amp;fmt=webp&amp;hei=350&amp;wid=350</t>
  </si>
  <si>
    <t>Chobani Flip Almond Coco Loco Low Fat Greek Yogurt - 4.5oz</t>
  </si>
  <si>
    <t>https://www.target.com/p/chobani-flip-chocolate-almond-coco-loco-greek-yogurt-4ct-4-5oz-cups/-/A-17184275#lnk=sametab</t>
  </si>
  <si>
    <t>https://target.scene7.com/is/image/Target/GUEST_84b503d5-9517-4258-8f0d-3e92aa436d9b?qlt=65&amp;fmt=webp&amp;hei=350&amp;wid=350</t>
  </si>
  <si>
    <t>Chobani Flip Chocolate Almond Coco Loco Greek Yogurt - 4ct/4.5oz Cups</t>
  </si>
  <si>
    <t>https://www.target.com/p/chobani-flip-coconut-caramel-cookie-greek-yogurt-4-5oz/-/A-88369411#lnk=sametab</t>
  </si>
  <si>
    <t>https://target.scene7.com/is/image/Target/GUEST_9038b959-587a-4f88-a4ae-f0bcd3b8f6d3?qlt=65&amp;fmt=webp&amp;hei=350&amp;wid=350</t>
  </si>
  <si>
    <t>Chobani Flip Coconut Caramel Cookie Greek Yogurt - 4.5oz</t>
  </si>
  <si>
    <t>https://www.target.com/p/chobani-flip-confetti-birthday-cake-yogurt-4-5oz-4-pack/-/A-91963103#lnk=sametab</t>
  </si>
  <si>
    <t>https://target.scene7.com/is/image/Target/GUEST_884853f9-dd7a-4c4f-b3d8-f1e07ae4be8c?qlt=65&amp;fmt=webp&amp;hei=350&amp;wid=350</t>
  </si>
  <si>
    <t>Chobani Flip Confetti Birthday Cake Yogurt - 4.5oz/4 Pack</t>
  </si>
  <si>
    <t>https://www.target.com/p/chobani-flip-cookie-dough-greek-yogurt-4-5oz/-/A-54514895#lnk=sametab</t>
  </si>
  <si>
    <t>https://target.scene7.com/is/image/Target/GUEST_626a0dc8-ff01-4458-8d44-e913f0caa5b4?qlt=65&amp;fmt=webp&amp;hei=350&amp;wid=350</t>
  </si>
  <si>
    <t>Chobani Flip Cookie Dough Greek Yogurt - 4.5oz</t>
  </si>
  <si>
    <t>https://www.target.com/p/chobani-flip-cookies-38-cream-low-fat-greek-yogurt-4-5oz/-/A-87237310#lnk=sametab</t>
  </si>
  <si>
    <t>https://target.scene7.com/is/image/Target/GUEST_6617192e-5898-4cad-ac54-f5e4b4772537?qlt=65&amp;fmt=webp&amp;hei=350&amp;wid=350</t>
  </si>
  <si>
    <t>Chobani Flip Cookies &amp; Cream Low Fat Greek Yogurt - 4.5oz</t>
  </si>
  <si>
    <t>https://www.target.com/p/chobani-flip-cookies-38-cream-low-fat-greek-yogurt-4ct-4-5oz/-/A-87237312#lnk=sametab</t>
  </si>
  <si>
    <t>https://target.scene7.com/is/image/Target/GUEST_da5d6ab3-4e73-406c-aef1-e30026c02108?qlt=65&amp;fmt=webp&amp;hei=350&amp;wid=350</t>
  </si>
  <si>
    <t>Chobani Flip Cookies &amp; Cream Low Fat Greek Yogurt - 4ct/4.5oz</t>
  </si>
  <si>
    <t>https://www.target.com/p/chobani-flip-key-lime-crumble-low-fat-greek-yogurt-4-5oz/-/A-14990487#lnk=sametab</t>
  </si>
  <si>
    <t>https://target.scene7.com/is/image/Target/GUEST_a0e1de2f-d575-45ed-adfc-680ce9e2fa03?qlt=65&amp;fmt=webp&amp;hei=350&amp;wid=350</t>
  </si>
  <si>
    <t>Chobani Flip Key Lime Crumble Low Fat Greek Yogurt - 4.5oz</t>
  </si>
  <si>
    <t>https://www.target.com/p/chobani-flip-key-lime-crumble-low-fat-greek-yogurt-4ct-4-5oz-cups/-/A-24013463#lnk=sametab</t>
  </si>
  <si>
    <t>https://target.scene7.com/is/image/Target/GUEST_fbaba107-17d5-44c3-aba0-31fecd067262?qlt=65&amp;fmt=webp&amp;hei=350&amp;wid=350</t>
  </si>
  <si>
    <t>Chobani Flip Key Lime Crumble Low Fat Greek Yogurt - 4ct/4.5oz Cups</t>
  </si>
  <si>
    <t>https://www.target.com/p/chobani-flip-low-fat-chocolate-hazelnut-haze-craze-greek-yogurt-4-5oz/-/A-16600221#lnk=sametab</t>
  </si>
  <si>
    <t>https://target.scene7.com/is/image/Target/GUEST_406c2e36-1a0f-4277-9136-c8e549689e80?qlt=65&amp;fmt=webp&amp;hei=350&amp;wid=350</t>
  </si>
  <si>
    <t>Chobani Flip Low Fat Chocolate Hazelnut Haze Craze Greek Yogurt - 4.5oz</t>
  </si>
  <si>
    <t>https://www.target.com/p/chobani-flip-low-fat-chocolate-peanut-butter-cup-greek-yogurt-4-5oz/-/A-53918346#lnk=sametab</t>
  </si>
  <si>
    <t>https://target.scene7.com/is/image/Target/GUEST_cc82a303-bafa-4062-9ccc-e7bee9552ea5?qlt=65&amp;fmt=webp&amp;hei=350&amp;wid=350</t>
  </si>
  <si>
    <t>Chobani Flip Low Fat Chocolate Peanut Butter Cup Greek Yogurt - 4.5oz</t>
  </si>
  <si>
    <t>https://www.target.com/p/chobani-flip-low-fat-chocolate-s-39-more-s-39-mores-greek-yogurt-4-5oz/-/A-51393466#lnk=sametab</t>
  </si>
  <si>
    <t>https://target.scene7.com/is/image/Target/GUEST_678455f3-e437-49f5-9b04-903c12eec45a?qlt=65&amp;fmt=webp&amp;hei=350&amp;wid=350</t>
  </si>
  <si>
    <t>Chobani Flip Low Fat Chocolate S'more S'mores Greek Yogurt - 4.5oz</t>
  </si>
  <si>
    <t>https://www.target.com/p/chobani-flip-low-fat-chocolate-s-39-more-s-39-mores-greek-yogurt-4ct-4-5oz-cups/-/A-53375573#lnk=sametab</t>
  </si>
  <si>
    <t>https://target.scene7.com/is/image/Target/GUEST_01e817eb-cb29-4760-a74f-f4dec3e60b7d?qlt=65&amp;fmt=webp&amp;hei=350&amp;wid=350</t>
  </si>
  <si>
    <t>Chobani Flip Low Fat Chocolate S'more S'mores Greek Yogurt - 4ct/4.5oz Cups</t>
  </si>
  <si>
    <t>https://www.target.com/p/chobani-flip-low-fat-lemon-meringue-pie-greek-yogurt-4-5oz/-/A-79543755#lnk=sametab</t>
  </si>
  <si>
    <t>https://target.scene7.com/is/image/Target/GUEST_e9161b46-f369-45f0-9e93-98cd6b7825e0?qlt=65&amp;fmt=webp&amp;hei=350&amp;wid=350</t>
  </si>
  <si>
    <t>Chobani Flip Low Fat Lemon Meringue Pie Greek Yogurt - 4.5oz</t>
  </si>
  <si>
    <t>https://www.target.com/p/chobani-flip-red-velvet-greek-yogurt-4-5oz/-/A-79543730#lnk=sametab</t>
  </si>
  <si>
    <t>https://target.scene7.com/is/image/Target/GUEST_fab32bea-2c57-4b00-bcdf-4afc199766d3?qlt=65&amp;fmt=webp&amp;hei=350&amp;wid=350</t>
  </si>
  <si>
    <t>Chobani Flip Red Velvet Greek Yogurt - 4.5oz</t>
  </si>
  <si>
    <t>https://www.target.com/p/chobani-flip-strawberry-cheesecake-low-fat-greek-yogurt-4-5oz/-/A-87237313#lnk=sametab</t>
  </si>
  <si>
    <t>https://target.scene7.com/is/image/Target/GUEST_677224bf-c517-4f9f-9bb1-dec1b3bc11b4?qlt=65&amp;fmt=webp&amp;hei=350&amp;wid=350</t>
  </si>
  <si>
    <t>Chobani Flip Strawberry Cheesecake Low Fat Greek Yogurt - 4.5oz</t>
  </si>
  <si>
    <t>https://www.target.com/p/chobani-greek-yogurt-flip-cinnamon-french-toast-4-5oz/-/A-89293007#lnk=sametab</t>
  </si>
  <si>
    <t>https://target.scene7.com/is/image/Target/GUEST_6dab7426-66b1-42c5-b1fa-4ab57b813d2e?qlt=65&amp;fmt=webp&amp;hei=350&amp;wid=350</t>
  </si>
  <si>
    <t>Chobani Greek Yogurt Flip Cinnamon French Toast - 4.5oz</t>
  </si>
  <si>
    <t>https://www.target.com/p/chobani-greek-yogurt-flip-cookie-dough-4pk-4-5oz-cups/-/A-89293008#lnk=sametab</t>
  </si>
  <si>
    <t>https://target.scene7.com/is/image/Target/GUEST_1e4e07c3-5bed-4e52-a870-8f6e67da8eea?qlt=65&amp;fmt=webp&amp;hei=350&amp;wid=350</t>
  </si>
  <si>
    <t>Chobani Greek Yogurt Flip Cookie Dough - 4pk/4.5oz Cups</t>
  </si>
  <si>
    <t>https://www.target.com/p/chobani-greek-yogurt-flip-peanut-butter-cup-4pk-4-5oz-cups/-/A-89293009#lnk=sametab</t>
  </si>
  <si>
    <t>https://target.scene7.com/is/image/Target/GUEST_a9239d5c-7972-4305-a527-6d6076f247a0?qlt=65&amp;fmt=webp&amp;hei=350&amp;wid=350</t>
  </si>
  <si>
    <t>Chobani Greek Yogurt Flip Peanut Butter Cup - 4pk/4.5oz Cups</t>
  </si>
  <si>
    <t>https://www.target.com/p/chobani-key-lime-blended-low-fat-greek-yogurt-4ct-5-3oz-cups/-/A-14953056#lnk=sametab</t>
  </si>
  <si>
    <t>https://target.scene7.com/is/image/Target/GUEST_56b96040-6588-4b76-bc4b-0ae8ea53a9e8?qlt=65&amp;fmt=webp&amp;hei=350&amp;wid=350</t>
  </si>
  <si>
    <t>Chobani Key Lime Blended Low Fat Greek Yogurt - 4ct/5.3oz Cups</t>
  </si>
  <si>
    <t>https://www.target.com/p/chobani-less-sugar-low-fat-blended-madagascar-vanilla-38-cinnamon-greek-yogurt-5-3oz/-/A-52974826#lnk=sametab</t>
  </si>
  <si>
    <t>https://target.scene7.com/is/image/Target/GUEST_782c360f-2b5b-481f-879b-93a32bdb8398?qlt=65&amp;fmt=webp&amp;hei=350&amp;wid=350</t>
  </si>
  <si>
    <t>Chobani Less Sugar Low Fat Blended Madagascar Vanilla &amp; Cinnamon Greek Yogurt - 5.3oz</t>
  </si>
  <si>
    <t>https://www.target.com/p/chobani-low-fat-greek-yogurt-drink-mixed-berry-7-fl-oz-4pk/-/A-89483726#lnk=sametab</t>
  </si>
  <si>
    <t>https://target.scene7.com/is/image/Target/GUEST_379ac7bb-a56c-4170-896f-6c64a1038a5b?qlt=65&amp;fmt=webp&amp;hei=350&amp;wid=350</t>
  </si>
  <si>
    <t>Chobani Low Fat Greek Yogurt Drink Mixed Berry - 7 fl oz/4pk</t>
  </si>
  <si>
    <t>https://www.target.com/p/chobani-low-fat-greek-yogurt-drink-strawberry-banana-7-fl-oz-4pk/-/A-89483725#lnk=sametab</t>
  </si>
  <si>
    <t>https://target.scene7.com/is/image/Target/GUEST_ef524aca-4f1e-4546-b095-fcf67254c32c?qlt=65&amp;fmt=webp&amp;hei=350&amp;wid=350</t>
  </si>
  <si>
    <t>Chobani LowFat Greek Yogurt Drink Strawberry Banana - 28 fl oz/4ct</t>
  </si>
  <si>
    <t>https://www.target.com/p/chobani-mango-low-fat-greek-yogurt-drink-7-fl-oz/-/A-50905909#lnk=sametab</t>
  </si>
  <si>
    <t>https://target.scene7.com/is/image/Target/GUEST_800ddf4f-0c6b-444c-a66f-7f41cab6929c?qlt=65&amp;fmt=webp&amp;hei=350&amp;wid=350</t>
  </si>
  <si>
    <t>Chobani Mango Low Fat Greek Yogurt Drink - 7 fl oz</t>
  </si>
  <si>
    <t>https://www.target.com/p/chobani-mixed-berries-greek-style-yogurt-drink-7-fl-oz/-/A-50905886#lnk=sametab</t>
  </si>
  <si>
    <t>https://target.scene7.com/is/image/Target/GUEST_b26e3079-4da6-4ebe-8ab6-9f3a405cd57a?qlt=65&amp;fmt=webp&amp;hei=350&amp;wid=350</t>
  </si>
  <si>
    <t>Chobani Mixed Berries Greek Style Yogurt Drink - 7 fl oz</t>
  </si>
  <si>
    <t>https://www.target.com/p/chobani-mixed-berry-on-the-bottom-low-fat-vanilla-greek-yogurt-4ct-5-3oz-cups/-/A-54514903#lnk=sametab</t>
  </si>
  <si>
    <t>https://target.scene7.com/is/image/Target/GUEST_3636855c-a4f3-4dd2-a756-2249b029dee8?qlt=65&amp;fmt=webp&amp;hei=350&amp;wid=350</t>
  </si>
  <si>
    <t>Chobani Mixed Berry on the Bottom Low Fat Vanilla Greek Yogurt - 4ct/5.3oz Cups</t>
  </si>
  <si>
    <t>https://www.target.com/p/chobani-monterey-strawberry-low-fat-blended-greek-yogurt-5-3oz/-/A-52974819#lnk=sametab</t>
  </si>
  <si>
    <t>https://target.scene7.com/is/image/Target/GUEST_938e754c-2426-41d9-8158-79f34e88b4f6?qlt=65&amp;fmt=webp&amp;hei=350&amp;wid=350</t>
  </si>
  <si>
    <t>Chobani Monterey Strawberry Low Fat Blended Greek Yogurt - 5.3oz</t>
  </si>
  <si>
    <t>https://www.target.com/p/chobani-peach-greek-yogurt-drink-7-fl-oz/-/A-51394008#lnk=sametab</t>
  </si>
  <si>
    <t>https://target.scene7.com/is/image/Target/GUEST_8eb60e5c-2a3a-42dc-95be-76f56d7a3084?qlt=65&amp;fmt=webp&amp;hei=350&amp;wid=350</t>
  </si>
  <si>
    <t>Chobani Peach Greek Yogurt Drink - 7 fl oz</t>
  </si>
  <si>
    <t>https://www.target.com/p/chobani-peach-on-the-bottom-nonfat-greek-yogurt-4ct-5-3oz-cups/-/A-15247366#lnk=sametab</t>
  </si>
  <si>
    <t>https://target.scene7.com/is/image/Target/GUEST_ea913b68-fef5-470f-9895-75e823350ebc?qlt=65&amp;fmt=webp&amp;hei=350&amp;wid=350</t>
  </si>
  <si>
    <t>Chobani Peach on the Bottom Nonfat Greek Yogurt - 4ct/5.3oz Cups</t>
  </si>
  <si>
    <t>https://www.target.com/p/chobani-plain-nonfat-greek-yogurt-32oz/-/A-13173299#lnk=sametab</t>
  </si>
  <si>
    <t>https://target.scene7.com/is/image/Target/GUEST_943e3a82-8054-4f19-8a12-bf0b78e75547?qlt=65&amp;fmt=webp&amp;hei=350&amp;wid=350</t>
  </si>
  <si>
    <t>Chobani Plain Nonfat Greek Yogurt - 32oz</t>
  </si>
  <si>
    <t>https://www.target.com/p/chobani-plain-plant-based-oatmilk-52-fl-oz/-/A-77594471#lnk=sametab</t>
  </si>
  <si>
    <t>https://target.scene7.com/is/image/Target/GUEST_b8a3c9c6-8968-4ae0-9f23-e54bc8c412ae?qlt=65&amp;fmt=webp&amp;hei=350&amp;wid=350</t>
  </si>
  <si>
    <t>Chobani Plain Plant Based Oatmilk - 52 fl oz</t>
  </si>
  <si>
    <t>https://www.target.com/p/chobani-strawberry-banana-greek-style-yogurt-drink-7-fl-oz/-/A-50905857#lnk=sametab</t>
  </si>
  <si>
    <t>https://target.scene7.com/is/image/Target/GUEST_cb8a7d59-028b-4a36-8d00-a55d03cdac7d?qlt=65&amp;fmt=webp&amp;hei=350&amp;wid=350</t>
  </si>
  <si>
    <t>Chobani Strawberry Banana Greek Style Yogurt Drink - 7 fl oz</t>
  </si>
  <si>
    <t>https://www.target.com/p/chobani-strawberry-banana-on-the-bottom-low-fat-greek-yogurt-4ct-5-3oz-cups/-/A-15247367#lnk=sametab</t>
  </si>
  <si>
    <t>https://target.scene7.com/is/image/Target/GUEST_1416b11b-bc92-4063-9c4f-6f32213aa3c4?qlt=65&amp;fmt=webp&amp;hei=350&amp;wid=350</t>
  </si>
  <si>
    <t>Chobani Strawberry Banana on the Bottom Low Fat Greek Yogurt - 4ct/5.3oz Cups</t>
  </si>
  <si>
    <t>https://www.target.com/p/chobani-strawberry-blended-nonfat-greek-yogurt-32oz/-/A-13173293#lnk=sametab</t>
  </si>
  <si>
    <t>https://target.scene7.com/is/image/Target/GUEST_6d8b42ed-c96b-485d-bc78-faefd7f97d06?qlt=65&amp;fmt=webp&amp;hei=350&amp;wid=350</t>
  </si>
  <si>
    <t>Chobani Strawberry Blended Nonfat Greek Yogurt - 32oz</t>
  </si>
  <si>
    <t>https://www.target.com/p/chobani-strawberry-greek-yogurt-drink-7-fl-oz/-/A-87952362#lnk=sametab</t>
  </si>
  <si>
    <t>https://target.scene7.com/is/image/Target/GUEST_2a3d1a40-643e-4aea-96cc-f16753751156?qlt=65&amp;fmt=webp&amp;hei=350&amp;wid=350</t>
  </si>
  <si>
    <t>Chobani Strawberry Greek Yogurt Drink - 7 fl oz</t>
  </si>
  <si>
    <t>https://www.target.com/p/chobani-strawberry-on-the-bottom-nonfat-greek-yogurt-4ct-5-3oz-cups/-/A-14859438#lnk=sametab</t>
  </si>
  <si>
    <t>https://target.scene7.com/is/image/Target/GUEST_40f043ae-e95b-40c0-86e0-f401d31e8fd0?qlt=65&amp;fmt=webp&amp;hei=350&amp;wid=350</t>
  </si>
  <si>
    <t>Chobani Strawberry on the Bottom Nonfat Greek Yogurt - 4ct/5.3oz Cups</t>
  </si>
  <si>
    <t>https://www.target.com/p/chobani-vanilla-blended-non-fat-greek-yogurt-4ct-5-3oz-cups/-/A-14953055#lnk=sametab</t>
  </si>
  <si>
    <t>https://target.scene7.com/is/image/Target/GUEST_085853d3-0dee-4ef0-b254-f93952adc170?qlt=65&amp;fmt=webp&amp;hei=350&amp;wid=350</t>
  </si>
  <si>
    <t>Chobani Vanilla Blended Non Fat Greek Yogurt - 4ct/5.3oz Cups</t>
  </si>
  <si>
    <t>https://www.target.com/p/chobani-vanilla-blended-nonfat-greek-yogurt-32oz/-/A-13173297#lnk=sametab</t>
  </si>
  <si>
    <t>https://target.scene7.com/is/image/Target/GUEST_223eb2af-0dae-48dc-a132-7453682b8c61?qlt=65&amp;fmt=webp&amp;hei=350&amp;wid=350</t>
  </si>
  <si>
    <t>Chobani Vanilla Blended Nonfat Greek Yogurt - 32oz</t>
  </si>
  <si>
    <t>https://www.target.com/p/chobani-vanilla-plant-based-oatmilk-52-fl-oz/-/A-77594472#lnk=sametab</t>
  </si>
  <si>
    <t>https://target.scene7.com/is/image/Target/GUEST_909c5c07-3b7a-4368-86a5-3b6bf657e7bd?qlt=65&amp;fmt=webp&amp;hei=350&amp;wid=350</t>
  </si>
  <si>
    <t>Chobani Vanilla Plant Based Oatmilk - 52 fl oz</t>
  </si>
  <si>
    <t>https://www.target.com/p/chobani-whole-milk-plain-greek-yogurt-32oz/-/A-15242876#lnk=sametab</t>
  </si>
  <si>
    <t>https://target.scene7.com/is/image/Target/GUEST_907b4688-1e53-416c-9e5b-b482a8c23c2e?qlt=65&amp;fmt=webp&amp;hei=350&amp;wid=350</t>
  </si>
  <si>
    <t>Chobani Whole Milk Plain Greek Yogurt - 32oz</t>
  </si>
  <si>
    <t>https://www.target.com/p/chobani-zero-sugar-cookies-38-cream-yogurt-drink-7-fl-oz/-/A-87952361#lnk=sametab</t>
  </si>
  <si>
    <t>https://target.scene7.com/is/image/Target/GUEST_58cba431-96cf-42d2-94d4-85d188920fb9?qlt=65&amp;fmt=webp&amp;hei=350&amp;wid=350</t>
  </si>
  <si>
    <t>Chobani Zero Sugar Cookies &amp; Cream Yogurt Drink - 7 fl oz</t>
  </si>
  <si>
    <t>https://www.target.com/p/chobani-zero-sugar-milk-38-cookies-greek-yogurt-4ct-5-3oz/-/A-85423382#lnk=sametab</t>
  </si>
  <si>
    <t>https://target.scene7.com/is/image/Target/GUEST_7aeb95de-6234-4044-afa2-1c3c115143f4?qlt=65&amp;fmt=webp&amp;hei=350&amp;wid=350</t>
  </si>
  <si>
    <t>Chobani Zero Sugar Milk &amp; Cookies Greek Yogurt - 4ct/5.3oz</t>
  </si>
  <si>
    <t>https://www.target.com/p/chobani-zero-sugar-mixed-berry-greek-yogurt-4ct-5-3oz-cups/-/A-81995745#lnk=sametab</t>
  </si>
  <si>
    <t>https://target.scene7.com/is/image/Target/GUEST_be2cca4b-8daf-4f81-8347-5074aac4ab4c?qlt=65&amp;fmt=webp&amp;hei=350&amp;wid=350</t>
  </si>
  <si>
    <t>Chobani Zero Sugar Mixed Berry Greek Yogurt - 4ct/5.3oz Cups</t>
  </si>
  <si>
    <t>https://www.target.com/p/chobani-zero-sugar-mixed-berry-yogurt-drink-7-fl-oz/-/A-87952364#lnk=sametab</t>
  </si>
  <si>
    <t>https://target.scene7.com/is/image/Target/GUEST_7debf562-7d12-407c-b293-74bcf13ed93b?qlt=65&amp;fmt=webp&amp;hei=350&amp;wid=350</t>
  </si>
  <si>
    <t>Chobani Zero Sugar Mixed Berry Yogurt Drink - 7 fl oz</t>
  </si>
  <si>
    <t>https://www.target.com/p/chobani-zero-sugar-peaches-38-cream-yogurt-drink-7-fl-oz/-/A-87952344#lnk=sametab</t>
  </si>
  <si>
    <t>https://target.scene7.com/is/image/Target/GUEST_6cdc5109-9e2b-45bf-8ecd-e08f1e652dbb?qlt=65&amp;fmt=webp&amp;hei=350&amp;wid=350</t>
  </si>
  <si>
    <t>Chobani Zero Sugar Peaches &amp; Cream Yogurt Drink - 7 fl oz</t>
  </si>
  <si>
    <t>https://www.target.com/p/chobani-zero-sugar-vanilla-nonfat-greek-yogurt-32oz/-/A-83377435#lnk=sametab</t>
  </si>
  <si>
    <t>https://target.scene7.com/is/image/Target/GUEST_6e4af505-df74-41e9-893d-d0bbb21b12d3?qlt=65&amp;fmt=webp&amp;hei=350&amp;wid=350</t>
  </si>
  <si>
    <t>Chobani Zero Sugar Vanilla Nonfat Greek Yogurt - 32oz</t>
  </si>
  <si>
    <t>https://www.target.com/p/coca-cola-20-fl-oz-bottle/-/A-12953529#lnk=sametab</t>
  </si>
  <si>
    <t>https://target.scene7.com/is/image/Target/GUEST_58e0358d-707d-4f3c-a279-33c55409dfe5?qlt=65&amp;fmt=webp&amp;hei=350&amp;wid=350</t>
  </si>
  <si>
    <t>Coca-Cola - 20 fl oz Bottle</t>
  </si>
  <si>
    <t>20oz</t>
  </si>
  <si>
    <t>https://www.target.com/p/coca-cola-caffeine-free-diet-coke-12-fl-oz-can-pack-of-24/-/A-1001592674#lnk=sametab</t>
  </si>
  <si>
    <t>https://target.scene7.com/is/image/Target/GUEST_90bb9271-c7b3-4348-a107-4f9ce0a4123d?qlt=65&amp;fmt=webp&amp;hei=350&amp;wid=350</t>
  </si>
  <si>
    <t>Coca-Cola Caffeine Free Diet Coke - 12 Fl Oz Can (Pack of 24)</t>
  </si>
  <si>
    <t>288oz</t>
  </si>
  <si>
    <t>https://www.target.com/p/coca-cola-cherry-20-fl-oz-bottle/-/A-12959413#lnk=sametab</t>
  </si>
  <si>
    <t>https://target.scene7.com/is/image/Target/GUEST_d425a4ec-b210-4729-97f1-15c7d7ff1d26?qlt=65&amp;fmt=webp&amp;hei=350&amp;wid=350</t>
  </si>
  <si>
    <t>Coca-Cola Cherry - 20 fl oz Bottle</t>
  </si>
  <si>
    <t>https://www.target.com/p/coca-cola-cherry-12pk-12-fl-oz-cans/-/A-12952957#lnk=sametab</t>
  </si>
  <si>
    <t>https://target.scene7.com/is/image/Target/GUEST_3bfb8af7-4ace-490d-b60e-bf1d43a8f262?qlt=65&amp;fmt=webp&amp;hei=350&amp;wid=350</t>
  </si>
  <si>
    <t>Coca-Cola Cherry Soda - 12pk/12 fl oz Cans</t>
  </si>
  <si>
    <t>144oz</t>
  </si>
  <si>
    <t>https://www.target.com/p/coca-cola-cherry-zero-12pk-12-fl-oz-cans/-/A-12953312#lnk=sametab</t>
  </si>
  <si>
    <t>https://target.scene7.com/is/image/Target/GUEST_5b4ab9f1-1a7c-40db-a6cc-08ed9f25e4eb?qlt=65&amp;fmt=webp&amp;hei=350&amp;wid=350</t>
  </si>
  <si>
    <t>Coca-Cola Cherry Zero Soda - 12pk/12 fl oz Cans</t>
  </si>
  <si>
    <t>https://www.target.com/p/coca-cola-de-mexico-4pk-12-fl-oz-glass-bottles/-/A-53037012#lnk=sametab</t>
  </si>
  <si>
    <t>https://target.scene7.com/is/image/Target/GUEST_9082dc73-39cc-4910-b1a5-cecbf2b12d6e?qlt=65&amp;fmt=webp&amp;hei=350&amp;wid=350</t>
  </si>
  <si>
    <t>Coca-Cola de Mexico - 4pk/12 fl oz Glass Bottles</t>
  </si>
  <si>
    <t>48oz</t>
  </si>
  <si>
    <t>https://www.target.com/p/coca-cola-mini-can-variety-pack-7-5-fl-oz-can-pack-of-30-10-each-coke-classic-diet-coke-sprite/-/A-93734939#lnk=sametab</t>
  </si>
  <si>
    <t>https://target.scene7.com/is/image/Target/GUEST_ed2d5194-896a-48e2-bd64-48cc45851ce0?qlt=65&amp;fmt=webp&amp;hei=350&amp;wid=350</t>
  </si>
  <si>
    <t>Coca-Cola Mini Can Variety Pack (10 Each; Coke Classic, Diet Coke, Sprite) - 7.5 Fl Oz Can (Pack of 30)</t>
  </si>
  <si>
    <t>75oz</t>
  </si>
  <si>
    <t>https://www.target.com/p/coca-cola-orange-cream-soda-12pk-12-fl-oz-cans/-/A-94045547#lnk=sametab</t>
  </si>
  <si>
    <t>https://target.scene7.com/is/image/Target/GUEST_3115a169-0b72-482f-be84-e7ae4f20af23?qlt=65&amp;fmt=webp&amp;hei=350&amp;wid=350</t>
  </si>
  <si>
    <t>Coca-Cola Orange Cream Soda - 12pk/12 fl oz Cans</t>
  </si>
  <si>
    <t>https://www.target.com/p/coca-cola-12pk-12-fl-oz-cans/-/A-12953464#lnk=sametab</t>
  </si>
  <si>
    <t>https://target.scene7.com/is/image/Target/GUEST_46d1bb77-24a7-4419-b28d-be8ac5dd8f4d?qlt=65&amp;fmt=webp&amp;hei=350&amp;wid=350</t>
  </si>
  <si>
    <t>Coca-Cola Soda - 12pk/12 fl oz Cans</t>
  </si>
  <si>
    <t>https://www.target.com/p/coca-cola-2-l-bottle/-/A-12958783#lnk=sametab</t>
  </si>
  <si>
    <t>https://target.scene7.com/is/image/Target/GUEST_3f91a579-6c2c-4edd-8191-95ff0082aa36?qlt=65&amp;fmt=webp&amp;hei=350&amp;wid=350</t>
  </si>
  <si>
    <t>Coca-Cola Soda - 2 L Bottle</t>
  </si>
  <si>
    <t>67.6oz</t>
  </si>
  <si>
    <t>https://www.target.com/p/coca-cola-24pk-12-fl-oz-cans/-/A-13219265#lnk=sametab</t>
  </si>
  <si>
    <t>https://target.scene7.com/is/image/Target/GUEST_7876d5a5-60ca-4960-b946-fdb8cd53b565?qlt=65&amp;fmt=webp&amp;hei=350&amp;wid=350</t>
  </si>
  <si>
    <t>Coca-Cola Soda - 24pk/12 fl oz Cans</t>
  </si>
  <si>
    <t>https://www.target.com/p/coca-cola-6pk-16-9-fl-oz-bottles/-/A-12953463#lnk=sametab</t>
  </si>
  <si>
    <t>https://target.scene7.com/is/image/Target/GUEST_f7c8f161-c37c-433f-b633-d07a29ccfb0c?qlt=65&amp;fmt=webp&amp;hei=350&amp;wid=350</t>
  </si>
  <si>
    <t>Coca-Cola Soda - 6pk/16.9 fl oz Bottles</t>
  </si>
  <si>
    <t>https://www.target.com/p/coca-cola-zero-cherry-20-fl-oz-bottle/-/A-14992923#lnk=sametab</t>
  </si>
  <si>
    <t>https://target.scene7.com/is/image/Target/GUEST_6b7803ff-cc19-4f4b-b918-e6509735df03?qlt=65&amp;fmt=webp&amp;hei=350&amp;wid=350</t>
  </si>
  <si>
    <t>Coca-Cola Zero Cherry - 20 fl oz Bottle</t>
  </si>
  <si>
    <t>https://www.target.com/p/coca-cola-zero-sugar-20-fl-oz-bottle/-/A-12959319#lnk=sametab</t>
  </si>
  <si>
    <t>https://target.scene7.com/is/image/Target/GUEST_edd078bf-503d-41a5-98fc-885a5594c59a?qlt=65&amp;fmt=webp&amp;hei=350&amp;wid=350</t>
  </si>
  <si>
    <t>Coca-Cola Zero Sugar - 20 fl oz Bottle</t>
  </si>
  <si>
    <t>https://www.target.com/p/coca-cola-zero-sugar-orange-cream-soda-12pk-12-fl-oz-cans/-/A-94045548#lnk=sametab</t>
  </si>
  <si>
    <t>https://target.scene7.com/is/image/Target/GUEST_68c3bf11-9dae-4ef1-8264-d308aa32f725?qlt=65&amp;fmt=webp&amp;hei=350&amp;wid=350</t>
  </si>
  <si>
    <t>Coca-Cola Zero Sugar Orange Cream Soda - 12pk/12 fl oz Cans</t>
  </si>
  <si>
    <t>https://www.target.com/p/coca-cola-zero-sugar-12pk-12-fl-oz-cans/-/A-12958789#lnk=sametab</t>
  </si>
  <si>
    <t>https://target.scene7.com/is/image/Target/GUEST_c8908a03-cb2e-4b50-8118-9fb46c54e807?qlt=65&amp;fmt=webp&amp;hei=350&amp;wid=350</t>
  </si>
  <si>
    <t>Coca-Cola Zero Sugar Soda - 12pk/12 fl oz Cans</t>
  </si>
  <si>
    <t>https://www.target.com/p/coca-cola-zero-sugar-2-l-bottle/-/A-12953516#lnk=sametab</t>
  </si>
  <si>
    <t>https://target.scene7.com/is/image/Target/GUEST_248ef78e-b5ce-44f8-a6fb-8ad04bbc84b3?qlt=65&amp;fmt=webp&amp;hei=350&amp;wid=350</t>
  </si>
  <si>
    <t>Coca-Cola Zero Sugar Soda - 2 L Bottle</t>
  </si>
  <si>
    <t>https://www.target.com/p/coca-cola-zero-sugar-24pk-12-fl-oz-cans/-/A-13219203#lnk=sametab</t>
  </si>
  <si>
    <t>https://target.scene7.com/is/image/Target/GUEST_ddfcd2ab-0c73-4c4d-9286-f8747e88cd35?qlt=65&amp;fmt=webp&amp;hei=350&amp;wid=350</t>
  </si>
  <si>
    <t>Coca-Cola Zero Sugar Soda - 24pk/12 fl oz Cans</t>
  </si>
  <si>
    <t>https://www.target.com/p/coca-cola-zero-sugar-6pk-16-9-fl-oz-bottles/-/A-12953311#lnk=sametab</t>
  </si>
  <si>
    <t>https://target.scene7.com/is/image/Target/GUEST_e41846a9-736a-4053-b8a3-4d4f2d749871?qlt=65&amp;fmt=webp&amp;hei=350&amp;wid=350</t>
  </si>
  <si>
    <t>Coca-Cola Zero Sugar Soda - 6pk/16.9 fl oz Bottles</t>
  </si>
  <si>
    <t>110.4oz</t>
  </si>
  <si>
    <t>https://www.target.com/p/del-monte-diced-peaches-fruit-cup/-/A-87443264?preselect=13260983#lnk=sametab</t>
  </si>
  <si>
    <t>https://target.scene7.com/is/image/Target/GUEST_b9c5b1db-53ad-4f31-9a52-72f754200a7e?qlt=65&amp;fmt=webp&amp;hei=350&amp;wid=350</t>
  </si>
  <si>
    <t>Del Monte Diced Peaches Fruit Cup</t>
  </si>
  <si>
    <t>https://www.target.com/p/del-monte-lite-yellow-cling-peach-slices-in-extra-light-syrup-15oz/-/A-12921519#lnk=sametab</t>
  </si>
  <si>
    <t>https://target.scene7.com/is/image/Target/GUEST_83f2ccd0-0247-408d-b847-3210dab604bf?qlt=65&amp;fmt=webp&amp;hei=350&amp;wid=350</t>
  </si>
  <si>
    <t>Del Monte Lite Yellow Cling Peach Slices in Extra Light Syrup - 15oz</t>
  </si>
  <si>
    <t>https://www.target.com/p/del-monte-no-sugar-added-diced-peaches-4ct-16oz/-/A-12935256#lnk=sametab</t>
  </si>
  <si>
    <t>https://target.scene7.com/is/image/Target/GUEST_37eceec9-3881-42f3-a9a2-58e2e3f005fd?qlt=65&amp;fmt=webp&amp;hei=350&amp;wid=350</t>
  </si>
  <si>
    <t>Del Monte No Sugar Added Diced Peaches - 4ct/16oz</t>
  </si>
  <si>
    <t>https://www.target.com/p/del-monte-no-sugar-added-sliced-peaches-14-5oz/-/A-13429371#lnk=sametab</t>
  </si>
  <si>
    <t>https://target.scene7.com/is/image/Target/GUEST_67d1882b-9075-4f9a-9153-1b2481726633?qlt=65&amp;fmt=webp&amp;hei=350&amp;wid=350</t>
  </si>
  <si>
    <t>Del Monte No Sugar Added Sliced Peaches - 14.5oz</t>
  </si>
  <si>
    <t>https://www.target.com/p/del-monte-sliced-peaches-in-100-juice-60oz-4pk/-/A-87797703#lnk=sametab</t>
  </si>
  <si>
    <t>https://target.scene7.com/is/image/Target/GUEST_22c667ee-fc45-4466-8111-54548fdedafe?qlt=65&amp;fmt=webp&amp;hei=350&amp;wid=350</t>
  </si>
  <si>
    <t>Del Monte Sliced Peaches in 100% Juice - 60oz / 4pk</t>
  </si>
  <si>
    <t>https://www.target.com/p/del-monte-yellow-cling-peach-chunks-in-heavy-syrup-15-25oz/-/A-13429369#lnk=sametab</t>
  </si>
  <si>
    <t>https://target.scene7.com/is/image/Target/GUEST_23b5b3f0-b811-40bc-8f89-c66ae53c09da?qlt=65&amp;fmt=webp&amp;hei=350&amp;wid=350</t>
  </si>
  <si>
    <t>Del Monte Yellow Cling Peach Chunks In Heavy Syrup - 15.25oz</t>
  </si>
  <si>
    <t>https://www.target.com/p/del-monte-yellow-cling-peach-slices-in-100-real-fruit-juice-15oz/-/A-12921525#lnk=sametab</t>
  </si>
  <si>
    <t>https://target.scene7.com/is/image/Target/GUEST_e83734e2-aaea-423c-aae8-01be17aa04f9?qlt=65&amp;fmt=webp&amp;hei=350&amp;wid=350</t>
  </si>
  <si>
    <t>Del Monte Yellow Cling Peach Slices in 100% Real Fruit Juice - 15oz</t>
  </si>
  <si>
    <t>https://www.target.com/p/diet-coke-20-fl-oz-bottle/-/A-12959161#lnk=sametab</t>
  </si>
  <si>
    <t>https://target.scene7.com/is/image/Target/GUEST_d25810db-87df-4a9b-8c9b-d79fb2b17eff?qlt=65&amp;fmt=webp&amp;hei=350&amp;wid=350</t>
  </si>
  <si>
    <t>Coca-Cola Diet - 20 fl oz Bottle</t>
  </si>
  <si>
    <t>https://www.target.com/p/digiorno-cheese-stuffed-crust-four-cheese-frozen-pizza-8-5oz/-/A-13505877#lnk=sametab</t>
  </si>
  <si>
    <t>https://target.scene7.com/is/image/Target/GUEST_a67b89a6-36cf-429c-ae33-9503828d0bba?qlt=65&amp;fmt=webp&amp;hei=350&amp;wid=350</t>
  </si>
  <si>
    <t>DiGiorno Cheese Stuffed Crust Four Cheese Frozen Pizza - 8.5oz</t>
  </si>
  <si>
    <t>https://www.target.com/p/digiorno-cheese-stuffed-crust-pepperoni-frozen-pizza-8-5oz/-/A-13505878#lnk=sametab</t>
  </si>
  <si>
    <t>https://target.scene7.com/is/image/Target/GUEST_321830b2-8e98-4dfe-b4f8-e5077167503e?qlt=65&amp;fmt=webp&amp;hei=350&amp;wid=350</t>
  </si>
  <si>
    <t>DiGiorno Cheese Stuffed Crust Pepperoni Frozen Pizza - 8.5oz</t>
  </si>
  <si>
    <t>https://www.target.com/p/digiorno-cheese-stuffed-crust-supreme-frozen-pizza-26-4oz/-/A-13486169#lnk=sametab</t>
  </si>
  <si>
    <t>https://target.scene7.com/is/image/Target/GUEST_625c0206-89da-4803-9d4a-76ab78e379f0?qlt=65&amp;fmt=webp&amp;hei=350&amp;wid=350</t>
  </si>
  <si>
    <t>DiGiorno Cheese Stuffed Crust Supreme Frozen Pizza - 26.4oz</t>
  </si>
  <si>
    <t>https://www.target.com/p/digiorno-cheese-stuffed-crust-three-meat-frozen-pizza-9-2oz/-/A-13505879#lnk=sametab</t>
  </si>
  <si>
    <t>https://target.scene7.com/is/image/Target/GUEST_665a0697-059c-4f7b-8141-46ccc7f20403?qlt=65&amp;fmt=webp&amp;hei=350&amp;wid=350</t>
  </si>
  <si>
    <t>DiGiorno Cheese Stuffed Crust Three Meat Frozen Pizza - 9.2oz</t>
  </si>
  <si>
    <t>https://www.target.com/p/digiorno-five-cheese-frozen-pizza-with-cheese-stuffed-crust-22-2oz/-/A-39592300#lnk=sametab</t>
  </si>
  <si>
    <t>https://target.scene7.com/is/image/Target/GUEST_f9525c8c-d822-4d9a-8005-1493b45eec20?qlt=65&amp;fmt=webp&amp;hei=350&amp;wid=350</t>
  </si>
  <si>
    <t>DiGiorno Five Cheese Frozen Pizza with Cheese Stuffed Crust - 22.2oz</t>
  </si>
  <si>
    <t>https://www.target.com/p/digiorno-pepperoni-frozen-pizza-with-cheese-stuffed-crust-22-2oz/-/A-13428566#lnk=sametab</t>
  </si>
  <si>
    <t>https://target.scene7.com/is/image/Target/GUEST_16089f5f-da7a-4d24-84ce-1aaa3c671f01?qlt=65&amp;fmt=webp&amp;hei=350&amp;wid=350</t>
  </si>
  <si>
    <t>DiGiorno Pepperoni Frozen Pizza with Cheese Stuffed Crust - 22.2oz</t>
  </si>
  <si>
    <t>https://www.target.com/p/digiorno-pepperoni-gluten-free-frozen-pizza-24-2oz/-/A-89886787#lnk=sametab</t>
  </si>
  <si>
    <t>https://target.scene7.com/is/image/Target/GUEST_beca2b39-7414-4950-878c-2aa46eb6f172?qlt=65&amp;fmt=webp&amp;hei=350&amp;wid=350</t>
  </si>
  <si>
    <t>DiGiorno Pepperoni Gluten Free Frozen Pizza - 24.2oz</t>
  </si>
  <si>
    <t>https://www.target.com/p/digiorno-rising-crust-four-cheese-frozen-pizza-24-6oz/-/A-90930510#lnk=sametab</t>
  </si>
  <si>
    <t>https://target.scene7.com/is/image/Target/GUEST_48bfa855-f079-4afa-9e2a-9763d043db9a?qlt=65&amp;fmt=webp&amp;hei=350&amp;wid=350</t>
  </si>
  <si>
    <t>DiGiorno Rising Crust Four Cheese Frozen Pizza - 24.6oz</t>
  </si>
  <si>
    <t>https://www.target.com/p/digiorno-rising-crust-pepperoni-frozen-pizza-24-7oz/-/A-90930511#lnk=sametab</t>
  </si>
  <si>
    <t>https://target.scene7.com/is/image/Target/GUEST_8fa54e26-b3a8-429a-bb42-fd17a6c1e0f9?qlt=65&amp;fmt=webp&amp;hei=350&amp;wid=350</t>
  </si>
  <si>
    <t>DiGiorno Rising Crust Pepperoni Frozen Pizza - 24.7oz</t>
  </si>
  <si>
    <t>https://www.target.com/p/digiorno-rising-crust-supreme-frozen-pizza-29-3oz/-/A-90930513#lnk=sametab</t>
  </si>
  <si>
    <t>https://target.scene7.com/is/image/Target/GUEST_0f8a3f0a-eb44-42d6-be76-73792f9aaa23?qlt=65&amp;fmt=webp&amp;hei=350&amp;wid=350</t>
  </si>
  <si>
    <t>DiGiorno Rising Crust Supreme Frozen Pizza - 29.3oz</t>
  </si>
  <si>
    <t>https://www.target.com/p/digiorno-rising-crust-three-meat-frozen-pizza-27-1oz/-/A-90930512#lnk=sametab</t>
  </si>
  <si>
    <t>https://target.scene7.com/is/image/Target/GUEST_6ff48b69-14bf-4daf-9b53-4fa56c49847e?qlt=65&amp;fmt=webp&amp;hei=350&amp;wid=350</t>
  </si>
  <si>
    <t>DiGiorno Rising Crust Three Meat Frozen Pizza - 27.1oz</t>
  </si>
  <si>
    <t>https://www.target.com/p/digiorno-thin-38-crispy-stuffed-crust-margherita-frozen-pizza-21oz/-/A-89886790#lnk=sametab</t>
  </si>
  <si>
    <t>https://target.scene7.com/is/image/Target/GUEST_bb1bc278-ac02-4bbd-947e-17cf7671f81f?qlt=65&amp;fmt=webp&amp;hei=350&amp;wid=350</t>
  </si>
  <si>
    <t>DiGiorno Thin &amp; Crispy Stuffed Crust Margherita Frozen Pizza - 21oz</t>
  </si>
  <si>
    <t>https://www.target.com/p/digiorno-thin-38-crispy-stuffed-crust-pepperoni-38-sausage-frozen-pizza-21-4oz/-/A-89886791#lnk=sametab</t>
  </si>
  <si>
    <t>https://target.scene7.com/is/image/Target/GUEST_6117592a-0801-4697-abfd-891f954cb71e?qlt=65&amp;fmt=webp&amp;hei=350&amp;wid=350</t>
  </si>
  <si>
    <t>DiGiorno Thin &amp; Crispy Stuffed Crust Pepperoni &amp; Sausage Frozen Pizza - 21.4oz</t>
  </si>
  <si>
    <t>https://www.target.com/p/digiorno-thin-crust-pepperoni-frozen-pizza-16-9oz/-/A-89886814#lnk=sametab</t>
  </si>
  <si>
    <t>https://target.scene7.com/is/image/Target/GUEST_0871d97b-08b9-456d-ae72-d91d37ac3904?qlt=65&amp;fmt=webp&amp;hei=350&amp;wid=350</t>
  </si>
  <si>
    <t>DiGiorno Thin Crust Pepperoni Frozen Pizza - 16.9oz</t>
  </si>
  <si>
    <t>https://www.target.com/p/digiorno-three-meat-frozen-pizza-with-cheese-stuffed-crust-24-5oz/-/A-13428565#lnk=sametab</t>
  </si>
  <si>
    <t>https://target.scene7.com/is/image/Target/GUEST_a2c1e763-7e77-4bfc-b567-44060b548c85?qlt=65&amp;fmt=webp&amp;hei=350&amp;wid=350</t>
  </si>
  <si>
    <t>DiGiorno Three Meat Frozen Pizza with Cheese Stuffed Crust - 24.5oz</t>
  </si>
  <si>
    <t>https://www.target.com/p/digiorno-traditional-crust-four-cheese-frozen-pizza-9-2oz/-/A-13428577#lnk=sametab</t>
  </si>
  <si>
    <t>https://target.scene7.com/is/image/Target/GUEST_fb991689-960c-44c5-82ba-aca2ea13271c?qlt=65&amp;fmt=webp&amp;hei=350&amp;wid=350</t>
  </si>
  <si>
    <t>DiGiorno Traditional Crust Four Cheese Frozen Pizza - 9.2oz</t>
  </si>
  <si>
    <t>https://www.target.com/p/digiorno-traditional-crust-pepperoni-frozen-pizza-9-3oz/-/A-13429166#lnk=sametab</t>
  </si>
  <si>
    <t>https://target.scene7.com/is/image/Target/GUEST_cee200f0-4c45-479f-827d-d1948ae72cc3?qlt=65&amp;fmt=webp&amp;hei=350&amp;wid=350</t>
  </si>
  <si>
    <t>DiGiorno Traditional Crust Pepperoni Frozen Pizza - 9.3oz</t>
  </si>
  <si>
    <t>https://www.target.com/p/dole-100-pineapple-juice-46-fl-oz-can/-/A-54360384#lnk=sametab</t>
  </si>
  <si>
    <t>https://target.scene7.com/is/image/Target/GUEST_49a656e3-9cf8-4430-a372-ce6b7eb25fe4?qlt=65&amp;fmt=webp&amp;hei=350&amp;wid=350</t>
  </si>
  <si>
    <t>Dole 100% Pineapple Juice - 46 fl oz Can</t>
  </si>
  <si>
    <t>46oz</t>
  </si>
  <si>
    <t>https://www.target.com/p/dole-100-pineapple-juice-6pk-6-fl-oz-cans/-/A-54360393#lnk=sametab</t>
  </si>
  <si>
    <t>https://target.scene7.com/is/image/Target/GUEST_f71b393c-4cc5-4d7e-b37c-f00470cb369d?qlt=65&amp;fmt=webp&amp;hei=350&amp;wid=350</t>
  </si>
  <si>
    <t>Dole 100% Pineapple Juice - 6pk/6 fl oz Cans</t>
  </si>
  <si>
    <t>https://www.target.com/p/dole-lite-pineapple-juice-6pk-6-fl-oz-cans/-/A-89934269#lnk=sametab</t>
  </si>
  <si>
    <t>https://target.scene7.com/is/image/Target/GUEST_7613005b-eab2-42b8-9a78-691da71c3eb7?qlt=65&amp;fmt=webp&amp;hei=350&amp;wid=350</t>
  </si>
  <si>
    <t>Dole Lite Pineapple Juice - 6pk/6 fl oz Cans</t>
  </si>
  <si>
    <t>https://www.target.com/p/mandarin-oranges-4oz-12ct/-/A-91196548#lnk=sametab</t>
  </si>
  <si>
    <t>https://target.scene7.com/is/image/Target/GUEST_0f73bbff-817a-4663-a98c-77e506ba7692?qlt=65&amp;fmt=webp&amp;hei=350&amp;wid=350</t>
  </si>
  <si>
    <t>Dole Mandarin Oranges in 100% Juice - 4oz/12ct</t>
  </si>
  <si>
    <t>https://www.target.com/p/dole-mandarin-oranges-4oz-4ct/-/A-91195383#lnk=sametab</t>
  </si>
  <si>
    <t>https://target.scene7.com/is/image/Target/GUEST_7c33bd81-267b-418b-88b1-3a538793bb6e?qlt=65&amp;fmt=webp&amp;hei=350&amp;wid=350</t>
  </si>
  <si>
    <t>Dole Mandarin Oranges No Sugar Added - 16oz/4ct</t>
  </si>
  <si>
    <t>https://www.target.com/p/mandarins-in-juice-4oz-4ct/-/A-91195437#lnk=sametab</t>
  </si>
  <si>
    <t>https://target.scene7.com/is/image/Target/GUEST_3e2c3958-31a0-47f8-8c6e-56bb192e6491?qlt=65&amp;fmt=webp&amp;hei=350&amp;wid=350</t>
  </si>
  <si>
    <t>Dole Mandarins in 100% Juice - 16oz/4ct</t>
  </si>
  <si>
    <t>https://www.target.com/p/dole-orange-peach-mango-juice-59-fl-oz/-/A-13193704#lnk=sametab</t>
  </si>
  <si>
    <t>https://target.scene7.com/is/image/Target/GUEST_f3a78475-1d47-4f4a-a7dc-63d706beb804?qlt=65&amp;fmt=webp&amp;hei=350&amp;wid=350</t>
  </si>
  <si>
    <t>Dole Orange Peach Mango Juice - 59 fl oz</t>
  </si>
  <si>
    <t>59oz</t>
  </si>
  <si>
    <t>https://www.target.com/p/dole-pineapple-chunks-in-juice-20oz/-/A-91370133#lnk=sametab</t>
  </si>
  <si>
    <t>https://target.scene7.com/is/image/Target/GUEST_85c8808e-2535-4f21-9820-78939001057b?qlt=65&amp;fmt=webp&amp;hei=350&amp;wid=350</t>
  </si>
  <si>
    <t>Dole Pineapple Chunks in Juice - 20oz</t>
  </si>
  <si>
    <t>https://www.target.com/p/dole-pineapple-orange-banana-juice-59-fl-oz/-/A-13193705#lnk=sametab</t>
  </si>
  <si>
    <t>https://target.scene7.com/is/image/Target/GUEST_1fe19be2-0342-4383-87a6-fc004da0fcda?qlt=65&amp;fmt=webp&amp;hei=350&amp;wid=350</t>
  </si>
  <si>
    <t>Dole Pineapple Orange Banana Juice - 59 fl oz</t>
  </si>
  <si>
    <t>https://www.target.com/p/dole-pineapple-slices-in-juice-20oz/-/A-91370139#lnk=sametab</t>
  </si>
  <si>
    <t>https://target.scene7.com/is/image/Target/GUEST_5738bc69-21e8-4f50-8cf7-b4197948531b?qlt=65&amp;fmt=webp&amp;hei=350&amp;wid=350</t>
  </si>
  <si>
    <t>Dole Pineapple Slices in Juice - 20oz</t>
  </si>
  <si>
    <t>https://www.target.com/p/eggo-bites-pouches-chocolatey-chip-frozen-pancakes-8-4oz-5ct/-/A-15609091#lnk=sametab</t>
  </si>
  <si>
    <t>https://target.scene7.com/is/image/Target/GUEST_28990494-1e55-4adc-a5b1-ee2c92949c83?qlt=65&amp;fmt=webp&amp;hei=350&amp;wid=350</t>
  </si>
  <si>
    <t>Eggo Bites Pouches Chocolatey Chip Frozen Pancakes - 8.4oz/5ct</t>
  </si>
  <si>
    <t>https://www.target.com/p/eggo-blueberry-frozen-waffles-12-3oz-10ct/-/A-13190247#lnk=sametab</t>
  </si>
  <si>
    <t>https://target.scene7.com/is/image/Target/GUEST_5364d81b-bd8b-4e2c-bb2b-8317f4d16c5a?qlt=65&amp;fmt=webp&amp;hei=350&amp;wid=350</t>
  </si>
  <si>
    <t>Eggo Blueberry Frozen Waffles - 12.3oz/10ct</t>
  </si>
  <si>
    <t>https://www.target.com/p/eggo-buttermilk-frozen-waffles-12-3oz-10ct/-/A-13190249#lnk=sametab</t>
  </si>
  <si>
    <t>https://target.scene7.com/is/image/Target/GUEST_283d72d3-db68-409a-996a-8869a7a61ebd?qlt=65&amp;fmt=webp&amp;hei=350&amp;wid=350</t>
  </si>
  <si>
    <t>Eggo Buttermilk Frozen Waffles - 12.3oz/10ct</t>
  </si>
  <si>
    <t>https://www.target.com/p/eggo-buttermilk-frozen-waffles-29-6oz-24ct/-/A-13190251#lnk=sametab</t>
  </si>
  <si>
    <t>https://target.scene7.com/is/image/Target/GUEST_d5530816-4435-4c96-b6c7-3080d070c541?qlt=65&amp;fmt=webp&amp;hei=350&amp;wid=350</t>
  </si>
  <si>
    <t>Eggo Buttermilk Frozen Waffles - 29.6oz/24ct</t>
  </si>
  <si>
    <t>https://www.target.com/p/eggo-buttermilk-vanilla-protein-frozen-waffles-12-3oz-10ct/-/A-93973272#lnk=sametab</t>
  </si>
  <si>
    <t>https://target.scene7.com/is/image/Target/GUEST_3590eff7-6d4b-4c4c-bf0d-9bb949c8f1d5?qlt=65&amp;fmt=webp&amp;hei=350&amp;wid=350</t>
  </si>
  <si>
    <t>Eggo Buttermilk Vanilla Protein Frozen Waffles - 12.3oz/10ct</t>
  </si>
  <si>
    <t>https://www.target.com/p/eggo-chocolatey-chip-frozen-waffles-12-3oz-10ct/-/A-13189764#lnk=sametab</t>
  </si>
  <si>
    <t>https://target.scene7.com/is/image/Target/GUEST_58298d55-d99f-4cf9-a9f5-3a5b40b8cb12?qlt=65&amp;fmt=webp&amp;hei=350&amp;wid=350</t>
  </si>
  <si>
    <t>Eggo Chocolatey Chip Frozen Waffles - 12.3oz/10ct</t>
  </si>
  <si>
    <t>https://www.target.com/p/eggo-chocolatey-chip-frozen-waffles-29-6oz-24ct/-/A-14940427#lnk=sametab</t>
  </si>
  <si>
    <t>https://target.scene7.com/is/image/Target/GUEST_40165d57-1454-4b36-ad83-7694d872fe72?qlt=65&amp;fmt=webp&amp;hei=350&amp;wid=350</t>
  </si>
  <si>
    <t>Eggo Chocolatey Chip Frozen Waffles 29.6oz/24ct</t>
  </si>
  <si>
    <t>https://www.target.com/p/eggo-cinnamon-frozen-french-toaster-sticks-12-7oz-32ct/-/A-28785838#lnk=sametab</t>
  </si>
  <si>
    <t>https://target.scene7.com/is/image/Target/GUEST_5acbb5ac-31bf-4d6b-bb75-35182785c7b3?qlt=65&amp;fmt=webp&amp;hei=350&amp;wid=350</t>
  </si>
  <si>
    <t>Eggo Cinnamon Frozen French Toaster Sticks - 12.7oz/32ct</t>
  </si>
  <si>
    <t>https://www.target.com/p/eggo-cinnamon-toast-frozen-waffles-10-75oz-10ct/-/A-13327639#lnk=sametab</t>
  </si>
  <si>
    <t>https://target.scene7.com/is/image/Target/GUEST_2da8fed6-3aa6-4181-ac2e-466fc20273c7?qlt=65&amp;fmt=webp&amp;hei=350&amp;wid=350</t>
  </si>
  <si>
    <t>Eggo Cinnamon Toast Frozen Waffles - 10.75oz/10ct</t>
  </si>
  <si>
    <t>https://www.target.com/p/eggo-maple-liege-grab-38-go-frozen-waffle-7-76oz-4ct/-/A-84243538#lnk=sametab</t>
  </si>
  <si>
    <t>https://target.scene7.com/is/image/Target/GUEST_33616e11-24b4-489a-8c0a-783d2da798b4?qlt=65&amp;fmt=webp&amp;hei=350&amp;wid=350</t>
  </si>
  <si>
    <t>Eggo Frozen Belgian-Style Street Buttery Maple Waffles - 7.76oz/4ct</t>
  </si>
  <si>
    <t>https://www.target.com/p/eggo-frozen-buttermilk-pancakes-14-8oz-12ct/-/A-13189239#lnk=sametab</t>
  </si>
  <si>
    <t>https://target.scene7.com/is/image/Target/GUEST_53410ded-c2ee-499e-a198-749ac2fd36b4?qlt=65&amp;fmt=webp&amp;hei=350&amp;wid=350</t>
  </si>
  <si>
    <t>Eggo Frozen Buttermilk Pancakes - 14.8oz/12ct</t>
  </si>
  <si>
    <t>https://www.target.com/p/eggo-frozen-chocolate-chip-pancakes-14-8oz-12ct/-/A-49101207#lnk=sametab</t>
  </si>
  <si>
    <t>https://target.scene7.com/is/image/Target/GUEST_3222785a-3888-45b0-bb43-bae4285e8e87?qlt=65&amp;fmt=webp&amp;hei=350&amp;wid=350</t>
  </si>
  <si>
    <t>Eggo Frozen Chocolate Chip Pancakes - 14.8oz/12ct</t>
  </si>
  <si>
    <t>https://www.target.com/p/eggo-frozen-cinnamon-churro-waffles-12-3oz-10ct/-/A-90009826#lnk=sametab</t>
  </si>
  <si>
    <t>https://target.scene7.com/is/image/Target/GUEST_c4fc3499-8b13-4f1a-a7ca-88cfa6d5d003?qlt=65&amp;fmt=webp&amp;hei=350&amp;wid=350</t>
  </si>
  <si>
    <t>Eggo Frozen Cinnamon Churro Waffles - 12.3oz/10ct</t>
  </si>
  <si>
    <t>https://www.target.com/p/eggo-frozen-fully-loaded-blueberry-pancakes-14-8oz-12ct/-/A-93462418#lnk=sametab</t>
  </si>
  <si>
    <t>https://target.scene7.com/is/image/Target/GUEST_726a0b4c-50f0-49b6-a645-bc7b2bd98e66?qlt=65&amp;fmt=webp&amp;hei=350&amp;wid=350</t>
  </si>
  <si>
    <t>Eggo Frozen Fully Loaded Blueberry Pancakes - 14.8oz/12ct</t>
  </si>
  <si>
    <t>https://www.target.com/p/eggo-frozen-fully-loaded-vanilla-pancakes-12ct-14-8oz/-/A-93462419#lnk=sametab</t>
  </si>
  <si>
    <t>https://target.scene7.com/is/image/Target/GUEST_8509233c-fb4d-4ec0-813d-e6534ff87f70?qlt=65&amp;fmt=webp&amp;hei=350&amp;wid=350</t>
  </si>
  <si>
    <t>Eggo Frozen Fully Loaded Vanilla Pancakes - 12ct/14.8oz</t>
  </si>
  <si>
    <t>https://www.target.com/p/eggo-frozen-mini-pancakes-14-1oz-40ct/-/A-13190250#lnk=sametab</t>
  </si>
  <si>
    <t>https://target.scene7.com/is/image/Target/GUEST_4bc06eaf-c2ca-4077-8380-41c00a9f3822?qlt=65&amp;fmt=webp&amp;hei=350&amp;wid=350</t>
  </si>
  <si>
    <t>Eggo Frozen Mini Pancakes - 14.1oz/40ct</t>
  </si>
  <si>
    <t>https://www.target.com/p/eggo-frozen-minis-cinnamon-french-toast-9-3oz-4ct/-/A-93462414#lnk=sametab</t>
  </si>
  <si>
    <t>https://target.scene7.com/is/image/Target/GUEST_56674269-cff9-4ae5-9ebb-a4f29d77d3fa?qlt=65&amp;fmt=webp&amp;hei=350&amp;wid=350</t>
  </si>
  <si>
    <t>Eggo Frozen Minis Cinnamon French Toast - 9.3oz/4ct</t>
  </si>
  <si>
    <t>https://www.target.com/p/eggo-frozen-fully-loaded-chocolate-chip-brownie-waffles-12-3oz-10ct/-/A-90009825#lnk=sametab</t>
  </si>
  <si>
    <t>https://target.scene7.com/is/image/Target/GUEST_71057229-79c7-41a6-a348-a91f4cfb7373?qlt=65&amp;fmt=webp&amp;hei=350&amp;wid=350</t>
  </si>
  <si>
    <t>Eggo Frozen Protein Chocolate Chip Brownie Waffles - 12.3oz/10ct</t>
  </si>
  <si>
    <t>https://www.target.com/p/eggo-frozen-fully-loaded-strawberry-delight-waffles-12-3oz-10ct/-/A-90009824#lnk=sametab</t>
  </si>
  <si>
    <t>https://target.scene7.com/is/image/Target/GUEST_e9a10518-3ae0-47fc-9054-fcb5386a5dca?qlt=65&amp;fmt=webp&amp;hei=350&amp;wid=350</t>
  </si>
  <si>
    <t>Eggo Frozen Protein Strawberry Delight Waffles - 12.3oz/10ct</t>
  </si>
  <si>
    <t>https://www.target.com/p/eggo-homestyle-frozen-waffles-12-3oz-10ct/-/A-13189240#lnk=sametab</t>
  </si>
  <si>
    <t>https://target.scene7.com/is/image/Target/GUEST_71b69669-d44a-42b9-a5c8-156ff446e37c?qlt=65&amp;fmt=webp&amp;hei=350&amp;wid=350</t>
  </si>
  <si>
    <t>Eggo Homestyle Frozen Waffles - 12.3oz/10ct</t>
  </si>
  <si>
    <t>https://www.target.com/p/eggo-homestyle-frozen-waffles-29-6oz-24ct/-/A-13189242#lnk=sametab</t>
  </si>
  <si>
    <t>https://target.scene7.com/is/image/Target/GUEST_3a7d7935-aea3-455c-acf4-adb9ec6f8e60?qlt=65&amp;fmt=webp&amp;hei=350&amp;wid=350</t>
  </si>
  <si>
    <t>Eggo Homestyle Frozen Waffles - 29.6oz/24ct</t>
  </si>
  <si>
    <t>https://www.target.com/p/eggo-original-frozen-french-toaster-sticks-12-7oz-32ct/-/A-13327596#lnk=sametab</t>
  </si>
  <si>
    <t>https://target.scene7.com/is/image/Target/GUEST_325a46fc-351d-4d4a-9cbe-f47bc2018c81?qlt=65&amp;fmt=webp&amp;hei=350&amp;wid=350</t>
  </si>
  <si>
    <t>Eggo Original Frozen French Toaster Sticks - 12.7oz/32ct</t>
  </si>
  <si>
    <t>https://www.target.com/p/eggo-thick-38-fluffy-original-frozen-waffles-11-6oz-6ct/-/A-14793387#lnk=sametab</t>
  </si>
  <si>
    <t>https://target.scene7.com/is/image/Target/GUEST_01f0a469-7b39-42e4-93dc-525210b84918?qlt=65&amp;fmt=webp&amp;hei=350&amp;wid=350</t>
  </si>
  <si>
    <t>Eggo Thick &amp; Fluffy Original Frozen Waffles - 11.6oz/6ct</t>
  </si>
  <si>
    <t>https://www.target.com/p/fairlife-lactose-free-2-chocolate-milk-52-fl-oz/-/A-17093199#lnk=sametab</t>
  </si>
  <si>
    <t>Fairlife Lactose Free 2% Chocolate Milk - 52 fl oz</t>
  </si>
  <si>
    <t>https://www.target.com/p/fairlife-lactose-free-2-milk-52-fl-oz/-/A-17093211#lnk=sametab</t>
  </si>
  <si>
    <t>https://target.scene7.com/is/image/Target/GUEST_8d4d5feb-a00d-4bbf-8ab2-c05996407e9c?qlt=65&amp;fmt=webp&amp;hei=350&amp;wid=350</t>
  </si>
  <si>
    <t>Fairlife Lactose Free 2% Milk - 52 fl oz</t>
  </si>
  <si>
    <t>https://www.target.com/p/fairlife-lactose-free-whole-milk-52-fl-oz/-/A-48626857#lnk=sametab</t>
  </si>
  <si>
    <t>https://target.scene7.com/is/image/Target/GUEST_0ab839f6-7a42-496f-b6a5-76db2c507ba9?qlt=65&amp;fmt=webp&amp;hei=350&amp;wid=350</t>
  </si>
  <si>
    <t>Fairlife Lactose Free Whole Milk - 52 fl oz</t>
  </si>
  <si>
    <t>https://www.target.com/p/lays-multipack-18ct-18oz/-/A-91497984#lnk=sametab</t>
  </si>
  <si>
    <t>https://target.scene7.com/is/image/Target/GUEST_085e123e-abef-48f6-aae6-c2f9a3cf70b0?qlt=65&amp;fmt=webp&amp;hei=350&amp;wid=350</t>
  </si>
  <si>
    <t>Frito-Lay Lay's Mix Potato Chips Variety Pack - 18ct/18oz</t>
  </si>
  <si>
    <t>https://www.target.com/p/fruity-cheerios-family-size-18-4oz/-/A-90251886#lnk=sametab</t>
  </si>
  <si>
    <t>https://target.scene7.com/is/image/Target/GUEST_1c3e4b7e-1f8f-42ee-967c-fc4a410c9e7f?qlt=65&amp;fmt=webp&amp;hei=350&amp;wid=350</t>
  </si>
  <si>
    <t>Fruity Cheerios Family Size - 18.4oz</t>
  </si>
  <si>
    <t>https://www.target.com/p/gatorade-cool-blue-sports-drink-12pk-12-fl-oz-bottles/-/A-14756734#lnk=sametab</t>
  </si>
  <si>
    <t>https://target.scene7.com/is/image/Target/GUEST_a07dfcb8-6fb0-4d0b-b22a-27e743191968?qlt=65&amp;fmt=webp&amp;hei=350&amp;wid=350</t>
  </si>
  <si>
    <t>Gatorade Cool Blue Sports Drink - 12pk/12 fl oz Bottles</t>
  </si>
  <si>
    <t>https://www.target.com/p/gatorade-cool-blue-sports-drink-28-fl-oz-bottle/-/A-84932422#lnk=sametab</t>
  </si>
  <si>
    <t>https://target.scene7.com/is/image/Target/GUEST_221a4e32-ea29-4ab2-b02f-ae7b2bb50c19?qlt=65&amp;fmt=webp&amp;hei=350&amp;wid=350</t>
  </si>
  <si>
    <t>Gatorade Cool Blue Sports Drink - 28 fl oz Bottle</t>
  </si>
  <si>
    <t>https://www.target.com/p/gatorade-cool-blue-sports-drink-8pk-20-fl-oz-bottles/-/A-14756739#lnk=sametab</t>
  </si>
  <si>
    <t>https://target.scene7.com/is/image/Target/GUEST_3b70d351-f0ca-4577-8d92-c74047b27758?qlt=65&amp;fmt=webp&amp;hei=350&amp;wid=350</t>
  </si>
  <si>
    <t>Gatorade Cool Blue Sports Drink - 8pk/20 fl oz Bottles</t>
  </si>
  <si>
    <t>https://www.target.com/p/gatorade-fit-electrolyte-beverage-variety-pack-16-9-oz-bottle-12-pack/-/A-1001269557#lnk=sametab</t>
  </si>
  <si>
    <t>https://target.scene7.com/is/image/Target/GUEST_16e12e84-e6a8-47c0-b0cd-e480ffac365e?qlt=65&amp;fmt=webp&amp;hei=350&amp;wid=350</t>
  </si>
  <si>
    <t>Gatorade Fit Electrolyte Beverage, Variety Pack - 16.9 Oz Bottle (12 Pack)</t>
  </si>
  <si>
    <t>https://www.target.com/p/gatorade-frost-glacier-cherry-sports-drink-12pk-12-fl-oz-bottles/-/A-14903667#lnk=sametab</t>
  </si>
  <si>
    <t>https://target.scene7.com/is/image/Target/GUEST_e07fc9fb-1dd9-4551-9ee1-77b41d22f32c?qlt=65&amp;fmt=webp&amp;hei=350&amp;wid=350</t>
  </si>
  <si>
    <t>Gatorade Frost Glacier Cherry Sports Drink - 12pk/12 fl oz Bottles</t>
  </si>
  <si>
    <t>https://www.target.com/p/gatorade-frost-glacier-freeze-ms-cannister-sports-drink-50-9oz/-/A-94322538#lnk=sametab</t>
  </si>
  <si>
    <t>https://target.scene7.com/is/image/Target/GUEST_927e79ed-2f23-4e6d-92d8-8a1c469e3c92?qlt=65&amp;fmt=webp&amp;hei=350&amp;wid=350</t>
  </si>
  <si>
    <t>Gatorade Frost Glacier Freeze MS Cannister Sports Drink - 50.9oz</t>
  </si>
  <si>
    <t>https://www.target.com/p/gatorade-frost-glacier-freeze-sports-drink-12pk-12-fl-oz-bottles/-/A-13674089#lnk=sametab</t>
  </si>
  <si>
    <t>https://target.scene7.com/is/image/Target/GUEST_50f2784b-2ed2-4b38-b8be-baffb25dead1?qlt=65&amp;fmt=webp&amp;hei=350&amp;wid=350</t>
  </si>
  <si>
    <t>Gatorade Frost Glacier Freeze Sports Drink - 12pk/12 fl oz Bottles</t>
  </si>
  <si>
    <t>https://www.target.com/p/gatorade-frost-glacier-freeze-sports-drink-8pk-20-fl-oz-bottles/-/A-13672361#lnk=sametab</t>
  </si>
  <si>
    <t>https://target.scene7.com/is/image/Target/GUEST_0eedb54d-ebc7-4e2f-90cf-c13023e8a4a7?qlt=65&amp;fmt=webp&amp;hei=350&amp;wid=350</t>
  </si>
  <si>
    <t>Gatorade Frost Glacier Freeze Sports Drink - 8pk/20 fl oz Bottles</t>
  </si>
  <si>
    <t>https://www.target.com/p/gatorade-fruit-punch-powder-cannister-sports-drink-18-4oz/-/A-92642421#lnk=sametab</t>
  </si>
  <si>
    <t>https://target.scene7.com/is/image/Target/GUEST_5322bed9-9fc8-452a-a1b3-260847e46892?qlt=65&amp;fmt=webp&amp;hei=350&amp;wid=350</t>
  </si>
  <si>
    <t>Gatorade Fruit Punch Powder Cannister Sports Drink - 18.4oz</t>
  </si>
  <si>
    <t>https://www.target.com/p/gatorade-fruit-punch-sports-drink-12pk-12-fl-oz-bottles/-/A-13674084#lnk=sametab</t>
  </si>
  <si>
    <t>https://target.scene7.com/is/image/Target/GUEST_ae6cb939-4f9d-4a19-805d-ee757d63f604?qlt=65&amp;fmt=webp&amp;hei=350&amp;wid=350</t>
  </si>
  <si>
    <t>Gatorade Fruit Punch Sports Drink - 12pk/12 fl oz Bottles</t>
  </si>
  <si>
    <t>https://www.target.com/p/gatorade-fruit-punch-sports-drink-28-fl-oz-bottle/-/A-84931984#lnk=sametab</t>
  </si>
  <si>
    <t>https://target.scene7.com/is/image/Target/GUEST_7aa3bafc-5f1f-4eff-ac57-a9a12af56932?qlt=65&amp;fmt=webp&amp;hei=350&amp;wid=350</t>
  </si>
  <si>
    <t>Gatorade Fruit Punch Sports Drink - 28 fl oz Bottle</t>
  </si>
  <si>
    <t>https://www.target.com/p/gatorade-fruit-punch-sports-drink-8pk-20-fl-oz-bottles/-/A-13674118#lnk=sametab</t>
  </si>
  <si>
    <t>https://target.scene7.com/is/image/Target/GUEST_6be2c5ef-4d95-4ad1-9993-9497d1a73f67?qlt=65&amp;fmt=webp&amp;hei=350&amp;wid=350</t>
  </si>
  <si>
    <t>Gatorade Fruit Punch Sports Drink - 8pk/20 fl oz Bottles</t>
  </si>
  <si>
    <t>https://www.target.com/p/gatorade-g-zero-apple-burst-sports-drink-12pk-12-fl-oz-bottles/-/A-90912844#lnk=sametab</t>
  </si>
  <si>
    <t>https://target.scene7.com/is/image/Target/GUEST_4432ec9e-c220-4434-bf25-b3a758f9ed12?qlt=65&amp;fmt=webp&amp;hei=350&amp;wid=350</t>
  </si>
  <si>
    <t>Gatorade G Zero Apple Burst Sports Drink - 12pk/12 fl oz Bottles</t>
  </si>
  <si>
    <t>https://www.target.com/p/gatorade-g-zero-berry-sports-drink-28-fl-oz-bottle/-/A-84931881#lnk=sametab</t>
  </si>
  <si>
    <t>https://target.scene7.com/is/image/Target/GUEST_c0d922fe-2cd3-4c5a-884e-46a690d8e3d8?qlt=65&amp;fmt=webp&amp;hei=350&amp;wid=350</t>
  </si>
  <si>
    <t>Gatorade G ZERO Berry Sports Drink - 28 fl oz Bottle</t>
  </si>
  <si>
    <t>https://www.target.com/p/gatorade-g-zero-cool-blue-sports-drink-12pk-12-fl-oz-bottles/-/A-87746587#lnk=sametab</t>
  </si>
  <si>
    <t>https://target.scene7.com/is/image/Target/GUEST_d6be508e-0ba6-4b3a-baed-67c3a3d6a3b7?qlt=65&amp;fmt=webp&amp;hei=350&amp;wid=350</t>
  </si>
  <si>
    <t>Gatorade G Zero Cool Blue Sports Drink - 12pk/12 fl oz Bottles</t>
  </si>
  <si>
    <t>https://www.target.com/p/gatorade-g-zero-cool-blue-sports-drink-8pk-20-fl-oz-bottles/-/A-81621617#lnk=sametab</t>
  </si>
  <si>
    <t>https://target.scene7.com/is/image/Target/GUEST_c7c22073-e00d-4478-9a37-8126f12c7bda?qlt=65&amp;fmt=webp&amp;hei=350&amp;wid=350</t>
  </si>
  <si>
    <t>Gatorade G Zero Cool Blue Sports Drink - 8pk/20 fl oz Bottles</t>
  </si>
  <si>
    <t>https://www.target.com/p/gatorade-g-zero-fruit-punch-sports-drink-12pk-12-fl-oz-bottles/-/A-78797343#lnk=sametab</t>
  </si>
  <si>
    <t>https://target.scene7.com/is/image/Target/GUEST_a4073ab2-77e9-48df-bce4-8e7b46533c51?qlt=65&amp;fmt=webp&amp;hei=350&amp;wid=350</t>
  </si>
  <si>
    <t>Gatorade G Zero Fruit Punch Sports Drink - 12pk/12 fl oz Bottles</t>
  </si>
  <si>
    <t>https://www.target.com/p/gatorade-g-zero-fruit-punch-sports-drink-8pk-20-fl-oz-bottles/-/A-78797341#lnk=sametab</t>
  </si>
  <si>
    <t>https://target.scene7.com/is/image/Target/GUEST_e287b854-cfaf-4ee1-8136-c4fc34d30c0f?qlt=65&amp;fmt=webp&amp;hei=350&amp;wid=350</t>
  </si>
  <si>
    <t>Gatorade G Zero Fruit Punch Sports Drink - 8pk/20 fl oz Bottles</t>
  </si>
  <si>
    <t>https://www.target.com/p/gatorade-g-zero-glacier-cherry-sports-drink-12pk-12-fl-oz-bottles/-/A-54233226#lnk=sametab</t>
  </si>
  <si>
    <t>https://target.scene7.com/is/image/Target/GUEST_397a3065-0ba1-4ed1-bc70-dd1cc909695b?qlt=65&amp;fmt=webp&amp;hei=350&amp;wid=350</t>
  </si>
  <si>
    <t>Gatorade G Zero Glacier Cherry Sports Drink - 12pk/12 fl oz Bottles</t>
  </si>
  <si>
    <t>https://www.target.com/p/gatorade-g-zero-glacier-freeze-sports-drink-12pk-12-fl-oz-bottles/-/A-54232940#lnk=sametab</t>
  </si>
  <si>
    <t>https://target.scene7.com/is/image/Target/GUEST_529d3327-a913-44d2-b0bb-86438e861f32?qlt=65&amp;fmt=webp&amp;hei=350&amp;wid=350</t>
  </si>
  <si>
    <t>Gatorade G Zero Glacier Freeze Sports Drink - 12pk/12 fl oz Bottles</t>
  </si>
  <si>
    <t>https://www.target.com/p/gatorade-g-zero-glacier-freeze-sports-drink-28-fl-oz-bottle/-/A-84931888#lnk=sametab</t>
  </si>
  <si>
    <t>https://target.scene7.com/is/image/Target/GUEST_d41d2bba-c013-4cdb-a44d-345ea311a619?qlt=65&amp;fmt=webp&amp;hei=350&amp;wid=350</t>
  </si>
  <si>
    <t>Gatorade G ZERO Glacier Freeze Sports Drink - 28 fl oz Bottle</t>
  </si>
  <si>
    <t>https://www.target.com/p/gatorade-g-zero-glacier-freeze-sports-drink-8pk-20-fl-oz-bottle/-/A-54232871#lnk=sametab</t>
  </si>
  <si>
    <t>https://target.scene7.com/is/image/Target/GUEST_f761e2be-cefb-469c-981f-04c225601f12?qlt=65&amp;fmt=webp&amp;hei=350&amp;wid=350</t>
  </si>
  <si>
    <t>Gatorade G Zero Glacier Freeze Sports Drink - 8pk/20 fl oz Bottle</t>
  </si>
  <si>
    <t>https://www.target.com/p/gatorade-g-zero-grape-sports-drink-8pk-20-fl-oz-bottles/-/A-78797340#lnk=sametab</t>
  </si>
  <si>
    <t>https://target.scene7.com/is/image/Target/GUEST_a34753ab-d3d7-48ac-98da-37981bc6d1e6?qlt=65&amp;fmt=webp&amp;hei=350&amp;wid=350</t>
  </si>
  <si>
    <t>Gatorade G Zero Grape Sports Drink - 8pk/20 fl oz Bottles</t>
  </si>
  <si>
    <t>https://www.target.com/p/gatorade-g-zero-lemon-lime-sports-drink-12pk-12-fl-oz-bottles/-/A-87741783#lnk=sametab</t>
  </si>
  <si>
    <t>https://target.scene7.com/is/image/Target/GUEST_fc51fb74-a934-44b5-803c-f24e8f9ef094?qlt=65&amp;fmt=webp&amp;hei=350&amp;wid=350</t>
  </si>
  <si>
    <t>Gatorade G Zero Lemon Lime Sports Drink - 12pk/12 fl oz Bottles</t>
  </si>
  <si>
    <t>https://www.target.com/p/gatorade-g-zero-lemon-lime-sports-drink-8pk-20-fl-oz-bottles/-/A-54230837#lnk=sametab</t>
  </si>
  <si>
    <t>https://target.scene7.com/is/image/Target/GUEST_5d814db1-90b5-489a-8739-5e8e6b542240?qlt=65&amp;fmt=webp&amp;hei=350&amp;wid=350</t>
  </si>
  <si>
    <t>Gatorade G Zero Lemon Lime Sports Drink - 8pk/20 fl oz Bottles</t>
  </si>
  <si>
    <t>https://www.target.com/p/gatorade-g-zero-lime-cucumber-sports-drink-8pk-20-fl-oz-bottles/-/A-84627074#lnk=sametab</t>
  </si>
  <si>
    <t>https://target.scene7.com/is/image/Target/GUEST_799c67c4-4546-4df9-972b-248dd7dcdf22?qlt=65&amp;fmt=webp&amp;hei=350&amp;wid=350</t>
  </si>
  <si>
    <t>Gatorade G Zero Lime Cucumber Sports Drink - 8pk/20 fl oz Bottles</t>
  </si>
  <si>
    <t>https://www.target.com/p/gatorade-g-zero-orange-sports-drink-8pk-20-fl-oz-bottles/-/A-54232901#lnk=sametab</t>
  </si>
  <si>
    <t>https://target.scene7.com/is/image/Target/GUEST_77928dda-cca7-4519-abe5-5137a53f3de4?qlt=65&amp;fmt=webp&amp;hei=350&amp;wid=350</t>
  </si>
  <si>
    <t>Gatorade G Zero Orange Sports Drink - 8pk/20 fl oz Bottles</t>
  </si>
  <si>
    <t>https://www.target.com/p/gatorade-g-zero-watermelon-splash-sports-drink-12pk-12-fl-oz-bottles/-/A-90912843#lnk=sametab</t>
  </si>
  <si>
    <t>https://target.scene7.com/is/image/Target/GUEST_0ca25a12-cb18-44df-951d-449ab10b764c?qlt=65&amp;fmt=webp&amp;hei=350&amp;wid=350</t>
  </si>
  <si>
    <t>Gatorade G Zero Watermelon Splash Sports Drink - 12pk/12 fl oz Bottles</t>
  </si>
  <si>
    <t>https://www.target.com/p/gatorade-gatorlyte-strawberry-kiwi-sports-drink-20-fl-oz-bottle/-/A-85756489#lnk=sametab</t>
  </si>
  <si>
    <t>https://target.scene7.com/is/image/Target/GUEST_ecb2cc33-d185-4bf0-99b7-0b740c7a4a51?qlt=65&amp;fmt=webp&amp;hei=350&amp;wid=350</t>
  </si>
  <si>
    <t>Gatorade Gatorlyte Strawberry Kiwi Sports Drink - 20 fl oz Bottle</t>
  </si>
  <si>
    <t>https://www.target.com/p/gatorade-glacier-freeze-sports-drink-28-fl-oz-bottle/-/A-84931993#lnk=sametab</t>
  </si>
  <si>
    <t>https://target.scene7.com/is/image/Target/GUEST_d83009e2-9146-480c-89c8-51b90ba1fba7?qlt=65&amp;fmt=webp&amp;hei=350&amp;wid=350</t>
  </si>
  <si>
    <t>Gatorade Glacier Freeze Sports Drink - 28 fl oz Bottle</t>
  </si>
  <si>
    <t>https://www.target.com/p/gatorade-gzero-glacier-freeze-sports-drink-mix-1-08oz/-/A-85559073#lnk=sametab</t>
  </si>
  <si>
    <t>https://target.scene7.com/is/image/Target/GUEST_8fe85496-43ca-4a78-9209-3ef9bd42e41c?qlt=65&amp;fmt=webp&amp;hei=350&amp;wid=350</t>
  </si>
  <si>
    <t>Gatorade GZERO Glacier Freeze Sports Drink Mix - 1.08oz</t>
  </si>
  <si>
    <t>https://www.target.com/p/gatorade-hydration-booster-tropical-mango-6pk-0-35oz-cans/-/A-93720274#lnk=sametab</t>
  </si>
  <si>
    <t>https://target.scene7.com/is/image/Target/GUEST_86d2e2b5-8e43-4f60-862f-094d0614b44e?qlt=65&amp;fmt=webp&amp;hei=350&amp;wid=350</t>
  </si>
  <si>
    <t>Gatorade Hydration Booster Tropical Mango - 6pk/0.35oz Cans</t>
  </si>
  <si>
    <t>https://www.target.com/p/gatorade-lemon-lime-sports-drink-12pk-12-fl-oz-bottles/-/A-13674085#lnk=sametab</t>
  </si>
  <si>
    <t>https://target.scene7.com/is/image/Target/GUEST_8cfb4c84-8c5f-4c66-ba80-3a3188267e40?qlt=65&amp;fmt=webp&amp;hei=350&amp;wid=350</t>
  </si>
  <si>
    <t>Gatorade Lemon Lime Sports Drink - 12pk/12 fl oz Bottles</t>
  </si>
  <si>
    <t>https://www.target.com/p/gatorade-lemon-lime-sports-drink-28-fl-oz-bottle/-/A-84931894#lnk=sametab</t>
  </si>
  <si>
    <t>https://target.scene7.com/is/image/Target/GUEST_7edd530a-85f5-4191-be7d-9bf4e98c25d9?qlt=65&amp;fmt=webp&amp;hei=350&amp;wid=350</t>
  </si>
  <si>
    <t>Gatorade Lemon Lime Sports Drink - 28 fl oz Bottle</t>
  </si>
  <si>
    <t>https://www.target.com/p/gatorade-lemon-lime-sports-drink-8pk-20-fl-oz-bottles/-/A-13674077#lnk=sametab</t>
  </si>
  <si>
    <t>https://target.scene7.com/is/image/Target/GUEST_fb4452b4-b340-4437-ad79-7d8414f56a23?qlt=65&amp;fmt=webp&amp;hei=350&amp;wid=350</t>
  </si>
  <si>
    <t>Gatorade Lemon Lime Sports Drink - 8pk/20 fl oz Bottles</t>
  </si>
  <si>
    <t>https://www.target.com/p/gatorade-lightning-blast-sports-drink-28-fl-oz-bottle/-/A-94601854#lnk=sametab</t>
  </si>
  <si>
    <t>https://target.scene7.com/is/image/Target/GUEST_cfcd7728-ed5c-41d1-9f98-9a26be774b41?qlt=65&amp;fmt=webp&amp;hei=350&amp;wid=350</t>
  </si>
  <si>
    <t>Gatorade Lightning blast Sports Drink - 28 fl oz Bottle</t>
  </si>
  <si>
    <t>https://www.target.com/p/gatorade-lime-cucumber-sports-drink-28-fl-oz-bottle/-/A-85321686#lnk=sametab</t>
  </si>
  <si>
    <t>https://target.scene7.com/is/image/Target/GUEST_67a9d0a7-a9e0-4d3a-b5c4-3f69b5d5676d?qlt=65&amp;fmt=webp&amp;hei=350&amp;wid=350</t>
  </si>
  <si>
    <t>Gatorade Lime Cucumber Sports Drink - 28 fl oz Bottle</t>
  </si>
  <si>
    <t>https://www.target.com/p/gatorade-mashup-fruit-punch-sports-drink-28-fl-oz-bottle/-/A-94601855#lnk=sametab</t>
  </si>
  <si>
    <t>https://target.scene7.com/is/image/Target/GUEST_ededf06b-643f-40d1-aae1-7f34665dccea?qlt=65&amp;fmt=webp&amp;hei=350&amp;wid=350</t>
  </si>
  <si>
    <t>Gatorade Mashup Fruit Punch Sports Drink - 28 fl oz Bottle</t>
  </si>
  <si>
    <t>https://www.target.com/p/gatorade-mashup-lemon-lime-sports-drink-28-fl-oz-bottle/-/A-94601856#lnk=sametab</t>
  </si>
  <si>
    <t>https://target.scene7.com/is/image/Target/GUEST_bd893a59-998c-479e-8d14-5d43cff227be?qlt=65&amp;fmt=webp&amp;hei=350&amp;wid=350</t>
  </si>
  <si>
    <t>Gatorade Mashup Lemon Lime Sports Drink - 28 fl oz Bottle</t>
  </si>
  <si>
    <t>https://www.target.com/p/gatorade-midnight-ice-sports-drink-28-fl-oz-bottle/-/A-94601853#lnk=sametab</t>
  </si>
  <si>
    <t>https://target.scene7.com/is/image/Target/GUEST_e4dd2b75-c558-4908-8496-ce06fabfa45a?qlt=65&amp;fmt=webp&amp;hei=350&amp;wid=350</t>
  </si>
  <si>
    <t>Gatorade Midnight Ice Sports Drink - 28 fl oz Bottle</t>
  </si>
  <si>
    <t>https://www.target.com/p/gatorade-mixed-flavors-sports-drink-18pk-12-fl-oz-bottles/-/A-15308539#lnk=sametab</t>
  </si>
  <si>
    <t>https://target.scene7.com/is/image/Target/GUEST_276b07fa-73d2-4caf-83a1-715c18b162c0?qlt=65&amp;fmt=webp&amp;hei=350&amp;wid=350</t>
  </si>
  <si>
    <t>Gatorade Mixed Flavors Sports Drink - 18pk/12 fl oz Bottles</t>
  </si>
  <si>
    <t>https://www.target.com/p/gatorade-orange-sports-drink-12pk-12-fl-oz-bottles/-/A-13674090#lnk=sametab</t>
  </si>
  <si>
    <t>https://target.scene7.com/is/image/Target/GUEST_57acc048-1d2b-425c-85ea-9feb68e69925?qlt=65&amp;fmt=webp&amp;hei=350&amp;wid=350</t>
  </si>
  <si>
    <t>Gatorade Orange Sports Drink - 12pk/12 fl oz Bottles</t>
  </si>
  <si>
    <t>https://www.target.com/p/gatorade-orange-sports-drink-28-fl-oz-bottle/-/A-84932034#lnk=sametab</t>
  </si>
  <si>
    <t>https://target.scene7.com/is/image/Target/GUEST_869d44f8-8e10-49d3-b90f-6ecfcb8522e0?qlt=65&amp;fmt=webp&amp;hei=350&amp;wid=350</t>
  </si>
  <si>
    <t>Gatorade Orange Sports Drink - 28 fl oz Bottle</t>
  </si>
  <si>
    <t>https://www.target.com/p/gatorade-orange-sports-drink-8pk-20-fl-oz-bottles/-/A-13674078#lnk=sametab</t>
  </si>
  <si>
    <t>https://target.scene7.com/is/image/Target/GUEST_b639301f-3603-47e5-bded-b799a8272676?qlt=65&amp;fmt=webp&amp;hei=350&amp;wid=350</t>
  </si>
  <si>
    <t>Gatorade Orange Sports Drink - 8pk/20 fl oz Bottles</t>
  </si>
  <si>
    <t>https://www.target.com/p/gatorade-squeeze-32oz-plastic-water-bottle-green/-/A-54548401#lnk=sametab</t>
  </si>
  <si>
    <t>https://target.scene7.com/is/image/Target/GUEST_726e2dbb-25b8-4514-84b9-ef68d0a97043?qlt=65&amp;fmt=webp&amp;hei=350&amp;wid=350</t>
  </si>
  <si>
    <t>Gatorade Squeeze 32oz Plastic Water Bottle - Green</t>
  </si>
  <si>
    <t>https://www.target.com/p/gatorade-zero-mixed-flavor-variety-pack-sports-drink-18pk-12-fl-oz-bottles/-/A-54358468#lnk=sametab</t>
  </si>
  <si>
    <t>https://target.scene7.com/is/image/Target/GUEST_f98047e1-70b1-4f24-8776-1844a5d58547?qlt=65&amp;fmt=webp&amp;hei=350&amp;wid=350</t>
  </si>
  <si>
    <t>Gatorade Zero Mixed Flavor Variety Pack Sports Drink - 18pk/12 fl oz Bottles</t>
  </si>
  <si>
    <t>https://www.target.com/p/cheerios-breakfast-cereal/-/A-88752573?preselect=88198922#lnk=sametab</t>
  </si>
  <si>
    <t>https://target.scene7.com/is/image/Target/GUEST_885959ff-97c6-4aff-8a1c-4ea12ba10886?qlt=65&amp;fmt=webp&amp;hei=350&amp;wid=350</t>
  </si>
  <si>
    <t>General Mills Cheerios - 10ct / 14.94lbs</t>
  </si>
  <si>
    <t>https://www.target.com/p/general-mills-cheerios-2-pack-20oz-each-breakfast-cereal/-/A-94483275#lnk=sametab</t>
  </si>
  <si>
    <t>https://target.scene7.com/is/image/Target/GUEST_f101cb1a-15f5-4eaa-ae10-f43100743942?qlt=65&amp;fmt=webp&amp;hei=350&amp;wid=350</t>
  </si>
  <si>
    <t>General Mills Cheerios 2 Pack/20oz Each Breakfast Cereal</t>
  </si>
  <si>
    <t>https://www.target.com/p/general-mills-cheerios-2-pack-27-2oz-each-honey-nut-breakfast-cereal/-/A-94629337#lnk=sametab</t>
  </si>
  <si>
    <t>https://target.scene7.com/is/image/Target/GUEST_3fed1ced-c157-463a-8f1d-dbe7746eb12c?qlt=65&amp;fmt=webp&amp;hei=350&amp;wid=350</t>
  </si>
  <si>
    <t>General Mills Cheerios 2 Pack/27.2oz Each Honey Nut Breakfast Cereal</t>
  </si>
  <si>
    <t>https://www.target.com/p/cheerios-breakfast-cereal/-/A-88752573?preselect=17088702#lnk=sametab</t>
  </si>
  <si>
    <t>https://target.scene7.com/is/image/Target/GUEST_a6ee6368-7c05-4b5d-a423-ac9e59f73af0?qlt=65&amp;fmt=webp&amp;hei=350&amp;wid=350</t>
  </si>
  <si>
    <t>General Mills Cheerios Breakfast Cereal - 20oz</t>
  </si>
  <si>
    <t>https://www.target.com/p/general-mills-cheerios-honey-nut-cereal/-/A-89089767?preselect=15773401#lnk=sametab</t>
  </si>
  <si>
    <t>https://target.scene7.com/is/image/Target/GUEST_d4a1c686-eb63-403c-9c6b-4fa7fe4993d6?qlt=65&amp;fmt=webp&amp;hei=350&amp;wid=350</t>
  </si>
  <si>
    <t>General Mills Cheerios Honey Nut Breakfast Cereal - 27.2oz</t>
  </si>
  <si>
    <t>https://www.target.com/p/general-mills-cheerios-oat-crunch-almond-cereal-24oz/-/A-81880222#lnk=sametab</t>
  </si>
  <si>
    <t>https://target.scene7.com/is/image/Target/GUEST_5938b85e-eb88-451e-99a2-35d3faeda13e?qlt=65&amp;fmt=webp&amp;hei=350&amp;wid=350</t>
  </si>
  <si>
    <t>General Mills Cheerios Oat Crunch Almond Cereal - 24oz</t>
  </si>
  <si>
    <t>https://www.target.com/p/general-mills-family-size-apple-cinnamon-cheerios-cereal-19oz/-/A-81877852#lnk=sametab</t>
  </si>
  <si>
    <t>https://target.scene7.com/is/image/Target/GUEST_f04869eb-deac-4dfc-9197-7e9a5b114288?qlt=65&amp;fmt=webp&amp;hei=350&amp;wid=350</t>
  </si>
  <si>
    <t>General Mills Family Size Apple Cinnamon Cheerios Cereal - 19oz</t>
  </si>
  <si>
    <t>https://www.target.com/p/cheerios-breakfast-cereal/-/A-88752573?preselect=81875238#lnk=sametab</t>
  </si>
  <si>
    <t>https://target.scene7.com/is/image/Target/GUEST_ffcee9b5-1264-40a5-a27d-6a09917ac341?qlt=65&amp;fmt=webp&amp;hei=350&amp;wid=350</t>
  </si>
  <si>
    <t>General Mills Family Size Cheerios Cereal - 18oz</t>
  </si>
  <si>
    <t>https://www.target.com/p/general-mills-family-size-cheerios-oat-crunch-cinnamon-cereal-24oz/-/A-81877833#lnk=sametab</t>
  </si>
  <si>
    <t>https://target.scene7.com/is/image/Target/GUEST_5bad77e3-db3e-403c-9202-89e5d98789b6?qlt=65&amp;fmt=webp&amp;hei=350&amp;wid=350</t>
  </si>
  <si>
    <t>General Mills Family Size Cheerios Oat Crunch Cinnamon Cereal - 24oz</t>
  </si>
  <si>
    <t>https://www.target.com/p/general-mills-family-size-cheerios-oat-crunch-oats-honey-cereal-24oz/-/A-81877842#lnk=sametab</t>
  </si>
  <si>
    <t>https://target.scene7.com/is/image/Target/GUEST_6c6e740e-176d-452d-b8d0-a8c3dcc379b3?qlt=65&amp;fmt=webp&amp;hei=350&amp;wid=350</t>
  </si>
  <si>
    <t>General Mills Family Size Cheerios Oat Crunch Oats Honey Cereal - 24oz</t>
  </si>
  <si>
    <t>https://www.target.com/p/general-mills-family-size-chocolate-cheerios-cereal-19-2oz/-/A-81878152#lnk=sametab</t>
  </si>
  <si>
    <t>https://target.scene7.com/is/image/Target/GUEST_c3efbf2b-c8f3-4b6e-bc37-2acf15870db3?qlt=65&amp;fmt=webp&amp;hei=350&amp;wid=350</t>
  </si>
  <si>
    <t>General Mills Family Size Chocolate Cheerios Cereal - 19.2oz</t>
  </si>
  <si>
    <t>https://www.target.com/p/general-mills-family-size-very-berry-cheerios-cereal-18-6oz/-/A-81877965#lnk=sametab</t>
  </si>
  <si>
    <t>https://target.scene7.com/is/image/Target/GUEST_b6a08db4-f9f4-49d9-8b4d-b15d615b1ead?qlt=65&amp;fmt=webp&amp;hei=350&amp;wid=350</t>
  </si>
  <si>
    <t>General Mills Family Size Very Berry Cheerios Cereal - 18.6oz</t>
  </si>
  <si>
    <t>https://www.target.com/p/general-mills-cheerios-honey-nut-cereal/-/A-89089767?preselect=14767378#lnk=sametab</t>
  </si>
  <si>
    <t>https://target.scene7.com/is/image/Target/GUEST_7b2aa247-756d-4b8b-9797-08156c4a6c44?qlt=65&amp;fmt=webp&amp;hei=350&amp;wid=350</t>
  </si>
  <si>
    <t>General Mills Honey Nut Cheerios Breakfast Cereal - 10.8oz</t>
  </si>
  <si>
    <t>https://www.target.com/p/general-mills-cheerios-honey-nut-cereal/-/A-89089767?preselect=81875234#lnk=sametab</t>
  </si>
  <si>
    <t>https://target.scene7.com/is/image/Target/GUEST_fecce186-557c-4736-b0a0-28e7735a3ea0?qlt=65&amp;fmt=webp&amp;hei=350&amp;wid=350</t>
  </si>
  <si>
    <t>General Mills Honey Nut Cheerios Breakfast Cereal - 18.8oz</t>
  </si>
  <si>
    <t>https://www.target.com/p/general-mills-multi-grain-cheerios-cereal-18oz/-/A-88749644?preselect=88198598#lnk=sametab</t>
  </si>
  <si>
    <t>https://target.scene7.com/is/image/Target/GUEST_39419fbd-554a-4407-9bcd-2d96bb8cb0f4?qlt=65&amp;fmt=webp&amp;hei=350&amp;wid=350</t>
  </si>
  <si>
    <t>General Mills Multi Grain Cheerios - 8ct / 12lb</t>
  </si>
  <si>
    <t>https://www.target.com/p/general-mills-multi-grain-cheerios-cereal-18oz/-/A-88749644?preselect=81875320#lnk=sametab</t>
  </si>
  <si>
    <t>https://target.scene7.com/is/image/Target/GUEST_5dcc5360-c9a2-4d37-b048-dcec8916e28f?qlt=65&amp;fmt=webp&amp;hei=350&amp;wid=350</t>
  </si>
  <si>
    <t>General Mills Multi Grain Cheerios Cereal - 18oz</t>
  </si>
  <si>
    <t>https://www.target.com/p/goya-black-beans-15-5oz/-/A-14771988#lnk=sametab</t>
  </si>
  <si>
    <t>https://target.scene7.com/is/image/Target/GUEST_933e7d11-250e-490c-84f3-2040a173325c?qlt=65&amp;fmt=webp&amp;hei=350&amp;wid=350</t>
  </si>
  <si>
    <t>Goya Black Beans - 15.5oz</t>
  </si>
  <si>
    <t>https://www.target.com/p/goya-black-beans-29oz/-/A-47111945#lnk=sametab</t>
  </si>
  <si>
    <t>https://target.scene7.com/is/image/Target/GUEST_86eab95b-a218-4f91-a1e9-3292fb8d3794?qlt=65&amp;fmt=webp&amp;hei=350&amp;wid=350</t>
  </si>
  <si>
    <t>Goya Black Beans - 29oz</t>
  </si>
  <si>
    <t>https://www.target.com/p/goya-black-beans-15-5oz/-/A-14767745#lnk=sametab</t>
  </si>
  <si>
    <t>https://target.scene7.com/is/image/Target/GUEST_2506569e-e6ba-4ae5-b987-a27dd6347a30?qlt=65&amp;fmt=webp&amp;hei=350&amp;wid=350</t>
  </si>
  <si>
    <t>Goya Black Beans 15.5oz</t>
  </si>
  <si>
    <t>https://www.target.com/p/goya-black-beans-16oz/-/A-14771535#lnk=sametab</t>
  </si>
  <si>
    <t>https://target.scene7.com/is/image/Target/GUEST_42635e96-ec80-4b6b-b543-70dc28f8e41a?qlt=65&amp;fmt=webp&amp;hei=350&amp;wid=350</t>
  </si>
  <si>
    <t>Goya Black Beans 16oz</t>
  </si>
  <si>
    <t>https://www.target.com/p/goya-canilla-enriched-extra-long-grain-white-rice/-/A-89229574?preselect=14771514#lnk=sametab</t>
  </si>
  <si>
    <t>https://target.scene7.com/is/image/Target/GUEST_e338c275-7475-416c-ad2e-fd365fba35d2?qlt=65&amp;fmt=webp&amp;hei=350&amp;wid=350</t>
  </si>
  <si>
    <t>Goya Canilla Enriched Extra Long Grain White Rice - 5lbs</t>
  </si>
  <si>
    <t>https://www.target.com/p/goya-chick-peas-15-5oz/-/A-14771789#lnk=sametab</t>
  </si>
  <si>
    <t>https://target.scene7.com/is/image/Target/GUEST_aab59635-53ff-4f74-a8b0-603021196498?qlt=65&amp;fmt=webp&amp;hei=350&amp;wid=350</t>
  </si>
  <si>
    <t>Goya Chick Peas 15.5oz</t>
  </si>
  <si>
    <t>https://www.target.com/p/goya-chorizos-3-5oz/-/A-47112125#lnk=sametab</t>
  </si>
  <si>
    <t>https://target.scene7.com/is/image/Target/GUEST_e5baf9e7-4476-402a-9c59-304dfa87c676?qlt=65&amp;fmt=webp&amp;hei=350&amp;wid=350</t>
  </si>
  <si>
    <t>Goya Chorizos - 3.5oz</t>
  </si>
  <si>
    <t>https://www.target.com/p/goya-cocktail-olives-spanish-olives-5-5oz/-/A-47112561#lnk=sametab</t>
  </si>
  <si>
    <t>https://target.scene7.com/is/image/Target/GUEST_ca248947-8f9d-45ec-bd29-691b248f7bfc?qlt=65&amp;fmt=webp&amp;hei=350&amp;wid=350</t>
  </si>
  <si>
    <t>Goya Cocktail Olives Spanish Olives - 5.5oz</t>
  </si>
  <si>
    <t>https://www.target.com/p/goya-coriander-38-annatto-seasoning-3-52oz/-/A-15085549#lnk=sametab</t>
  </si>
  <si>
    <t>https://target.scene7.com/is/image/Target/GUEST_73667123-d5f8-4f0e-97cf-61259e220056?qlt=65&amp;fmt=webp&amp;hei=350&amp;wid=350</t>
  </si>
  <si>
    <t>Goya Coriander &amp; Annatto Seasoning 3.52oz</t>
  </si>
  <si>
    <t>https://www.target.com/p/goya-garlic-lightly-salted-plantain-chips-5oz/-/A-52758788#lnk=sametab</t>
  </si>
  <si>
    <t>https://target.scene7.com/is/image/Target/GUEST_50b58dd1-4757-415f-b28a-5885b84d11c8?qlt=65&amp;fmt=webp&amp;hei=350&amp;wid=350</t>
  </si>
  <si>
    <t>Goya Garlic Lightly Salted Plantain Chips - 5oz</t>
  </si>
  <si>
    <t>https://www.target.com/p/goya-great-northern-beans-case-of-24-15-5-oz/-/A-90059484#lnk=sametab</t>
  </si>
  <si>
    <t>https://target.scene7.com/is/image/Target/GUEST_c49de85d-0353-493a-8bff-bdb8d4fab23f?qlt=65&amp;fmt=webp&amp;hei=350&amp;wid=350</t>
  </si>
  <si>
    <t>Goya Great Northern Beans - Case of 24/15.5 oz</t>
  </si>
  <si>
    <t>https://www.target.com/p/goya-green-pigeon-peas-15oz/-/A-14771986#lnk=sametab</t>
  </si>
  <si>
    <t>https://target.scene7.com/is/image/Target/GUEST_3e519812-e3a3-49a9-a208-a3280345ca72?qlt=65&amp;fmt=webp&amp;hei=350&amp;wid=350</t>
  </si>
  <si>
    <t>Goya Green Pigeon Peas - 15oz</t>
  </si>
  <si>
    <t>https://www.target.com/p/goya-ham-flavored-concentrate-1-41oz/-/A-16677722#lnk=sametab</t>
  </si>
  <si>
    <t>https://target.scene7.com/is/image/Target/GUEST_e97ef545-ab19-45e8-9a51-a42ea028b09a?qlt=65&amp;fmt=webp&amp;hei=350&amp;wid=350</t>
  </si>
  <si>
    <t>Goya Ham Flavored Concentrate - 1.41oz</t>
  </si>
  <si>
    <t>https://www.target.com/p/goya-iodized-salt-26oz/-/A-54635267#lnk=sametab</t>
  </si>
  <si>
    <t>https://target.scene7.com/is/image/Target/GUEST_451ac4b0-da1e-421f-8bb0-0c0459510f84?qlt=65&amp;fmt=webp&amp;hei=350&amp;wid=350</t>
  </si>
  <si>
    <t>Goya Iodized Salt - 26oz</t>
  </si>
  <si>
    <t>https://www.target.com/p/goya-lentils-16oz/-/A-14768861#lnk=sametab</t>
  </si>
  <si>
    <t>https://target.scene7.com/is/image/Target/GUEST_cb052fde-c7c2-4d1f-8d2a-593e1165ae20?qlt=65&amp;fmt=webp&amp;hei=350&amp;wid=350</t>
  </si>
  <si>
    <t>Goya Lentils - 16oz</t>
  </si>
  <si>
    <t>https://www.target.com/p/goya-low-sodium-yellow-rice-mix-8oz/-/A-15370698#lnk=sametab</t>
  </si>
  <si>
    <t>https://target.scene7.com/is/image/Target/GUEST_de7005e1-3343-477e-9310-b1d9a6debece?qlt=65&amp;fmt=webp&amp;hei=350&amp;wid=350</t>
  </si>
  <si>
    <t>Goya Low Sodium Yellow Rice Mix - 8oz</t>
  </si>
  <si>
    <t>https://www.target.com/p/goya-mariquitas-lime-barrels-chips-20oz/-/A-94431170#lnk=sametab</t>
  </si>
  <si>
    <t>https://target.scene7.com/is/image/Target/GUEST_24664060-cea8-440f-aa3d-b6d1f64f1e0d?qlt=65&amp;fmt=webp&amp;hei=350&amp;wid=350</t>
  </si>
  <si>
    <t>Goya Mariquitas Lime Barrels Chips - 20oz</t>
  </si>
  <si>
    <t>https://www.target.com/p/goya-minced-garlic-4-5oz/-/A-14897875#lnk=sametab</t>
  </si>
  <si>
    <t>https://target.scene7.com/is/image/Target/GUEST_b93746c5-9f75-4fca-9d73-9e7b8f9bb99c?qlt=65&amp;fmt=webp&amp;hei=350&amp;wid=350</t>
  </si>
  <si>
    <t>Goya Minced Garlic 4.5oz</t>
  </si>
  <si>
    <t>https://www.target.com/p/goya-pinto-beans-15-5oz/-/A-14769439#lnk=sametab</t>
  </si>
  <si>
    <t>https://target.scene7.com/is/image/Target/GUEST_60fab4d6-7d96-4405-86d6-484657043a99?qlt=65&amp;fmt=webp&amp;hei=350&amp;wid=350</t>
  </si>
  <si>
    <t>Goya Pinto Beans - 15.5oz</t>
  </si>
  <si>
    <t>https://www.target.com/p/goya-pinto-beans-29oz/-/A-50329086#lnk=sametab</t>
  </si>
  <si>
    <t>https://target.scene7.com/is/image/Target/GUEST_e6a99639-d4a1-4aaa-a176-619e42a81898?qlt=65&amp;fmt=webp&amp;hei=350&amp;wid=350</t>
  </si>
  <si>
    <t>Goya Pinto Beans - 29oz</t>
  </si>
  <si>
    <t>https://www.target.com/p/goya-pinto-beans-1-lbs/-/A-14771982#lnk=sametab</t>
  </si>
  <si>
    <t>https://target.scene7.com/is/image/Target/GUEST_fa38c0e2-0e78-4b0b-a389-a1c89fdd43f2?qlt=65&amp;fmt=webp&amp;hei=350&amp;wid=350</t>
  </si>
  <si>
    <t>Goya Pinto Beans 1 lbs</t>
  </si>
  <si>
    <t>https://www.target.com/p/goya-powdered-chicken-bouillon-2-82oz/-/A-14771791#lnk=sametab</t>
  </si>
  <si>
    <t>https://target.scene7.com/is/image/Target/GUEST_0789c70a-366c-4387-ab2b-26348aa3f219?qlt=65&amp;fmt=webp&amp;hei=350&amp;wid=350</t>
  </si>
  <si>
    <t>Goya Powdered Chicken Bouillon - 2.82oz</t>
  </si>
  <si>
    <t>https://www.target.com/p/goya-red-kidney-beans-15-5oz/-/A-47112555#lnk=sametab</t>
  </si>
  <si>
    <t>https://target.scene7.com/is/image/Target/GUEST_088307e3-7335-40df-8912-cd1a22071b6c?qlt=65&amp;fmt=webp&amp;hei=350&amp;wid=350</t>
  </si>
  <si>
    <t>Goya Red Kidney Beans - 15.5oz</t>
  </si>
  <si>
    <t>https://www.target.com/p/goya-red-kidney-beans-15-5oz/-/A-14771989#lnk=sametab</t>
  </si>
  <si>
    <t>https://target.scene7.com/is/image/Target/GUEST_a1c88ad4-3de0-4422-ac74-46527415c40d?qlt=65&amp;fmt=webp&amp;hei=350&amp;wid=350</t>
  </si>
  <si>
    <t>Goya Red Kidney Beans 15.5oz</t>
  </si>
  <si>
    <t>https://www.target.com/p/goya-sardines-in-tomato-sauce-15oz/-/A-47112283#lnk=sametab</t>
  </si>
  <si>
    <t>https://target.scene7.com/is/image/Target/GUEST_29888d78-501c-4d83-97f2-5d2c1192ac9b?qlt=65&amp;fmt=webp&amp;hei=350&amp;wid=350</t>
  </si>
  <si>
    <t>Goya Sardines in Tomato Sauce - 15oz</t>
  </si>
  <si>
    <t>https://www.target.com/p/goya-sazon-con-azafran-1-41oz/-/A-14907348#lnk=sametab</t>
  </si>
  <si>
    <t>https://target.scene7.com/is/image/Target/GUEST_dbb6d075-5d86-4227-bc78-f2e572eacb8c?qlt=65&amp;fmt=webp&amp;hei=350&amp;wid=350</t>
  </si>
  <si>
    <t>Goya Sazon con Azafran 1.41oz</t>
  </si>
  <si>
    <t>https://www.target.com/p/goya-sazon-culantro-y-achiote-1-41oz/-/A-14771559#lnk=sametab</t>
  </si>
  <si>
    <t>https://target.scene7.com/is/image/Target/GUEST_1ef8ccc2-666b-4a86-baaf-164f957943a8?qlt=65&amp;fmt=webp&amp;hei=350&amp;wid=350</t>
  </si>
  <si>
    <t>Goya Sazon Culantro y Achiote 1.41oz</t>
  </si>
  <si>
    <t>https://www.target.com/p/goya-sliced-pimientos-4oz/-/A-47087769#lnk=sametab</t>
  </si>
  <si>
    <t>https://target.scene7.com/is/image/Target/GUEST_c16f7d21-d278-49fd-91c8-4105685c5de1?qlt=65&amp;fmt=webp&amp;hei=350&amp;wid=350</t>
  </si>
  <si>
    <t>Goya Sliced Pimientos - 4oz</t>
  </si>
  <si>
    <t>https://www.target.com/p/goya-spanish-style-yellow-rice-mix-7oz/-/A-14771790#lnk=sametab</t>
  </si>
  <si>
    <t>https://target.scene7.com/is/image/Target/GUEST_3d4365d2-e814-4c1e-8740-426320c2e5b4?qlt=65&amp;fmt=webp&amp;hei=350&amp;wid=350</t>
  </si>
  <si>
    <t>Goya Spanish Style Yellow Rice Mix - 7oz</t>
  </si>
  <si>
    <t>https://www.target.com/p/goya-stuffed-olives-9-5oz/-/A-16677723#lnk=sametab</t>
  </si>
  <si>
    <t>https://target.scene7.com/is/image/Target/GUEST_d63d6438-76ca-4ee1-93f5-a5fbb5639af9?qlt=65&amp;fmt=webp&amp;hei=350&amp;wid=350</t>
  </si>
  <si>
    <t>Goya Stuffed Olives 9.5oz</t>
  </si>
  <si>
    <t>https://www.target.com/p/goya-tomato-sauce-8oz/-/A-14907297#lnk=sametab</t>
  </si>
  <si>
    <t>https://target.scene7.com/is/image/Target/GUEST_fa326bae-e8fe-487d-8ce6-30b363aaf78f?qlt=65&amp;fmt=webp&amp;hei=350&amp;wid=350</t>
  </si>
  <si>
    <t>Goya Tomato Sauce 8oz</t>
  </si>
  <si>
    <t>https://www.target.com/p/hershey-chocolate-full-size-variety-pack-45oz-30ct/-/A-87944287#lnk=sametab</t>
  </si>
  <si>
    <t>https://target.scene7.com/is/image/Target/GUEST_ea9b1abf-173d-40d5-a950-fbbf00624838?qlt=65&amp;fmt=webp&amp;hei=350&amp;wid=350</t>
  </si>
  <si>
    <t>Hershey's Chocolate Full Size Variety Pack - 45oz/30ct</t>
  </si>
  <si>
    <t>https://www.target.com/p/hershey-39-s-cookies-39-n-39-creme-candy-bar-1-55oz/-/A-13347555#lnk=sametab</t>
  </si>
  <si>
    <t>https://target.scene7.com/is/image/Target/GUEST_12966fe6-f2b0-4f0c-89bc-f626b0c894a1?qlt=65&amp;fmt=webp&amp;hei=350&amp;wid=350</t>
  </si>
  <si>
    <t>Hershey's Cookies 'N' Creme Candy Bar - 1.55oz</t>
  </si>
  <si>
    <t>https://www.target.com/p/hershey-39-s-milk-chocolate-candy-bar-1-55oz/-/A-13347750#lnk=sametab</t>
  </si>
  <si>
    <t>https://target.scene7.com/is/image/Target/GUEST_c29279a5-b0bf-4126-83fb-a894bd61cd71?qlt=65&amp;fmt=webp&amp;hei=350&amp;wid=350</t>
  </si>
  <si>
    <t>Hershey's Milk Chocolate Candy Bar - 1.55oz</t>
  </si>
  <si>
    <t>https://www.target.com/p/hershey-39-s-milk-chocolate-candy-bar-6ct/-/A-13347732#lnk=sametab</t>
  </si>
  <si>
    <t>https://target.scene7.com/is/image/Target/GUEST_561d75ef-a8c5-4563-9184-cc099a72f7d1?qlt=65&amp;fmt=webp&amp;hei=350&amp;wid=350</t>
  </si>
  <si>
    <t>Hershey's Milk Chocolate Candy Bar - 6ct</t>
  </si>
  <si>
    <t>https://www.target.com/p/hershey-39-s-milk-chocolate-candy-bar-with-almonds-4-25oz/-/A-13347719#lnk=sametab</t>
  </si>
  <si>
    <t>https://target.scene7.com/is/image/Target/GUEST_505d7c5b-606a-49d1-aa30-5cc74f177a5c?qlt=65&amp;fmt=webp&amp;hei=350&amp;wid=350</t>
  </si>
  <si>
    <t>Hershey's Milk Chocolate Candy Bar with Almonds - 4.25oz</t>
  </si>
  <si>
    <t>https://www.target.com/p/hershey-39-s-milk-chocolate-candy-bar-xl-4-4oz/-/A-13347721#lnk=sametab</t>
  </si>
  <si>
    <t>https://target.scene7.com/is/image/Target/GUEST_3736a5e9-c342-4bc7-8772-1aa38651baa6?qlt=65&amp;fmt=webp&amp;hei=350&amp;wid=350</t>
  </si>
  <si>
    <t>Hershey's Milk Chocolate Candy Bar XL - 4.4oz</t>
  </si>
  <si>
    <t>https://www.target.com/p/hershey-39-s-milk-chocolate-family-giant-candy-bar-7-56oz/-/A-80316575#lnk=sametab</t>
  </si>
  <si>
    <t>https://target.scene7.com/is/image/Target/GUEST_abb23628-3a6d-4c04-9aed-3c20f2394c82?qlt=65&amp;fmt=webp&amp;hei=350&amp;wid=350</t>
  </si>
  <si>
    <t>Hershey's Milk Chocolate Family Giant Candy Bar - 7.56oz</t>
  </si>
  <si>
    <t>https://www.target.com/p/hershey-39-s-s-39-mores-3-ingredient-kit-box-14oz/-/A-93246365#lnk=sametab</t>
  </si>
  <si>
    <t>https://target.scene7.com/is/image/Target/GUEST_7abffcb8-57ca-4b01-81cf-5966ea6968f7?qlt=65&amp;fmt=webp&amp;hei=350&amp;wid=350</t>
  </si>
  <si>
    <t>Hershey's Milk Chocolate S'mores Kit 3 Ingredient Box - 14oz</t>
  </si>
  <si>
    <t>https://www.target.com/p/hershey-39-s-milk-chocolate-snack-size-bars-1-8oz-4pk/-/A-94152227#lnk=sametab</t>
  </si>
  <si>
    <t>https://target.scene7.com/is/image/Target/GUEST_d87f3a6a-b52e-4338-b8c4-b2808a82fb30?qlt=65&amp;fmt=webp&amp;hei=350&amp;wid=350</t>
  </si>
  <si>
    <t>Hershey's Milk Chocolate Snack Size Candy Bars - 1.8oz/4ct</t>
  </si>
  <si>
    <t>https://www.target.com/p/hershey-39-s-milk-chocolate-snack-size-bar-5-4oz-12ct/-/A-94052150#lnk=sametab</t>
  </si>
  <si>
    <t>https://target.scene7.com/is/image/Target/GUEST_1f7a28c6-9d97-4fbb-8cdc-fbc9136e287d?qlt=65&amp;fmt=webp&amp;hei=350&amp;wid=350</t>
  </si>
  <si>
    <t>Hershey's Milk Chocolate Snack Size Candy Bars - 5.4oz/12ct</t>
  </si>
  <si>
    <t>https://www.target.com/p/hershey-39-s-milk-chocolate-with-almonds-candy-bar-1-45oz/-/A-13346909#lnk=sametab</t>
  </si>
  <si>
    <t>https://target.scene7.com/is/image/Target/GUEST_69309720-8f3b-4a95-b1f6-3a91b86067e5?qlt=65&amp;fmt=webp&amp;hei=350&amp;wid=350</t>
  </si>
  <si>
    <t>Hershey's Milk Chocolate with Almonds Candy Bar - 1.45oz</t>
  </si>
  <si>
    <t>https://www.target.com/p/hershey-39-s-milk-chocolate-with-almonds-candy-bars-6ct/-/A-13347723#lnk=sametab</t>
  </si>
  <si>
    <t>https://target.scene7.com/is/image/Target/GUEST_4b174fe5-7dfc-42d8-87ad-a8a09e2c6849?qlt=65&amp;fmt=webp&amp;hei=350&amp;wid=350</t>
  </si>
  <si>
    <t>Hershey's Milk Chocolate with Almonds Candy Bars - 6ct</t>
  </si>
  <si>
    <t>https://www.target.com/p/hershey-39-s-limited-edition-milk-chocolate-with-caramel-standard-bar-8-4oz-6ct/-/A-94052542#lnk=sametab</t>
  </si>
  <si>
    <t>https://target.scene7.com/is/image/Target/GUEST_64c1e415-afc8-469c-bc5c-eb6e5940e8ad?qlt=65&amp;fmt=webp&amp;hei=350&amp;wid=350</t>
  </si>
  <si>
    <t>Hershey's Milk Chocolate with Caramel candy Bars - 8.4oz/6ct</t>
  </si>
  <si>
    <t>https://www.target.com/p/hershey-39-s-milklicious-milk-chocolate-bar-candy-1-4oz/-/A-90791919#lnk=sametab</t>
  </si>
  <si>
    <t>https://target.scene7.com/is/image/Target/GUEST_d410ea53-47b0-41bd-bb76-4670717a0ea8?qlt=65&amp;fmt=webp&amp;hei=350&amp;wid=350</t>
  </si>
  <si>
    <t>Hershey's Milklicious Milk Chocolate Bar Candy - 1.4oz</t>
  </si>
  <si>
    <t>https://www.target.com/p/hershey-39-s-plant-based-almond-38-sea-salt-oat-chocolate-candy-1-55oz/-/A-82785970#lnk=sametab</t>
  </si>
  <si>
    <t>https://target.scene7.com/is/image/Target/GUEST_16626b7f-2ea7-458d-a8e4-be775d05dfcb?qlt=65&amp;fmt=webp&amp;hei=350&amp;wid=350</t>
  </si>
  <si>
    <t>Hershey's Plant Based Almond &amp; Sea Salt Oat Chocolate Candy - 1.55oz</t>
  </si>
  <si>
    <t>https://www.target.com/p/hershey-39-s-snack-size-cookies-39-n-39-creme-bars-34-2oz-2ct/-/A-87945202#lnk=sametab</t>
  </si>
  <si>
    <t>https://target.scene7.com/is/image/Target/GUEST_a751c8ba-0e96-46a4-8e88-8c431b00353d?qlt=65&amp;fmt=webp&amp;hei=350&amp;wid=350</t>
  </si>
  <si>
    <t>Hershey's Snack Size Cookies 'N' Creme Bars - 34.2oz/2ct</t>
  </si>
  <si>
    <t>https://www.target.com/p/hershey-39-s-snack-size-milk-chocolate-bars-19-8oz/-/A-87918829#lnk=sametab</t>
  </si>
  <si>
    <t>https://target.scene7.com/is/image/Target/GUEST_9467a20e-4316-4ff5-8e06-d1de7b065049?qlt=65&amp;fmt=webp&amp;hei=350&amp;wid=350</t>
  </si>
  <si>
    <t>Hershey's Snack Size Milk Chocolate Bars - 19.8oz</t>
  </si>
  <si>
    <t>https://www.target.com/p/hillshire-farm-beef-lit-39-l-smokies-smoked-sausage-12oz/-/A-14871912#lnk=sametab</t>
  </si>
  <si>
    <t>https://target.scene7.com/is/image/Target/GUEST_611d39b4-952f-45ef-9b19-0b9cb1f15dfc?qlt=65&amp;fmt=webp&amp;hei=350&amp;wid=350</t>
  </si>
  <si>
    <t>Hillshire Farm Beef Lit'l Smokies Smoked Sausage - 12oz</t>
  </si>
  <si>
    <t>https://www.target.com/p/hillshire-farm-black-forest-ham-9oz/-/A-53196850#lnk=sametab</t>
  </si>
  <si>
    <t>https://target.scene7.com/is/image/Target/GUEST_8ffde6d8-8a8a-454a-8f6e-f7ca3b6d125a?qlt=65&amp;fmt=webp&amp;hei=350&amp;wid=350</t>
  </si>
  <si>
    <t>Hillshire Farm Black Forest Ham - 9oz</t>
  </si>
  <si>
    <t>https://www.target.com/p/hillshire-farm-lit-39-l-smokies-smoked-sausage-14oz/-/A-14856530#lnk=sametab</t>
  </si>
  <si>
    <t>https://target.scene7.com/is/image/Target/GUEST_95236f46-36f8-4aca-a601-4c1db636ede7?qlt=65&amp;fmt=webp&amp;hei=350&amp;wid=350</t>
  </si>
  <si>
    <t>Hillshire Farm Lit'l Smokies Smoked Sausage - 14oz</t>
  </si>
  <si>
    <t>https://www.target.com/p/hillshire-farm-snack-kits-ham-38-monterey-jack-2-76oz/-/A-88745103#lnk=sametab</t>
  </si>
  <si>
    <t>https://target.scene7.com/is/image/Target/GUEST_00e5a498-c530-4ffc-809c-dd7ee71b5e30?qlt=65&amp;fmt=webp&amp;hei=350&amp;wid=350</t>
  </si>
  <si>
    <t>Hillshire Farm Snack Kits Ham &amp; Monterey Jack - 2.76oz</t>
  </si>
  <si>
    <t>https://www.target.com/p/hillshire-farm-snack-kits-honey-turkey-38-colby-jack-2-76oz/-/A-88745104#lnk=sametab</t>
  </si>
  <si>
    <t>https://target.scene7.com/is/image/Target/GUEST_16aaa097-2399-4983-8732-a7e2ecb2d316?qlt=65&amp;fmt=webp&amp;hei=350&amp;wid=350</t>
  </si>
  <si>
    <t>Hillshire Farm Snack Kits Honey Turkey &amp; Colby Jack - 2.76oz</t>
  </si>
  <si>
    <t>https://www.target.com/p/hillshire-farm-snack-kits-turkey-38-cheddar-2-76oz/-/A-88745102#lnk=sametab</t>
  </si>
  <si>
    <t>https://target.scene7.com/is/image/Target/GUEST_32a8e043-a70c-487d-aecb-1d77e9a898b9?qlt=65&amp;fmt=webp&amp;hei=350&amp;wid=350</t>
  </si>
  <si>
    <t>Hillshire Farm Snack Kits Turkey &amp; Cheddar - 2.76oz</t>
  </si>
  <si>
    <t>https://www.target.com/p/hillshire-farm-snacking-bistro-bites-with-genoa-salami-gouda-38-salted-almonds-2-8oz/-/A-78829179#lnk=sametab</t>
  </si>
  <si>
    <t>https://target.scene7.com/is/image/Target/GUEST_a416a06a-de53-4c1e-85f7-a37de7304620?qlt=65&amp;fmt=webp&amp;hei=350&amp;wid=350</t>
  </si>
  <si>
    <t>Hillshire Farm Snacking Bistro Bites with Genoa Salami, Gouda &amp; Salted Almonds - 2.8oz</t>
  </si>
  <si>
    <t>https://www.target.com/p/hillshire-farm-snacking-bistro-bites-with-italian-dry-salami-white-cheddar-38-chocolate-almonds-2-8oz/-/A-78829180#lnk=sametab</t>
  </si>
  <si>
    <t>https://target.scene7.com/is/image/Target/GUEST_91adc098-eeaf-4fd4-a0c9-ff2c86e0960f?qlt=65&amp;fmt=webp&amp;hei=350&amp;wid=350</t>
  </si>
  <si>
    <t>Hillshire Farm Snacking Bistro Bites with Italian Dry Salami, White Cheddar &amp; Chocolate Almonds - 2.8oz</t>
  </si>
  <si>
    <t>https://www.target.com/p/hillshire-farm-snacking-bistro-bites-with-pepperoni-monterey-jack-walnut-38-cocoa-coated-almond-mix-2-8oz/-/A-78829181#lnk=sametab</t>
  </si>
  <si>
    <t>https://target.scene7.com/is/image/Target/GUEST_dd8528ec-1c1b-4c46-94b3-93d943771e9f?qlt=65&amp;fmt=webp&amp;hei=350&amp;wid=350</t>
  </si>
  <si>
    <t>Hillshire Farm Snacking Bistro Bites with Pepperoni, Monterey Jack, Walnut &amp; Cocoa-Coated Almond Mix - 2.8oz</t>
  </si>
  <si>
    <t>https://www.target.com/p/hillshire-farm-ultra-thin-honey-ham-16oz/-/A-79834372#lnk=sametab</t>
  </si>
  <si>
    <t>https://target.scene7.com/is/image/Target/GUEST_c7fb7031-1c43-4792-a527-2c0d34b49765?qlt=65&amp;fmt=webp&amp;hei=350&amp;wid=350</t>
  </si>
  <si>
    <t>Hillshire Farm Ultra Thin Honey Ham - 16oz</t>
  </si>
  <si>
    <t>https://www.target.com/p/hillshire-farm-ultra-thin-honey-roasted-turkey-breast-9oz/-/A-13378941#lnk=sametab</t>
  </si>
  <si>
    <t>https://target.scene7.com/is/image/Target/GUEST_0b271787-d521-4093-90b4-35c946db7258?qlt=65&amp;fmt=webp&amp;hei=350&amp;wid=350</t>
  </si>
  <si>
    <t>Hillshire Farm Ultra Thin Honey Roasted Turkey Breast - 9oz</t>
  </si>
  <si>
    <t>https://www.target.com/p/hillshire-farm-ultra-thin-honey-roasted-turkey-breast-38-smoked-ham-variety-pack-16oz/-/A-84666914#lnk=sametab</t>
  </si>
  <si>
    <t>https://target.scene7.com/is/image/Target/GUEST_319db3e7-ec0c-4069-b500-7957418de0df?qlt=65&amp;fmt=webp&amp;hei=350&amp;wid=350</t>
  </si>
  <si>
    <t>Hillshire Farm Ultra Thin Honey Roasted Turkey Breast &amp; Smoked Ham Variety Pack - 16oz</t>
  </si>
  <si>
    <t>https://www.target.com/p/hillshire-farm-ultra-thin-oven-roasted-turkey-16oz/-/A-79834371#lnk=sametab</t>
  </si>
  <si>
    <t>https://target.scene7.com/is/image/Target/GUEST_0e34adf9-a56f-4edf-9527-41f8dc7b7d6a?qlt=65&amp;fmt=webp&amp;hei=350&amp;wid=350</t>
  </si>
  <si>
    <t>Hillshire Farm Ultra Thin Oven Roasted Turkey - 16oz</t>
  </si>
  <si>
    <t>https://www.target.com/p/hillshire-farms-pepperoni-garlic-38-herb-dip-with-toasted-rounds-2-25oz/-/A-93355009#lnk=sametab</t>
  </si>
  <si>
    <t>https://target.scene7.com/is/image/Target/GUEST_34e6ae27-4e2e-481d-b32c-aa185451f5aa?qlt=65&amp;fmt=webp&amp;hei=350&amp;wid=350</t>
  </si>
  <si>
    <t>Hillshire Farms Pepperoni, Garlic &amp; Herb Dip with Toasted Rounds - 2.25oz</t>
  </si>
  <si>
    <t>https://www.target.com/p/hillshire-farms-pepperoni-mozzarella-38-tomato-dip-with-toasted-rounds-2-25oz/-/A-93355010#lnk=sametab</t>
  </si>
  <si>
    <t>https://target.scene7.com/is/image/Target/GUEST_36c9333c-b741-4f64-ae6e-b04537fa7c51?qlt=65&amp;fmt=webp&amp;hei=350&amp;wid=350</t>
  </si>
  <si>
    <t>Hillshire Farms Pepperoni, Mozzarella &amp; Tomato Dip with Toasted Rounds - 2.25oz</t>
  </si>
  <si>
    <t>https://www.target.com/p/hillshire-farms-pepperoni-red-pepper-38-italian-herbs-dip-with-toasted-rounds-2-25oz/-/A-93355011#lnk=sametab</t>
  </si>
  <si>
    <t>https://target.scene7.com/is/image/Target/GUEST_fe86038f-32c3-4ce2-bd91-04675ff43be7?qlt=65&amp;fmt=webp&amp;hei=350&amp;wid=350</t>
  </si>
  <si>
    <t>Hillshire Farms Pepperoni, Red Pepper &amp; Italian Herbs Dip with Toasted Rounds - 2.25oz</t>
  </si>
  <si>
    <t>https://www.target.com/p/hillshire-farms-ultra-thin-deli-select-honey-ham-9oz/-/A-13378943#lnk=sametab</t>
  </si>
  <si>
    <t>https://target.scene7.com/is/image/Target/GUEST_ec8d07b6-f981-4176-837f-ae4913e42e2e?qlt=65&amp;fmt=webp&amp;hei=350&amp;wid=350</t>
  </si>
  <si>
    <t>Hillshire Farms Ultra Thin Deli Select Honey Ham - 9oz</t>
  </si>
  <si>
    <t>https://www.target.com/p/hillshire-farms-ultra-thin-oven-roasted-turkey-breast-9oz/-/A-13379067#lnk=sametab</t>
  </si>
  <si>
    <t>https://target.scene7.com/is/image/Target/GUEST_8c518d8d-f2cb-439a-bb10-6aebf327ebf5?qlt=65&amp;fmt=webp&amp;hei=350&amp;wid=350</t>
  </si>
  <si>
    <t>Hillshire Farms Ultra Thin Oven Roasted Turkey Breast - 9oz</t>
  </si>
  <si>
    <t>https://www.target.com/p/honey-nut-cheerios-family-size-cereal-263-2oz-14ct/-/A-91829128#lnk=sametab</t>
  </si>
  <si>
    <t>https://target.scene7.com/is/image/Target/GUEST_d6cb3eea-aa53-4cf0-aab6-e7f9bae88bad?qlt=65&amp;fmt=webp&amp;hei=350&amp;wid=350</t>
  </si>
  <si>
    <t>Honey Nut Cheerios Family Size Cereal - 263.2oz/14ct</t>
  </si>
  <si>
    <t>https://www.target.com/p/horizon-organic-1-chocolate-milk-dha-added-6pk-8-fl-oz-boxes/-/A-53204544#lnk=sametab</t>
  </si>
  <si>
    <t>Horizon Organic 1% Chocolate Milk DHA Added - 6pk/8 fl oz Boxes</t>
  </si>
  <si>
    <t>https://www.target.com/p/horizon-organic-1-lowfat-high-vitamin-d-milk-0-5gal/-/A-14937627#lnk=sametab</t>
  </si>
  <si>
    <t>https://target.scene7.com/is/image/Target/GUEST_b04c195b-2682-48fa-9c75-dc03f1109eb7?qlt=65&amp;fmt=webp&amp;hei=350&amp;wid=350</t>
  </si>
  <si>
    <t>Horizon Organic 1% Lowfat High Vitamin D Milk - 0.5gal</t>
  </si>
  <si>
    <t>https://www.target.com/p/horizon-organic-2-reduced-fat-dha-omega-3-milk-0-5gal/-/A-14937631#lnk=sametab</t>
  </si>
  <si>
    <t>https://target.scene7.com/is/image/Target/GUEST_fd089ccd-a822-4cbd-a506-59bc09b80888?qlt=65&amp;fmt=webp&amp;hei=350&amp;wid=350</t>
  </si>
  <si>
    <t>Horizon Organic 2% Reduced Fat DHA Omega-3 Milk - 0.5gal</t>
  </si>
  <si>
    <t>https://www.target.com/p/horizon-organic-2-reduced-fat-high-vitamin-d-milk-1gal/-/A-52262768#lnk=sametab</t>
  </si>
  <si>
    <t>https://target.scene7.com/is/image/Target/GUEST_7c94d734-ed1a-4f40-b2f2-2d8132f53421?qlt=65&amp;fmt=webp&amp;hei=350&amp;wid=350</t>
  </si>
  <si>
    <t>Horizon Organic 2% Reduced Fat High Vitamin D Milk - 1gal</t>
  </si>
  <si>
    <t>https://www.target.com/p/horizon-organic-growing-years-2-milk-with-dha-omega-3-0-5gal/-/A-81623447#lnk=sametab</t>
  </si>
  <si>
    <t>https://target.scene7.com/is/image/Target/GUEST_26e01e49-cf1c-4c9d-9a71-d17536a7b372?qlt=65&amp;fmt=webp&amp;hei=350&amp;wid=350</t>
  </si>
  <si>
    <t>Horizon Organic Growing Years 2% Milk with DHA Omega-3 - 0.5gal</t>
  </si>
  <si>
    <t>https://www.target.com/p/horizon-organic-nonfat-high-vitamin-d-milk-0-5gal/-/A-14937626#lnk=sametab</t>
  </si>
  <si>
    <t>https://target.scene7.com/is/image/Target/GUEST_e41ecd68-413b-4cbe-9dbd-f960b507c004?qlt=65&amp;fmt=webp&amp;hei=350&amp;wid=350</t>
  </si>
  <si>
    <t>Horizon Organic Nonfat High Vitamin D Milk - 0.5gal</t>
  </si>
  <si>
    <t>https://www.target.com/p/horizon-organic-whole-dha-omega-3-milk-0-5gal/-/A-14937632#lnk=sametab</t>
  </si>
  <si>
    <t>https://target.scene7.com/is/image/Target/GUEST_ef2c9986-ada8-4364-ae99-7f95f6161913?qlt=65&amp;fmt=webp&amp;hei=350&amp;wid=350</t>
  </si>
  <si>
    <t>Horizon Organic Whole DHA Omega-3 Milk - 0.5gal</t>
  </si>
  <si>
    <t>https://www.target.com/p/horizon-organic-whole-grassfed-milk-0-5gal/-/A-53025483#lnk=sametab</t>
  </si>
  <si>
    <t>https://target.scene7.com/is/image/Target/GUEST_c3bcef21-ce23-4fa4-bff0-e65778347239?qlt=65&amp;fmt=webp&amp;hei=350&amp;wid=350</t>
  </si>
  <si>
    <t>Horizon Organic Whole Grassfed Milk - 59 fl oz</t>
  </si>
  <si>
    <t>https://www.target.com/p/horizon-organic-whole-high-vitamin-d-milk-0-5gal/-/A-14937629#lnk=sametab</t>
  </si>
  <si>
    <t>https://target.scene7.com/is/image/Target/GUEST_1044f250-40b2-43c9-8b23-d2121e02b8aa?qlt=65&amp;fmt=webp&amp;hei=350&amp;wid=350</t>
  </si>
  <si>
    <t>Horizon Organic Whole High Vitamin D Milk - 0.5gal</t>
  </si>
  <si>
    <t>https://www.target.com/p/horizon-organic-whole-high-vitamin-d-milk-1gal/-/A-52262769#lnk=sametab</t>
  </si>
  <si>
    <t>https://target.scene7.com/is/image/Target/GUEST_aa8f5d3e-67f4-4559-9b17-85b78eacae01?qlt=65&amp;fmt=webp&amp;hei=350&amp;wid=350</t>
  </si>
  <si>
    <t>Horizon Organic Whole High Vitamin D Milk - 1gal</t>
  </si>
  <si>
    <t>https://www.target.com/p/horizon-organic-whole-lactose-free-milk-0-5gal/-/A-49155819#lnk=sametab</t>
  </si>
  <si>
    <t>https://target.scene7.com/is/image/Target/GUEST_b7275597-4535-4c52-996f-2a882f06b548?qlt=65&amp;fmt=webp&amp;hei=350&amp;wid=350</t>
  </si>
  <si>
    <t>Horizon Organic Whole Lactose Free Milk - 0.5gal</t>
  </si>
  <si>
    <t>https://www.target.com/p/horizon-organic-whole-milk-6pk-8-fl-oz-boxes/-/A-81577370#lnk=sametab</t>
  </si>
  <si>
    <t>https://target.scene7.com/is/image/Target/GUEST_20985b37-cbe0-4293-969c-69a7c4f25ab2?qlt=65&amp;fmt=webp&amp;hei=350&amp;wid=350</t>
  </si>
  <si>
    <t>Horizon Organic Whole Milk - 6pk/8 fl oz Boxes</t>
  </si>
  <si>
    <t>https://www.target.com/p/hunt-39-s-100-natural-basil-garlic-38-oregano-diced-tomatoes-14-5oz/-/A-12935787#lnk=sametab</t>
  </si>
  <si>
    <t>https://target.scene7.com/is/image/Target/GUEST_e1ee8038-c873-498e-ab91-655338f8e794?qlt=65&amp;fmt=webp&amp;hei=350&amp;wid=350</t>
  </si>
  <si>
    <t>Hunt's 100% Natural Basil, Garlic &amp; Oregano Diced Tomatoes - 14.5oz</t>
  </si>
  <si>
    <t>https://www.target.com/p/hunt-39-s-100-natural-fire-roasted-diced-garlic-tomatoes-14-5oz/-/A-17489774#lnk=sametab</t>
  </si>
  <si>
    <t>https://target.scene7.com/is/image/Target/GUEST_12307dd7-6533-4bd4-a1bf-38e1e51831be?qlt=65&amp;fmt=webp&amp;hei=350&amp;wid=350</t>
  </si>
  <si>
    <t>Hunt's 100% Natural Fire Roasted Diced Garlic Tomatoes - 14.5oz</t>
  </si>
  <si>
    <t>https://www.target.com/p/hunt-39-s-100-natural-fire-roasted-diced-tomatoes-14-5oz/-/A-13373913#lnk=sametab</t>
  </si>
  <si>
    <t>https://target.scene7.com/is/image/Target/GUEST_5109699c-6f06-4fe7-80cc-726478d292be?qlt=65&amp;fmt=webp&amp;hei=350&amp;wid=350</t>
  </si>
  <si>
    <t>Hunt's 100% Natural Fire Roasted Diced Tomatoes - 14.5oz</t>
  </si>
  <si>
    <t>https://www.target.com/p/hunt-39-s-100-natural-stewed-tomatoes-14-5oz/-/A-12935763#lnk=sametab</t>
  </si>
  <si>
    <t>https://target.scene7.com/is/image/Target/GUEST_243d0d52-526e-4d8b-8efb-68b02f4878d9?qlt=65&amp;fmt=webp&amp;hei=350&amp;wid=350</t>
  </si>
  <si>
    <t>Hunt's 100% Natural Stewed Tomatoes - 14.5oz</t>
  </si>
  <si>
    <t>https://www.target.com/p/hunt-39-s-100-natural-tomato-paste-6oz/-/A-13373412#lnk=sametab</t>
  </si>
  <si>
    <t>https://target.scene7.com/is/image/Target/GUEST_de955ee5-23b6-4de1-a24b-740143f95431?qlt=65&amp;fmt=webp&amp;hei=350&amp;wid=350</t>
  </si>
  <si>
    <t>Hunt's 100% Natural Tomato Paste - 6oz</t>
  </si>
  <si>
    <t>https://www.target.com/p/hunt-39-s-100-natural-tomato-sauce-15oz/-/A-12935790#lnk=sametab</t>
  </si>
  <si>
    <t>https://target.scene7.com/is/image/Target/GUEST_3b34739f-80ad-42c3-a84d-c67f8c94940e?qlt=65&amp;fmt=webp&amp;hei=350&amp;wid=350</t>
  </si>
  <si>
    <t>Hunt's 100% Natural Tomato Sauce - 15oz</t>
  </si>
  <si>
    <t>https://www.target.com/p/hunt-39-s-100-natural-tomato-sauce-29oz/-/A-12935603#lnk=sametab</t>
  </si>
  <si>
    <t>https://target.scene7.com/is/image/Target/GUEST_5493eaf3-7481-4feb-ba10-9d359f081848?qlt=65&amp;fmt=webp&amp;hei=350&amp;wid=350</t>
  </si>
  <si>
    <t>Hunt's 100% Natural Tomato Sauce - 29oz</t>
  </si>
  <si>
    <t>https://www.target.com/p/hunt-39-s-100-natural-tomato-sauce-8oz/-/A-12935747#lnk=sametab</t>
  </si>
  <si>
    <t>https://target.scene7.com/is/image/Target/GUEST_4c452063-1c3e-4141-ba7c-682ef8d5c78b?qlt=65&amp;fmt=webp&amp;hei=350&amp;wid=350</t>
  </si>
  <si>
    <t>Hunt's 100% Natural Tomato Sauce - 8oz</t>
  </si>
  <si>
    <t>https://www.target.com/p/java-chip-oreo-cookies-family-size-17oz/-/A-81549871#lnk=sametab</t>
  </si>
  <si>
    <t>https://target.scene7.com/is/image/Target/GUEST_a92042c8-f116-456d-b5c7-fa66b608dcde?qlt=65&amp;fmt=webp&amp;hei=350&amp;wid=351</t>
  </si>
  <si>
    <t>Java Chip Oreo Cookies Family Size - 17oz</t>
  </si>
  <si>
    <t>https://www.target.com/p/jif-36-pack-creamy-to-go-peanut-butter-dipping-cups-1-5oz-each-cup/-/A-1002992173#lnk=sametab</t>
  </si>
  <si>
    <t>https://target.scene7.com/is/image/Target/GUEST_8d0d1428-74ac-405a-9335-7890b498ea9a?qlt=65&amp;fmt=webp&amp;hei=350&amp;wid=350</t>
  </si>
  <si>
    <t>Jif 36 Pack Creamy To Go Peanut Butter Dipping Cups - 1.5oz Each Cup</t>
  </si>
  <si>
    <t>https://www.target.com/p/jif-creamy-peanut-butter-16oz/-/A-13292010#lnk=sametab</t>
  </si>
  <si>
    <t>https://target.scene7.com/is/image/Target/GUEST_decde04c-a08a-405d-a1c7-515c2c400afa?qlt=65&amp;fmt=webp&amp;hei=350&amp;wid=350</t>
  </si>
  <si>
    <t>Jif Creamy Peanut Butter - 16oz</t>
  </si>
  <si>
    <t>https://www.target.com/p/jif-creamy-peanut-butter-40oz/-/A-13260927#lnk=sametab</t>
  </si>
  <si>
    <t>https://target.scene7.com/is/image/Target/GUEST_87407479-1d83-46ca-85fd-7927fd54a8dc?qlt=65&amp;fmt=webp&amp;hei=350&amp;wid=350</t>
  </si>
  <si>
    <t>Jif Creamy Peanut Butter - 40oz</t>
  </si>
  <si>
    <t>https://www.target.com/p/jif-creamy-peanut-butter-twin-pack-80oz/-/A-47110279#lnk=sametab</t>
  </si>
  <si>
    <t>https://target.scene7.com/is/image/Target/GUEST_6dcedb15-5a25-4eea-ac6f-3c2cc1be8391?qlt=65&amp;fmt=webp&amp;hei=350&amp;wid=350</t>
  </si>
  <si>
    <t>Jif Creamy Peanut Butter Twin Pack - 80oz</t>
  </si>
  <si>
    <t>https://www.target.com/p/jif-crunchy-peanut-butter-16oz/-/A-13292557#lnk=sametab</t>
  </si>
  <si>
    <t>https://target.scene7.com/is/image/Target/GUEST_74fbff5f-cc8e-428c-a335-bdf68c62f97d?qlt=65&amp;fmt=webp&amp;hei=350&amp;wid=350</t>
  </si>
  <si>
    <t>Jif Extra Crunchy Peanut Butter - 16oz</t>
  </si>
  <si>
    <t>https://www.target.com/p/jif-extra-crunchy-peanut-butter-40oz/-/A-13260978#lnk=sametab</t>
  </si>
  <si>
    <t>https://target.scene7.com/is/image/Target/GUEST_e414973d-7c9e-418b-b944-41e2bb16a1f4?qlt=65&amp;fmt=webp&amp;hei=350&amp;wid=350</t>
  </si>
  <si>
    <t>Jif Extra Crunchy Peanut Butter - 40oz</t>
  </si>
  <si>
    <t>https://www.target.com/p/jif-natural-low-sodium-creamy-peanut-butter-16oz/-/A-13292554#lnk=sametab</t>
  </si>
  <si>
    <t>https://target.scene7.com/is/image/Target/GUEST_96249023-b3b1-4699-931f-046e8f818b19?qlt=65&amp;fmt=webp&amp;hei=350&amp;wid=350</t>
  </si>
  <si>
    <t>Jif Natural Creamy Peanut Butter Spread - 16oz</t>
  </si>
  <si>
    <t>https://www.target.com/p/jif-natural-creamy-peanut-butter-40oz/-/A-13264003#lnk=sametab</t>
  </si>
  <si>
    <t>https://target.scene7.com/is/image/Target/GUEST_b53043c4-0861-4fdf-99f5-5593a2fb3240?qlt=65&amp;fmt=webp&amp;hei=350&amp;wid=350</t>
  </si>
  <si>
    <t>Jif Natural Creamy Peanut Butter Spread - 40oz</t>
  </si>
  <si>
    <t>https://www.target.com/p/jif-natural-creamy-honey-spread-40oz/-/A-21550199#lnk=sametab</t>
  </si>
  <si>
    <t>https://target.scene7.com/is/image/Target/GUEST_2c12bd08-b878-444c-86f4-b35b40828f81?qlt=65&amp;fmt=webp&amp;hei=350&amp;wid=350</t>
  </si>
  <si>
    <t>Jif Natural Creamy Peanut Butter Spread and Honey - 40oz</t>
  </si>
  <si>
    <t>https://www.target.com/p/jif-peanut-butter-twin-pack-natural-creamy-80oz/-/A-50295210#lnk=sametab</t>
  </si>
  <si>
    <t>https://target.scene7.com/is/image/Target/GUEST_97f20956-9d5f-4789-8b8f-de0acce3c3c5?qlt=65&amp;fmt=webp&amp;hei=350&amp;wid=350</t>
  </si>
  <si>
    <t>Jif Natural Creamy Peanut Butter Spread Twin Pack - 80oz</t>
  </si>
  <si>
    <t>https://www.target.com/p/jif-natural-crunchy-peanut-butter-16oz/-/A-14256076#lnk=sametab</t>
  </si>
  <si>
    <t>https://target.scene7.com/is/image/Target/GUEST_f1083483-8660-4b66-8d51-aa27254c967c?qlt=65&amp;fmt=webp&amp;hei=350&amp;wid=350</t>
  </si>
  <si>
    <t>Jif Natural Crunchy Peanut Butter Spread - 16oz</t>
  </si>
  <si>
    <t>https://www.target.com/p/jif-natural-crunchy-peanut-butter-40oz/-/A-14711130#lnk=sametab</t>
  </si>
  <si>
    <t>https://target.scene7.com/is/image/Target/GUEST_3d8e2f83-65e9-4b77-8047-0ea1263c99bb?qlt=65&amp;fmt=webp&amp;hei=350&amp;wid=350</t>
  </si>
  <si>
    <t>Jif Natural Crunchy Peanut Butter Spread - 40oz</t>
  </si>
  <si>
    <t>https://www.target.com/p/jif-natural-squeeze-pouch-13oz/-/A-82304709#lnk=sametab</t>
  </si>
  <si>
    <t>https://target.scene7.com/is/image/Target/GUEST_c59c6847-65f3-4c76-91ee-d7787c12a055?qlt=65&amp;fmt=webp&amp;hei=350&amp;wid=350</t>
  </si>
  <si>
    <t>Jif Natural Squeeze Creamy Peanut Butter Spread - 13oz</t>
  </si>
  <si>
    <t>https://www.target.com/p/jif-no-added-sugar-peanut-butter-15-5oz/-/A-79618130#lnk=sametab</t>
  </si>
  <si>
    <t>https://target.scene7.com/is/image/Target/GUEST_8c1dd5cd-010e-4fca-af9e-46a61a36fd70?qlt=65&amp;fmt=webp&amp;hei=350&amp;wid=350</t>
  </si>
  <si>
    <t>Jif No Added Sugar Creamy Peanut Butter Spread - 15.5oz</t>
  </si>
  <si>
    <t>https://www.target.com/p/jif-no-added-sugar-creamy-peanut-butter-spread-33-5oz/-/A-79618303#lnk=sametab</t>
  </si>
  <si>
    <t>https://target.scene7.com/is/image/Target/GUEST_c5da5ec8-0464-48b0-824c-8c7a2007bbbf?qlt=65&amp;fmt=webp&amp;hei=350&amp;wid=350</t>
  </si>
  <si>
    <t>Jif No Added Sugar Creamy Peanut Butter Spread - 33.5oz</t>
  </si>
  <si>
    <t>https://www.target.com/p/jif-peanut-butter-38-chocolate-flavored-spread-15oz/-/A-90948538#lnk=sametab</t>
  </si>
  <si>
    <t>https://target.scene7.com/is/image/Target/GUEST_99c4335d-ea20-4a5a-a6a3-54fdff9bc343?qlt=65&amp;fmt=webp&amp;hei=350&amp;wid=350</t>
  </si>
  <si>
    <t>Jif Peanut Butter &amp; Chocolate Flavored Spread - 15oz</t>
  </si>
  <si>
    <t>https://www.target.com/p/jif-reduced-fat-creamy-peanut-butter-16oz/-/A-13260977#lnk=sametab</t>
  </si>
  <si>
    <t>https://target.scene7.com/is/image/Target/GUEST_06b3af0d-ec1e-4fa5-a227-ef8d446537be?qlt=65&amp;fmt=webp&amp;hei=350&amp;wid=350</t>
  </si>
  <si>
    <t>Jif Reduced Fat Creamy Peanut Butter - 16oz</t>
  </si>
  <si>
    <t>https://www.target.com/p/jif-reduced-fat-creamy-peanut-butter-40oz/-/A-13261186#lnk=sametab</t>
  </si>
  <si>
    <t>https://target.scene7.com/is/image/Target/GUEST_d088392d-9acd-4c22-b142-5881b0485cc6?qlt=65&amp;fmt=webp&amp;hei=350&amp;wid=350</t>
  </si>
  <si>
    <t>Jif Reduced Fat Creamy Peanut Butter - 40oz</t>
  </si>
  <si>
    <t>https://www.target.com/p/jif-squeeze-creamy-peanut-butter-13oz/-/A-79618361#lnk=sametab</t>
  </si>
  <si>
    <t>https://target.scene7.com/is/image/Target/GUEST_5bcdbdf9-5b2f-4c26-85eb-e56d37f443d0?qlt=65&amp;fmt=webp&amp;hei=350&amp;wid=350</t>
  </si>
  <si>
    <t>Jif Squeeze Creamy Peanut Butter - 13oz</t>
  </si>
  <si>
    <t>https://www.target.com/p/jif-to-go-peanut-butter-38-chocolate-flavored-spread-8-8oz-8ct/-/A-90948581#lnk=sametab</t>
  </si>
  <si>
    <t>https://target.scene7.com/is/image/Target/GUEST_6ec8a80b-453b-4bfc-924a-b24a1285452c?qlt=65&amp;fmt=webp&amp;hei=350&amp;wid=350</t>
  </si>
  <si>
    <t>Jif To Go Peanut Butter &amp; Chocolate Flavored Spread - 8.8oz/8ct</t>
  </si>
  <si>
    <t>https://www.target.com/p/kimberley-39-s-oreo-frosted-cookie-13-5oz-10ct/-/A-89308530#lnk=sametab</t>
  </si>
  <si>
    <t>https://target.scene7.com/is/image/Target/GUEST_a12ce67f-5cf7-4b17-be1c-3fd714b31bea?qlt=65&amp;fmt=webp&amp;hei=350&amp;wid=350</t>
  </si>
  <si>
    <t>Kimberley's Oreo Frosted Cookie - 13.5oz/10ct</t>
  </si>
  <si>
    <t>https://www.target.com/p/kraft-100-grated-parmesan-38-romano-cheese-8oz/-/A-12958584#lnk=sametab</t>
  </si>
  <si>
    <t>https://target.scene7.com/is/image/Target/GUEST_e07c7fb9-50b4-4c9f-ab56-2c117c6cd5b6?qlt=65&amp;fmt=webp&amp;hei=350&amp;wid=350</t>
  </si>
  <si>
    <t>Kraft 100% Grated Parmesan &amp; Romano Cheese - 8oz</t>
  </si>
  <si>
    <t>https://www.target.com/p/kraft-100-grated-parmesan-cheese-16oz/-/A-14712433#lnk=sametab</t>
  </si>
  <si>
    <t>https://target.scene7.com/is/image/Target/GUEST_d883b0c7-0f1d-42ea-b860-40ca85f9ed0a?qlt=65&amp;fmt=webp&amp;hei=350&amp;wid=350</t>
  </si>
  <si>
    <t>Kraft 100% Grated Parmesan Cheese - 16oz</t>
  </si>
  <si>
    <t>https://www.target.com/p/kraft-100-grated-parmesan-cheese-8oz/-/A-12958582#lnk=sametab</t>
  </si>
  <si>
    <t>https://target.scene7.com/is/image/Target/GUEST_cda35c0e-2850-431b-bb3c-342dc397eb7b?qlt=65&amp;fmt=webp&amp;hei=350&amp;wid=350</t>
  </si>
  <si>
    <t>Kraft 100% Grated Parmesan Cheese - 8oz</t>
  </si>
  <si>
    <t>https://www.target.com/p/lactaid-lactose-free-1-low-fat-milk-0-5gal/-/A-52216155#lnk=sametab</t>
  </si>
  <si>
    <t>Lactaid Lactose Free 1% Low Fat Milk - 0.5gal</t>
  </si>
  <si>
    <t>https://www.target.com/p/lactaid-lactose-free-2-reduced-fat-milk-96-fl-oz/-/A-13260523#lnk=sametab</t>
  </si>
  <si>
    <t>Lactaid Lactose Free 2% Reduced Fat Milk - 96 fl oz</t>
  </si>
  <si>
    <t>https://www.target.com/p/lactaid-lactose-free-fat-free-milk-0-5gal/-/A-13292311#lnk=sametab</t>
  </si>
  <si>
    <t>https://target.scene7.com/is/image/Target/GUEST_697bf6da-5582-4a21-be3e-82349532b214?qlt=65&amp;fmt=webp&amp;hei=350&amp;wid=350</t>
  </si>
  <si>
    <t>Lactaid Lactose Free Fat Free Milk - 0.5gal</t>
  </si>
  <si>
    <t>https://www.target.com/p/lactaid-lactose-free-whole-milk-0-5gal/-/A-13292765#lnk=sametab</t>
  </si>
  <si>
    <t>https://target.scene7.com/is/image/Target/GUEST_f71b35e7-5384-4919-bbba-c17ddf3b111e?qlt=65&amp;fmt=webp&amp;hei=350&amp;wid=350</t>
  </si>
  <si>
    <t>Lactaid Lactose Free Whole Milk - 0.5gal</t>
  </si>
  <si>
    <t>https://www.target.com/p/lactaid-lactose-free-whole-milk-96-fl-oz/-/A-48325603#lnk=sametab</t>
  </si>
  <si>
    <t>Lactaid Lactose Free Whole Milk - 96 fl oz</t>
  </si>
  <si>
    <t>https://www.target.com/p/lay-39-s-chips-all-dressed-7-75oz/-/A-92747899#lnk=sametab</t>
  </si>
  <si>
    <t>https://target.scene7.com/is/image/Target/GUEST_813e61d6-27e0-4905-a03c-594581b1f401?qlt=65&amp;fmt=webp&amp;hei=350&amp;wid=350</t>
  </si>
  <si>
    <t>Lay's All Dressed Potato Chips - 7.75oz</t>
  </si>
  <si>
    <t>https://www.target.com/p/lay-39-s-barbecue-flavored-potato-chips-12-50oz/-/A-14987285#lnk=sametab</t>
  </si>
  <si>
    <t>https://target.scene7.com/is/image/Target/GUEST_cfaed9d1-f9b5-4bfd-9425-43c95bd68f45?qlt=65&amp;fmt=webp&amp;hei=350&amp;wid=350</t>
  </si>
  <si>
    <t>Lay's Barbecue Flavor Party Size Potato Chips - 12.50oz</t>
  </si>
  <si>
    <t>https://www.target.com/p/lay-s-barbecue-flavored-potato-chips-7-75oz/-/A-47769730#lnk=sametab</t>
  </si>
  <si>
    <t>https://target.scene7.com/is/image/Target/GUEST_4571fe20-59b5-44b4-89c6-6253dfc55909?qlt=65&amp;fmt=webp&amp;hei=350&amp;wid=350</t>
  </si>
  <si>
    <t>Lay's Barbecue Flavored Potato Chips - 7.75oz</t>
  </si>
  <si>
    <t>https://www.target.com/p/lay-39-s-cheddar-38-sour-cream-flavored-potato-chips-7-75oz/-/A-47766914#lnk=sametab</t>
  </si>
  <si>
    <t>https://target.scene7.com/is/image/Target/GUEST_0add7277-8fbf-4d03-a485-872cdd1c0ab2?qlt=65&amp;fmt=webp&amp;hei=350&amp;wid=350</t>
  </si>
  <si>
    <t>Lay's Cheddar &amp; Sour Cream Flavored Potato Chips - 7.75oz</t>
  </si>
  <si>
    <t>https://www.target.com/p/lay-s-chile-lim-243-n-flavored-potato-chips-7-75oz/-/A-47766920#lnk=sametab</t>
  </si>
  <si>
    <t>https://target.scene7.com/is/image/Target/GUEST_e933d7e6-71a8-4bb0-9b7e-f49e3e2aa9bb?qlt=65&amp;fmt=webp&amp;hei=350&amp;wid=350</t>
  </si>
  <si>
    <t>Lay's Chile Limón Flavored Potato Chips - 7.75oz</t>
  </si>
  <si>
    <t>https://www.target.com/p/lay-39-s-classic-potato-chips-13oz/-/A-13335441#lnk=sametab</t>
  </si>
  <si>
    <t>https://target.scene7.com/is/image/Target/GUEST_2cf85ee6-d98d-47f8-9132-149e1692336c?qlt=65&amp;fmt=webp&amp;hei=350&amp;wid=350</t>
  </si>
  <si>
    <t>Lay's Classic Party Size Potato Chips - 13oz</t>
  </si>
  <si>
    <t>https://www.target.com/p/lay-39-s-classic-potato-chips-2-62oz/-/A-14930839#lnk=sametab</t>
  </si>
  <si>
    <t>https://target.scene7.com/is/image/Target/GUEST_1b2baeef-2275-45e3-8613-d622c1b6ccfa?qlt=65&amp;fmt=webp&amp;hei=350&amp;wid=350</t>
  </si>
  <si>
    <t>Lay's Classic Potato Chips - 2.5oz</t>
  </si>
  <si>
    <t>https://www.target.com/p/lay-s-classic-potato-chips-8oz/-/A-47085532#lnk=sametab</t>
  </si>
  <si>
    <t>https://target.scene7.com/is/image/Target/GUEST_524f9d3c-78c9-4af0-a6af-77a025c68d42?qlt=65&amp;fmt=webp&amp;hei=350&amp;wid=350</t>
  </si>
  <si>
    <t>Lay's Classic Potato Chips - 8oz</t>
  </si>
  <si>
    <t>https://www.target.com/p/lay-s-dill-pickle-flavored-potato-chips-7-75oz/-/A-47766919#lnk=sametab</t>
  </si>
  <si>
    <t>https://target.scene7.com/is/image/Target/GUEST_7361ef65-57a2-4c44-bc1c-76d41e234b10?qlt=65&amp;fmt=webp&amp;hei=350&amp;wid=350</t>
  </si>
  <si>
    <t>Lay's Dill Pickle Flavored Potato Chips - 7.75oz</t>
  </si>
  <si>
    <t>https://www.target.com/p/lays-dill-pickle-12-5oz/-/A-78645939#lnk=sametab</t>
  </si>
  <si>
    <t>https://target.scene7.com/is/image/Target/GUEST_ea6fa175-cc0a-481b-8a72-cef243f535ef?qlt=65&amp;fmt=webp&amp;hei=350&amp;wid=350</t>
  </si>
  <si>
    <t>Lay's Dill Pickle Party Size Potato Chips - 12.5oz</t>
  </si>
  <si>
    <t>https://www.target.com/p/lay-s-flamin-hot-flavored-potato-chips-7-75oz/-/A-47766915#lnk=sametab</t>
  </si>
  <si>
    <t>https://target.scene7.com/is/image/Target/GUEST_342436e8-1326-483c-8e6c-3e8744b16437?qlt=65&amp;fmt=webp&amp;hei=350&amp;wid=350</t>
  </si>
  <si>
    <t>Lay's Flamin' Hot Flavored Potato Chips - 7.75oz</t>
  </si>
  <si>
    <t>https://www.target.com/p/lay-s-honey-barbecue-flavored-potato-chips-7-75oz/-/A-47970365#lnk=sametab</t>
  </si>
  <si>
    <t>https://target.scene7.com/is/image/Target/GUEST_39a8419c-91ae-44bd-9aed-60efe4f691c3?qlt=65&amp;fmt=webp&amp;hei=350&amp;wid=350</t>
  </si>
  <si>
    <t>Lay's Honey Barbecue Flavored Potato Chips - 7.75oz</t>
  </si>
  <si>
    <t>https://www.target.com/p/lay-s-jalape-241-o-kettle-cooked-chips-party-size-14oz/-/A-51591787#lnk=sametab</t>
  </si>
  <si>
    <t>https://target.scene7.com/is/image/Target/GUEST_1be8446b-d2cf-456f-8132-23b4d31a410e?qlt=65&amp;fmt=webp&amp;hei=350&amp;wid=350</t>
  </si>
  <si>
    <t>Lay's Jalapeño Kettle Cooked Chips Party Size - 14oz</t>
  </si>
  <si>
    <t>https://www.target.com/p/lay-39-s-kettle-cooked-cajun-spice-xl-8oz/-/A-92030359#lnk=sametab</t>
  </si>
  <si>
    <t>https://target.scene7.com/is/image/Target/GUEST_ffe5ed38-e5a9-456d-abfe-b6b63a373858?qlt=65&amp;fmt=webp&amp;hei=350&amp;wid=350</t>
  </si>
  <si>
    <t>Lay's Kettle Cooked Cajun Spice Potato Chips - 8oz</t>
  </si>
  <si>
    <t>https://www.target.com/p/lay-s-kettle-cooked-jalape-241-o-flavored-potato-chips-8oz/-/A-13319566#lnk=sametab</t>
  </si>
  <si>
    <t>https://target.scene7.com/is/image/Target/GUEST_3ec72424-5193-4c6a-b394-967dcf90de8f?qlt=65&amp;fmt=webp&amp;hei=350&amp;wid=350</t>
  </si>
  <si>
    <t>Lay's Kettle Cooked Jalapeño Flavored Potato Chips - 8oz</t>
  </si>
  <si>
    <t>https://www.target.com/p/lay-s-kettle-cooked-maui-onion-flavored-potato-chips-8-0-oz/-/A-47084790#lnk=sametab</t>
  </si>
  <si>
    <t>https://target.scene7.com/is/image/Target/GUEST_ec58c544-c8b7-4c79-b210-9a1120f621b6?qlt=65&amp;fmt=webp&amp;hei=350&amp;wid=350</t>
  </si>
  <si>
    <t>Lay's Kettle Cooked Maui Onion Flavored Potato Chips - 8oz</t>
  </si>
  <si>
    <t>https://www.target.com/p/lay-s-kettle-cooked-original-potato-chips-8-0oz/-/A-13319567#lnk=sametab</t>
  </si>
  <si>
    <t>https://target.scene7.com/is/image/Target/GUEST_aa162e5b-6ce0-49a1-92d3-bdf61123095f?qlt=65&amp;fmt=webp&amp;hei=350&amp;wid=350</t>
  </si>
  <si>
    <t>Lay's Kettle Cooked Original Potato Chips - 8oz</t>
  </si>
  <si>
    <t>https://www.target.com/p/lay-s-kettle-cooked-potato-chips-variety-pack-0-85-oz-bag-pack-of-40/-/A-1002316329#lnk=sametab</t>
  </si>
  <si>
    <t>https://target.scene7.com/is/image/Target/GUEST_d1084c43-1e1c-452d-aed6-2c094bc4be3e?qlt=65&amp;fmt=webp&amp;hei=350&amp;wid=350</t>
  </si>
  <si>
    <t>Lay's Kettle Cooked Potato Chips, Variety Pack - 0.85 Oz Bag (Pack of 40)</t>
  </si>
  <si>
    <t>https://www.target.com/p/lay-s-kettle-cooked-sea-salt-vinegar-potato-chips-8oz/-/A-13319585#lnk=sametab</t>
  </si>
  <si>
    <t>https://target.scene7.com/is/image/Target/GUEST_40f1f255-0b84-469e-8718-8756f550ea94?qlt=65&amp;fmt=webp&amp;hei=350&amp;wid=350</t>
  </si>
  <si>
    <t>Lay's Kettle Cooked Sea Salt &amp; Vinegar Potato Chips - 8oz</t>
  </si>
  <si>
    <t>https://www.target.com/p/lay-s-lightly-salted-classic-potato-chips-7-75oz/-/A-17294024#lnk=sametab</t>
  </si>
  <si>
    <t>https://target.scene7.com/is/image/Target/GUEST_95a9db1b-6395-4d56-bad4-f9ca19a2220d?qlt=65&amp;fmt=webp&amp;hei=350&amp;wid=350</t>
  </si>
  <si>
    <t>Lay's Lightly Salted Classic Potato Chips - 7.75oz</t>
  </si>
  <si>
    <t>https://www.target.com/p/lays-lightly-salted-12-5oz/-/A-78645936#lnk=sametab</t>
  </si>
  <si>
    <t>https://target.scene7.com/is/image/Target/GUEST_88f4dbe2-2303-4c91-a2c3-2c811eab9ddb?qlt=65&amp;fmt=webp&amp;hei=350&amp;wid=350</t>
  </si>
  <si>
    <t>Lay's Lightly Salted Party Size Potato Chips- 12.5oz</t>
  </si>
  <si>
    <t>https://www.target.com/p/lay-39-s-lightly-salted-wavy-potato-chips-7-5oz/-/A-47971697#lnk=sametab</t>
  </si>
  <si>
    <t>https://target.scene7.com/is/image/Target/GUEST_1c71efa4-82ce-4f3d-ba12-103882ef3ae4?qlt=65&amp;fmt=webp&amp;hei=350&amp;wid=350</t>
  </si>
  <si>
    <t>Lay's Lightly Salted Wavy Potato Chips - 7.5oz</t>
  </si>
  <si>
    <t>https://www.target.com/p/lay-s-lim-243-n-flavored-potato-chips-7-75oz/-/A-47766916#lnk=sametab</t>
  </si>
  <si>
    <t>https://target.scene7.com/is/image/Target/GUEST_ce4728e3-660c-4625-b90f-07508f17665e?qlt=65&amp;fmt=webp&amp;hei=350&amp;wid=350</t>
  </si>
  <si>
    <t>Lay's Limón Flavored Potato Chips - 7.75oz</t>
  </si>
  <si>
    <t>https://www.target.com/p/lays-limon-12-5oz/-/A-78645938#lnk=sametab</t>
  </si>
  <si>
    <t>https://target.scene7.com/is/image/Target/GUEST_e9d6690e-9fae-488c-bd65-007afd5b7172?qlt=65&amp;fmt=webp&amp;hei=350&amp;wid=350</t>
  </si>
  <si>
    <t>Lay's Limon Party Size Potato Chips - 12.5oz</t>
  </si>
  <si>
    <t>https://www.target.com/p/lay-s-mesquite-bbq-flavored-kettle-cooked-potato-chips-8oz/-/A-13324097#lnk=sametab</t>
  </si>
  <si>
    <t>https://target.scene7.com/is/image/Target/GUEST_a668c30f-03e8-4186-a36e-6d53254b36a1?qlt=65&amp;fmt=webp&amp;hei=350&amp;wid=350</t>
  </si>
  <si>
    <t>Lay's Mesquite BBQ Flavored Kettle Cooked Potato Chips - 8oz</t>
  </si>
  <si>
    <t>https://www.target.com/p/lay-s-oven-baked-barbecue-flavored-potato-chips-6-25oz/-/A-14898266#lnk=sametab</t>
  </si>
  <si>
    <t>https://target.scene7.com/is/image/Target/GUEST_d9b383ca-7ec5-4ec0-8ea6-7768ecdd3381?qlt=65&amp;fmt=webp&amp;hei=350&amp;wid=350</t>
  </si>
  <si>
    <t>Lay's Oven Baked Barbecue Flavored Potato Chips - 6.25oz</t>
  </si>
  <si>
    <t>https://www.target.com/p/lay-s-oven-baked-original-potato-crisps-6-25oz/-/A-14898251#lnk=sametab</t>
  </si>
  <si>
    <t>https://target.scene7.com/is/image/Target/GUEST_51d35fa7-d42e-4d37-99d4-4a1286698ee0?qlt=65&amp;fmt=webp&amp;hei=350&amp;wid=350</t>
  </si>
  <si>
    <t>Lay's Oven Baked Original Potato Chips - 6.25oz</t>
  </si>
  <si>
    <t>https://www.target.com/p/lays-potato-chips-classic-1-ounce-pack-of-40/-/A-93290096#lnk=sametab</t>
  </si>
  <si>
    <t>https://target.scene7.com/is/image/Target/GUEST_d8019747-5035-481b-84d5-005b0df7a312?qlt=65&amp;fmt=webp&amp;hei=350&amp;wid=350</t>
  </si>
  <si>
    <t>Lay's Potato Chips Classic - 1 Ounce Bag (Pack of 40)</t>
  </si>
  <si>
    <t>https://www.target.com/p/lay-s-salt-vinegar-flavored-potato-chips-7-75oz/-/A-47769731#lnk=sametab</t>
  </si>
  <si>
    <t>https://target.scene7.com/is/image/Target/GUEST_39c031f2-2220-475d-979e-63c944766f3e?qlt=65&amp;fmt=webp&amp;hei=350&amp;wid=350</t>
  </si>
  <si>
    <t>Lay's Salt &amp; Vinegar Flavored Potato Chips - 7.75oz</t>
  </si>
  <si>
    <t>https://www.target.com/p/lays-salt-and-vinegar-12-5oz/-/A-78645937#lnk=sametab</t>
  </si>
  <si>
    <t>https://target.scene7.com/is/image/Target/GUEST_4d264fff-acfc-4771-b3ac-aaa023dff63b?qlt=65&amp;fmt=webp&amp;hei=350&amp;wid=350</t>
  </si>
  <si>
    <t>Lay's Salt and Vinegar Party Size Potato Chips - 12.5oz</t>
  </si>
  <si>
    <t>https://www.target.com/p/lay-39-s-classic-potato-chips-10ct/-/A-47085975#lnk=sametab</t>
  </si>
  <si>
    <t>https://target.scene7.com/is/image/Target/GUEST_3bd5568c-ae79-454b-a83f-9bab4920410f?qlt=65&amp;fmt=webp&amp;hei=350&amp;wid=350</t>
  </si>
  <si>
    <t>Lay's Snack Pack Classic Potato Chips - 10ct/10oz</t>
  </si>
  <si>
    <t>https://www.target.com/p/lay-39-s-sour-cream-38-onion-flavored-potato-chips-12-50oz/-/A-47086025#lnk=sametab</t>
  </si>
  <si>
    <t>https://target.scene7.com/is/image/Target/GUEST_89b4bec4-aa56-4851-a0c7-e264d5541510?qlt=65&amp;fmt=webp&amp;hei=350&amp;wid=350</t>
  </si>
  <si>
    <t>Lay's Sour Cream &amp; Onion Flavored Party Size Potato Chips - 12.50oz</t>
  </si>
  <si>
    <t>https://www.target.com/p/lay-s-sour-cream-onion-flavored-potato-chips-7-75oz/-/A-47769732#lnk=sametab</t>
  </si>
  <si>
    <t>https://target.scene7.com/is/image/Target/GUEST_58ef61d1-35e2-45bf-b406-d737672df23a?qlt=65&amp;fmt=webp&amp;hei=350&amp;wid=350</t>
  </si>
  <si>
    <t>Lay's Sour Cream &amp; Onion Flavored Potato Chips - 7.75oz</t>
  </si>
  <si>
    <t>https://www.target.com/p/frito-lay-lay-39-s-sweet-38-spicy-honey-flavored-chips-7-75oz/-/A-90108257#lnk=sametab</t>
  </si>
  <si>
    <t>https://target.scene7.com/is/image/Target/GUEST_292d1d4f-c222-422a-bdbd-72a504b092d2?qlt=65&amp;fmt=webp&amp;hei=350&amp;wid=350</t>
  </si>
  <si>
    <t>Lay's Sweet &amp; Spicy Honey Flavored Chips - 7.75oz</t>
  </si>
  <si>
    <t>https://www.target.com/p/lay-39-s-sweet-southern-heat-barbecue-flavored-potato-chips-7-75oz/-/A-47766918#lnk=sametab</t>
  </si>
  <si>
    <t>https://target.scene7.com/is/image/Target/GUEST_b52ddf0a-62a7-4334-8ae6-2bdb99ecf711?qlt=65&amp;fmt=webp&amp;hei=350&amp;wid=350</t>
  </si>
  <si>
    <t>Lay's Sweet Southern Heat Barbecue Flavored Potato Chips - 7.75oz</t>
  </si>
  <si>
    <t>https://www.target.com/p/lays-wavy-funyuns-onion-7-5oz/-/A-82689208#lnk=sametab</t>
  </si>
  <si>
    <t>https://target.scene7.com/is/image/Target/GUEST_5aba6184-036e-42cd-bb37-f5a262502c00?qlt=65&amp;fmt=webp&amp;hei=350&amp;wid=350</t>
  </si>
  <si>
    <t>Lay's Wavy Funyuns Onion Potato Chips - 7.5oz</t>
  </si>
  <si>
    <t>https://www.target.com/p/lay-39-s-wavy-hickory-barbecue-flavored-potato-chips-7-5oz/-/A-17294023#lnk=sametab</t>
  </si>
  <si>
    <t>https://target.scene7.com/is/image/Target/GUEST_127c14fb-94e0-40a5-90c8-50260fa96c39?qlt=65&amp;fmt=webp&amp;hei=350&amp;wid=350</t>
  </si>
  <si>
    <t>Lay's Wavy Hickory Barbecue Flavored Potato Chips - 7.5oz</t>
  </si>
  <si>
    <t>https://www.target.com/p/lay-39-s-wavy-original-potato-chips-13oz/-/A-14898533#lnk=sametab</t>
  </si>
  <si>
    <t>https://target.scene7.com/is/image/Target/GUEST_cf18d47c-17cf-4512-b602-1f65c388ffd6?qlt=65&amp;fmt=webp&amp;hei=350&amp;wid=350</t>
  </si>
  <si>
    <t>Lay's Wavy Original Party Size Potato Chips - 13oz</t>
  </si>
  <si>
    <t>https://www.target.com/p/lay-s-wavy-original-potato-chips-7-75oz/-/A-47085248#lnk=sametab</t>
  </si>
  <si>
    <t>https://target.scene7.com/is/image/Target/GUEST_81c45a94-c22b-4bda-9d7d-30a988f74f11?qlt=65&amp;fmt=webp&amp;hei=350&amp;wid=350</t>
  </si>
  <si>
    <t>Lay's Wavy Original Potato Chips - 7.75oz</t>
  </si>
  <si>
    <t>https://www.target.com/p/light-fit-nonfat-gluten-free-greek-yogurt-4ct-5-3oz-cups/-/A-94580945?preselect=14928736#lnk=sametab</t>
  </si>
  <si>
    <t>https://target.scene7.com/is/image/Target/GUEST_28184ef5-f325-4252-a3fe-32dd0068d63b?qlt=65&amp;fmt=webp&amp;hei=350&amp;wid=350</t>
  </si>
  <si>
    <t>Light + Fit Nonfat Gluten-Free Cherry Greek Yogurt - 4ct/5.3oz Cups</t>
  </si>
  <si>
    <t>https://www.target.com/p/light-fit-nonfat-gluten-free-greek-yogurt-4ct-5-3oz-cups/-/A-94580945?preselect=14859153#lnk=sametab</t>
  </si>
  <si>
    <t>https://target.scene7.com/is/image/Target/GUEST_33d3b83c-de87-4665-8575-7410064d471a?qlt=65&amp;fmt=webp&amp;hei=350&amp;wid=350</t>
  </si>
  <si>
    <t>Light + Fit Nonfat Gluten-Free Peach Greek Yogurt - 4ct/5.3oz Cups</t>
  </si>
  <si>
    <t>https://www.target.com/p/light-fit-nonfat-gluten-free-greek-yogurt-4ct-5-3oz-cups/-/A-94580945?preselect=23985462#lnk=sametab</t>
  </si>
  <si>
    <t>https://target.scene7.com/is/image/Target/GUEST_3177800d-42cf-43c1-8564-1c3cf66c2470?qlt=65&amp;fmt=webp&amp;hei=350&amp;wid=350</t>
  </si>
  <si>
    <t>Light + Fit Nonfat Gluten-Free Strawberry Cheesecake Greek Yogurt - 4ct/5.3oz Cups</t>
  </si>
  <si>
    <t>https://www.target.com/p/light-fit-nonfat-gluten-free-greek-yogurt-4ct-5-3oz-cups/-/A-94580945?preselect=14928735#lnk=sametab</t>
  </si>
  <si>
    <t>https://target.scene7.com/is/image/Target/GUEST_193eac88-568e-47ac-a2a8-059bbbe1bb50?qlt=65&amp;fmt=webp&amp;hei=350&amp;wid=350</t>
  </si>
  <si>
    <t>Light + Fit Nonfat Gluten-Free Strawberry Greek Yogurt - 4ct/5.3oz Cups</t>
  </si>
  <si>
    <t>https://www.target.com/p/light-fit-nonfat-gluten-free-greek-yogurt-4ct-5-3oz-cups/-/A-94580945?preselect=17034934#lnk=sametab</t>
  </si>
  <si>
    <t>https://target.scene7.com/is/image/Target/GUEST_ced1aa10-f17a-4324-b036-c4ec3d5c299a?qlt=65&amp;fmt=webp&amp;hei=350&amp;wid=350</t>
  </si>
  <si>
    <t>Light + Fit Nonfat Gluten-Free Toasted Coconut Vanilla Greek Yogurt - 4ct/5.3oz Cups</t>
  </si>
  <si>
    <t>https://www.target.com/p/light-fit-nonfat-gluten-free-greek-yogurt-4ct-5-3oz-cups/-/A-94580945?preselect=17034933#lnk=sametab</t>
  </si>
  <si>
    <t>https://target.scene7.com/is/image/Target/GUEST_95fce5b9-c181-4868-91c4-594ad58c27d9?qlt=65&amp;fmt=webp&amp;hei=350&amp;wid=350</t>
  </si>
  <si>
    <t>Light + Fit Nonfat Gluten-Free Vanilla Greek Yogurt - 32oz Tub</t>
  </si>
  <si>
    <t>32oz</t>
  </si>
  <si>
    <t>https://www.target.com/p/light-fit-nonfat-gluten-free-greek-yogurt-4ct-5-3oz-cups/-/A-94580945?preselect=14928734#lnk=sametab</t>
  </si>
  <si>
    <t>https://target.scene7.com/is/image/Target/GUEST_ffc68cb1-3820-4048-b302-4192228a35b1?qlt=65&amp;fmt=webp&amp;hei=350&amp;wid=350</t>
  </si>
  <si>
    <t>Light + Fit Nonfat Gluten-Free Vanilla Greek Yogurt - 4ct/5.3oz Cups</t>
  </si>
  <si>
    <t>21.4oz</t>
  </si>
  <si>
    <t>https://www.target.com/p/light-fit-nonfat-gluten-free-vanilla-yogurt-32oz-tub/-/A-13062519#lnk=sametab</t>
  </si>
  <si>
    <t>https://target.scene7.com/is/image/Target/GUEST_51d4ee28-e9f3-4600-9c0d-9a7d1a266f29?qlt=65&amp;fmt=webp&amp;hei=350&amp;wid=350</t>
  </si>
  <si>
    <t>Light + Fit Nonfat Gluten-Free Vanilla Yogurt - 32oz Tub</t>
  </si>
  <si>
    <t>https://www.target.com/p/light-fit-mixin-greek-yogurt-4-5oz-cup/-/A-94581744?preselect=90253156#lnk=sametab</t>
  </si>
  <si>
    <t>https://target.scene7.com/is/image/Target/GUEST_9e4b02cc-9844-4cf0-9ddf-e393c8333a55?qlt=65&amp;fmt=webp&amp;hei=350&amp;wid=350</t>
  </si>
  <si>
    <t>Light + Fit REMIX Greek Yogurt - 4.5oz</t>
  </si>
  <si>
    <t>https://www.target.com/p/light-fit-mixin-greek-yogurt-4-5oz-cup/-/A-94581744?preselect=90253157#lnk=sametab</t>
  </si>
  <si>
    <t>https://target.scene7.com/is/image/Target/GUEST_ebf8c95d-c17e-4a06-a9a7-fb007788dcab?qlt=65&amp;fmt=webp&amp;hei=350&amp;wid=350</t>
  </si>
  <si>
    <t>https://www.target.com/p/light-fit-mixin-greek-yogurt-4-5oz-cup/-/A-94581744?preselect=90253145#lnk=sametab</t>
  </si>
  <si>
    <t>https://target.scene7.com/is/image/Target/GUEST_029597c8-86de-4319-9604-19567bc05dff?qlt=65&amp;fmt=webp&amp;hei=350&amp;wid=350</t>
  </si>
  <si>
    <t>Light + Fit REMIX Greek Yogurt - 4.5oz Cup</t>
  </si>
  <si>
    <t>4.5oz</t>
  </si>
  <si>
    <t>https://www.target.com/p/lundberg-american-white-jasmine-rice-25-lb/-/A-89319147#lnk=sametab</t>
  </si>
  <si>
    <t>https://target.scene7.com/is/image/Target/GUEST_e2ff9a39-39f5-4d97-9407-5f9c45bd5145?qlt=65&amp;fmt=webp&amp;hei=350&amp;wid=350</t>
  </si>
  <si>
    <t>Lundberg American White Jasmine Rice - 25 lb</t>
  </si>
  <si>
    <t>400oz</t>
  </si>
  <si>
    <t>https://www.target.com/p/lundberg-brown-basmati-rice-case-of-6-2-lb/-/A-89319117#lnk=sametab</t>
  </si>
  <si>
    <t>https://target.scene7.com/is/image/Target/GUEST_c1c16c9e-5047-4e38-b684-1a7d8b8ab539?qlt=65&amp;fmt=webp&amp;hei=350&amp;wid=351</t>
  </si>
  <si>
    <t>Lundberg Brown Basmati Rice - Case of 6/2 lb</t>
  </si>
  <si>
    <t>https://www.target.com/p/lundberg-medium-grain-white-arborio-rice-2lbs/-/A-82394841#lnk=sametab</t>
  </si>
  <si>
    <t>https://target.scene7.com/is/image/Target/GUEST_f8f0d0d3-4e8a-4cc1-82c7-5b670c87d007?qlt=65&amp;fmt=webp&amp;hei=350&amp;wid=350</t>
  </si>
  <si>
    <t>Lundberg Medium Grain White Arborio Rice - 2lbs</t>
  </si>
  <si>
    <t>https://www.target.com/p/lundberg-organic-brown-jasmine-rice-25-lb/-/A-89319206#lnk=sametab</t>
  </si>
  <si>
    <t>https://target.scene7.com/is/image/Target/GUEST_70541cb1-5217-44bf-a828-ffcc380450c9?qlt=65&amp;fmt=webp&amp;hei=350&amp;wid=350</t>
  </si>
  <si>
    <t>Lundberg Organic Brown Jasmine Rice - 25 lb</t>
  </si>
  <si>
    <t>https://www.target.com/p/lundberg-organic-california-sushi-rice-case-of-6-2-lb/-/A-1002217353#lnk=sametab</t>
  </si>
  <si>
    <t>https://target.scene7.com/is/image/Target/GUEST_c1c16c9e-5047-4e38-b684-1a7d8b8ab539?qlt=65&amp;fmt=webp&amp;hei=350&amp;wid=350</t>
  </si>
  <si>
    <t>Lundberg Organic California Sushi Rice  - Case of 6/2 lb</t>
  </si>
  <si>
    <t>https://www.target.com/p/lundberg-organic-california-sushi-rice-25-lb/-/A-89319192#lnk=sametab</t>
  </si>
  <si>
    <t>https://target.scene7.com/is/image/Target/GUEST_89c6ffdd-1bba-4132-b442-5921fa6ac71d?qlt=65&amp;fmt=webp&amp;hei=350&amp;wid=350</t>
  </si>
  <si>
    <t>Lundberg Organic California Sushi Rice - 25 lb</t>
  </si>
  <si>
    <t>https://www.target.com/p/lundberg-organic-creamy-parmesan-risotto-case-of-6-5-5-oz/-/A-89319146#lnk=sametab</t>
  </si>
  <si>
    <t>https://target.scene7.com/is/image/Target/GUEST_c1c16c9e-5047-4e38-b684-1a7d8b8ab539?qlt=65&amp;fmt=webp&amp;hei=350&amp;wid=352</t>
  </si>
  <si>
    <t>Lundberg Organic Creamy Parmesan Risotto - Case of 6/5.5 oz</t>
  </si>
  <si>
    <t>33oz</t>
  </si>
  <si>
    <t>https://www.target.com/p/lundberg-organic-long-grain-california-brown-basmati-rice-2lbs/-/A-82397115#lnk=sametab</t>
  </si>
  <si>
    <t>https://target.scene7.com/is/image/Target/GUEST_df6f0750-34b9-4a6a-b8b8-94cad6c0db30?qlt=65&amp;fmt=webp&amp;hei=350&amp;wid=350</t>
  </si>
  <si>
    <t>Lundberg Organic Long Grain California Brown Basmati Rice - 2lbs</t>
  </si>
  <si>
    <t>https://www.target.com/p/lundberg-organic-long-grain-california-white-jasmine-rice-2lbs/-/A-50300364#lnk=sametab</t>
  </si>
  <si>
    <t>https://target.scene7.com/is/image/Target/GUEST_27b5c64f-494e-4422-869d-2e2bbdf9fe54?qlt=65&amp;fmt=webp&amp;hei=350&amp;wid=350</t>
  </si>
  <si>
    <t>Lundberg Organic Long Grain California White Jasmine Rice - 2lbs</t>
  </si>
  <si>
    <t>https://www.target.com/p/lundberg-organic-long-grain-white-rice-25-lb/-/A-89319126#lnk=sametab</t>
  </si>
  <si>
    <t>https://target.scene7.com/is/image/Target/GUEST_c1c16c9e-5047-4e38-b684-1a7d8b8ab539?qlt=65&amp;fmt=webp&amp;hei=350&amp;wid=353</t>
  </si>
  <si>
    <t>Lundberg Organic Long Grain White Rice - 25 lb</t>
  </si>
  <si>
    <t>https://www.target.com/p/lundberg-organic-long-grain-white-rice-case-of-6-2-lb/-/A-89319219#lnk=sametab</t>
  </si>
  <si>
    <t>https://target.scene7.com/is/image/Target/GUEST_f11c1596-d7cb-4035-9b28-260c20601a11?qlt=65&amp;fmt=webp&amp;hei=350&amp;wid=350</t>
  </si>
  <si>
    <t>Lundberg Organic Long Grain White Rice - Case of 6/2 lb</t>
  </si>
  <si>
    <t>https://www.target.com/p/lundberg-organic-white-jasmine-rice-25-lb/-/A-89319156#lnk=sametab</t>
  </si>
  <si>
    <t>https://target.scene7.com/is/image/Target/GUEST_7df23b5e-6624-4332-b6a7-166d1ba75f11?qlt=65&amp;fmt=webp&amp;hei=350&amp;wid=350</t>
  </si>
  <si>
    <t>Lundberg Organic White Jasmine Rice - 25 lb</t>
  </si>
  <si>
    <t>https://www.target.com/p/lundberg-rice-and-seasoning-mix-rice-pilaf-case-of-6-5-5-oz/-/A-89319229#lnk=sametab</t>
  </si>
  <si>
    <t>https://target.scene7.com/is/image/Target/GUEST_08a46ea4-788d-42f0-88d6-a71e30fc527d?qlt=65&amp;fmt=webp&amp;hei=350&amp;wid=350</t>
  </si>
  <si>
    <t>Lundberg Rice and Seasoning Mix Rice Pilaf - Case of 6/5.5 oz</t>
  </si>
  <si>
    <t>22oz</t>
  </si>
  <si>
    <t>https://www.target.com/p/lundberg-short-grain-brain-brown-rice-25-lb/-/A-89319172#lnk=sametab</t>
  </si>
  <si>
    <t>https://target.scene7.com/is/image/Target/GUEST_2b0209f0-2696-4c26-bc03-10ea7af91934?qlt=65&amp;fmt=webp&amp;hei=350&amp;wid=350</t>
  </si>
  <si>
    <t>Lundberg Short Grain Brain Brown Rice - 25 lb</t>
  </si>
  <si>
    <t>https://www.target.com/p/lundberg-white-basmati-rice-25-lb/-/A-89319198#lnk=sametab</t>
  </si>
  <si>
    <t>https://target.scene7.com/is/image/Target/GUEST_c1c16c9e-5047-4e38-b684-1a7d8b8ab539?qlt=65&amp;fmt=webp&amp;hei=350&amp;wid=354</t>
  </si>
  <si>
    <t>Lundberg White Basmati Rice - 25 lb</t>
  </si>
  <si>
    <t>https://www.target.com/p/lundberg-wild-blend-whole-grain-brown-and-wild-rice-16oz/-/A-14907540#lnk=sametab</t>
  </si>
  <si>
    <t>https://target.scene7.com/is/image/Target/GUEST_c7769c34-ddec-4144-a7e2-efe55a484e54?qlt=65&amp;fmt=webp&amp;hei=350&amp;wid=350</t>
  </si>
  <si>
    <t>Lundberg Wild Blend Whole Grain, Brown and Wild Rice - 16oz</t>
  </si>
  <si>
    <t>https://www.target.com/p/mission-25-calorie-yellow-corn-tortillas-11-25oz-30ct/-/A-79555479#lnk=sametab</t>
  </si>
  <si>
    <t>https://target.scene7.com/is/image/Target/GUEST_ae13a2bd-0bfe-42bc-b815-57aa1c84d3c5?qlt=65&amp;fmt=webp&amp;hei=350&amp;wid=350</t>
  </si>
  <si>
    <t>Mission 25 Calories Yellow Corn Tortillas - 11.25oz/30ct</t>
  </si>
  <si>
    <t>11.25oz</t>
  </si>
  <si>
    <t>https://www.target.com/p/mission-carb-balance-whole-wheat-burrito-6ct-15oz/-/A-91576162#lnk=sametab</t>
  </si>
  <si>
    <t>https://target.scene7.com/is/image/Target/GUEST_157722ec-72c1-4523-8fd7-f1623091393b?qlt=65&amp;fmt=webp&amp;hei=350&amp;wid=350</t>
  </si>
  <si>
    <t>Mission Burrito Size Carb Balance Whole Wheat Flour Tortillas - 15oz/6ct</t>
  </si>
  <si>
    <t>https://www.target.com/p/mission-burrito-size-flour-tortillas-20oz-8ct/-/A-13101055#lnk=sametab</t>
  </si>
  <si>
    <t>https://target.scene7.com/is/image/Target/GUEST_224d8a3d-34df-48cb-84f9-e4920c8293e9?qlt=65&amp;fmt=webp&amp;hei=350&amp;wid=350</t>
  </si>
  <si>
    <t>Mission Burrito Size Super Soft Flour Tortillas - 20oz/8ct</t>
  </si>
  <si>
    <t>https://www.target.com/p/mission-10-34-large-size-flour-tortillas-40oz-16ct/-/A-15249127#lnk=sametab</t>
  </si>
  <si>
    <t>https://target.scene7.com/is/image/Target/GUEST_73fcb28e-ae13-4dbd-b147-222dc44f7e05?qlt=65&amp;fmt=webp&amp;hei=350&amp;wid=350</t>
  </si>
  <si>
    <t>Mission Burrito Size Super Soft Flour Tortillas - 40oz/16ct</t>
  </si>
  <si>
    <t>40oz</t>
  </si>
  <si>
    <t>https://www.target.com/p/mission-carb-balance-fajita-size-whole-wheat-flour-tortillas-8oz-8ct/-/A-14769396#lnk=sametab</t>
  </si>
  <si>
    <t>https://target.scene7.com/is/image/Target/GUEST_2514189c-2f13-44f9-a568-363f1d8aca4c?qlt=65&amp;fmt=webp&amp;hei=350&amp;wid=350</t>
  </si>
  <si>
    <t>Mission Carb Balance Fajita Size Whole Wheat Flour Tortillas - 8oz/8ct</t>
  </si>
  <si>
    <t>8oz</t>
  </si>
  <si>
    <t>https://www.target.com/p/mission-carb-balance-tomato-basil-wraps-12oz-8ct/-/A-79555478#lnk=sametab</t>
  </si>
  <si>
    <t>https://target.scene7.com/is/image/Target/GUEST_55a21b45-b948-44c9-b319-664591fa9e91?qlt=65&amp;fmt=webp&amp;hei=350&amp;wid=350</t>
  </si>
  <si>
    <t>Mission Carb Balance Sundried Tomato Basil Tortilla Wraps  - 12oz/8ct</t>
  </si>
  <si>
    <t>https://www.target.com/p/mission-carb-balance-taco-size-soft-flour-tortillas-12oz-8ct/-/A-13728430#lnk=sametab</t>
  </si>
  <si>
    <t>https://target.scene7.com/is/image/Target/GUEST_6cfd8801-e7fe-42b4-8cb9-6bb878eacf5d?qlt=65&amp;fmt=webp&amp;hei=350&amp;wid=350</t>
  </si>
  <si>
    <t>Mission Carb Balance Taco Size Soft flour Tortillas - 12oz/8ct</t>
  </si>
  <si>
    <t>https://www.target.com/p/mission-fajita-grande-size-super-soft-flour-tortillas-15oz-10ct/-/A-47112526#lnk=sametab</t>
  </si>
  <si>
    <t>https://target.scene7.com/is/image/Target/GUEST_2d03d4f9-e231-48df-8398-4ed87ec28f95?qlt=65&amp;fmt=webp&amp;hei=350&amp;wid=350</t>
  </si>
  <si>
    <t>Mission Fajita Grande Size Super Soft Flour Tortillas - 15oz/10ct</t>
  </si>
  <si>
    <t>https://www.target.com/p/mission-carb-balance-super-soft-flour-tortillas-8oz-8ct/-/A-47087807#lnk=sametab</t>
  </si>
  <si>
    <t>https://target.scene7.com/is/image/Target/GUEST_186d2395-2826-490b-b4af-b4898d5ae7bc?qlt=65&amp;fmt=webp&amp;hei=350&amp;wid=350</t>
  </si>
  <si>
    <t>Mission Fajita Size Carb Balance Flour Tortillas - 8oz/8ct</t>
  </si>
  <si>
    <t>https://www.target.com/p/mission-extra-fluffy-fajita-flour-tortillas-22-5oz/-/A-14911526#lnk=sametab</t>
  </si>
  <si>
    <t>https://target.scene7.com/is/image/Target/GUEST_0c9ca554-93f4-49cb-8226-ad9b9ccd691c?qlt=65&amp;fmt=webp&amp;hei=350&amp;wid=350</t>
  </si>
  <si>
    <t>Mission Fajita Size Extra Fluffy Flour Tortillas - 22.5oz</t>
  </si>
  <si>
    <t>https://www.target.com/p/mission-fajita-size-soft-38-fluffy-tortillas-24oz-16ct/-/A-47087700#lnk=sametab</t>
  </si>
  <si>
    <t>https://target.scene7.com/is/image/Target/GUEST_12c4b9d3-da48-4832-94af-b93241bf5d72?qlt=65&amp;fmt=webp&amp;hei=350&amp;wid=350</t>
  </si>
  <si>
    <t>Mission Fajita Size Soft &amp; Fluffy Homestyle Flour Tortillas - 24oz/16ct</t>
  </si>
  <si>
    <t>24oz</t>
  </si>
  <si>
    <t>https://www.target.com/p/mission-fajita-flour-tortillas-23oz-20ct/-/A-14770774#lnk=sametab</t>
  </si>
  <si>
    <t>https://target.scene7.com/is/image/Target/GUEST_3ad9e1ec-3ecb-4d07-9f8a-1fe3e7ed06b4?qlt=65&amp;fmt=webp&amp;hei=350&amp;wid=350</t>
  </si>
  <si>
    <t>Mission Fajita Size Super Soft Flour Tortillas - 23oz/20ct</t>
  </si>
  <si>
    <t>23oz</t>
  </si>
  <si>
    <t>https://www.target.com/p/mission-fajita-size-flour-tortillas-9-2oz-8ct/-/A-14913804#lnk=sametab</t>
  </si>
  <si>
    <t>https://target.scene7.com/is/image/Target/GUEST_1a62073e-36a8-4b3e-a15a-c7fac7c495d5?qlt=65&amp;fmt=webp&amp;hei=350&amp;wid=350</t>
  </si>
  <si>
    <t>Mission Fajita Size Super Soft Flour Tortillas - 9.2oz/8ct</t>
  </si>
  <si>
    <t>9.2oz</t>
  </si>
  <si>
    <t>https://www.target.com/p/mission-chalupas-8-67oz/-/A-88858501#lnk=sametab</t>
  </si>
  <si>
    <t>https://target.scene7.com/is/image/Target/GUEST_2f039b35-fcad-438b-a1bb-4ed4c1062af3?qlt=65&amp;fmt=webp&amp;hei=350&amp;wid=350</t>
  </si>
  <si>
    <t>Mission Flour Chalupas - 8.67oz</t>
  </si>
  <si>
    <t>https://www.target.com/p/mission-large-garden-spinach-38-herb-wrap-tortillas-15oz-6ct/-/A-14771990#lnk=sametab</t>
  </si>
  <si>
    <t>https://target.scene7.com/is/image/Target/GUEST_a5d65365-3ec6-4958-9c2e-224df0604dac?qlt=65&amp;fmt=webp&amp;hei=350&amp;wid=350</t>
  </si>
  <si>
    <t>Mission Garden Spinach &amp; Herb Wraps - 15oz/6ct</t>
  </si>
  <si>
    <t>https://www.target.com/p/mission-8-34-gluten-free-spinach-tortillas-10-5oz-6ct/-/A-54283296#lnk=sametab</t>
  </si>
  <si>
    <t>https://target.scene7.com/is/image/Target/GUEST_ab176ac4-0e70-4537-a0e6-ac6732067072?qlt=65&amp;fmt=webp&amp;hei=350&amp;wid=350</t>
  </si>
  <si>
    <t>Mission Gluten Free Spinach &amp; Herb Tortilla Wraps - 10.5oz/6ct</t>
  </si>
  <si>
    <t>10.5oz</t>
  </si>
  <si>
    <t>https://www.target.com/p/mission-vegan-protein-plant-powered-tortillas-9oz-6ct/-/A-54612576#lnk=sametab</t>
  </si>
  <si>
    <t>https://target.scene7.com/is/image/Target/GUEST_ba9ade2f-b104-4e7e-b3b9-389404a3e245?qlt=65&amp;fmt=webp&amp;hei=350&amp;wid=350</t>
  </si>
  <si>
    <t>Mission Protein Tortilla Wraps - 9oz/6ct</t>
  </si>
  <si>
    <t>9oz</t>
  </si>
  <si>
    <t>https://www.target.com/p/mission-street-taco-flour-tortillas-11oz-12ct/-/A-51633181#lnk=sametab</t>
  </si>
  <si>
    <t>https://target.scene7.com/is/image/Target/GUEST_d7ecfac7-59b5-4171-a2cb-1afa55f676ae?qlt=65&amp;fmt=webp&amp;hei=350&amp;wid=350</t>
  </si>
  <si>
    <t>Mission Street Taco Size Super Soft Flour Tortillas - 11oz/12ct</t>
  </si>
  <si>
    <t>11oz</t>
  </si>
  <si>
    <t>https://www.target.com/p/mission-street-taco-size-hawaiian-tortillas-8-54oz-10ct/-/A-79555480#lnk=sametab</t>
  </si>
  <si>
    <t>https://target.scene7.com/is/image/Target/GUEST_ecbf8289-e6ac-42e2-8691-f88907408090?qlt=65&amp;fmt=webp&amp;hei=350&amp;wid=350</t>
  </si>
  <si>
    <t>Mission Street Taco Size Super Soft Sweet Hawaiian Flour Tortillas - 8.54oz/10ct</t>
  </si>
  <si>
    <t>8.5oz</t>
  </si>
  <si>
    <t>https://www.target.com/p/mission-gluten-free-street-taco-corn-tortillas-12-6oz-24ct/-/A-51633179#lnk=sametab</t>
  </si>
  <si>
    <t>https://target.scene7.com/is/image/Target/GUEST_1cd0dd32-44b4-43a5-b765-559bec20ecdb?qlt=65&amp;fmt=webp&amp;hei=350&amp;wid=350</t>
  </si>
  <si>
    <t>Mission Street Taco Size White Corn Tortillas - 12.6oz/24ct</t>
  </si>
  <si>
    <t>12.6oz</t>
  </si>
  <si>
    <t>https://www.target.com/p/mission-gluten-free-4-5-34-street-taco-size-yellow-corn-tortillas-12-6oz-24ct/-/A-54283297#lnk=sametab</t>
  </si>
  <si>
    <t>https://target.scene7.com/is/image/Target/GUEST_87cfacfb-0513-4d7e-8362-a411637b3f14?qlt=65&amp;fmt=webp&amp;hei=350&amp;wid=350</t>
  </si>
  <si>
    <t>Mission Street Taco Size Yellow Corn Tortillas - 12.6oz/24ct</t>
  </si>
  <si>
    <t>https://www.target.com/p/mission-zero-net-carbs-original-tortillas-14ct-8-89oz/-/A-88041309#lnk=sametab</t>
  </si>
  <si>
    <t>https://target.scene7.com/is/image/Target/GUEST_3fc5fafe-9677-4c42-8e0f-ae29e555b84f?qlt=65&amp;fmt=webp&amp;hei=350&amp;wid=350</t>
  </si>
  <si>
    <t>Mission Street Taco Size Zero Net Carbs Original Flour Tortillas - 14ct/8.89oz</t>
  </si>
  <si>
    <t>https://www.target.com/p/mission-zero-net-carbs-sundried-tomato-basil-tortillas-14ct-8-89oz/-/A-88041310#lnk=sametab</t>
  </si>
  <si>
    <t>https://target.scene7.com/is/image/Target/GUEST_cf765c88-be3a-4145-badd-a824ac1c514e?qlt=65&amp;fmt=webp&amp;hei=350&amp;wid=350</t>
  </si>
  <si>
    <t>Mission Street Taco Size Zero Net Carbs Sundried Tomato Basil Flour Tortillas - 14ct/8.89oz</t>
  </si>
  <si>
    <t>https://www.target.com/p/mission-sun-dried-tomato-basil-wraps-15oz-6ct/-/A-13401395#lnk=sametab</t>
  </si>
  <si>
    <t>https://target.scene7.com/is/image/Target/GUEST_aa03fabf-da50-4de5-99d5-d6824d075aed?qlt=65&amp;fmt=webp&amp;hei=350&amp;wid=350</t>
  </si>
  <si>
    <t>Mission Sun Dried Tomato Basil Flour Wraps - 15oz/6ct</t>
  </si>
  <si>
    <t>https://www.target.com/p/mission-gluten-free-super-size-yellow-corn-tortillas-10-84oz-10ct/-/A-14769387#lnk=sametab</t>
  </si>
  <si>
    <t>https://target.scene7.com/is/image/Target/GUEST_13b86a92-3722-4c55-880a-eaa6b58f5e3d?qlt=65&amp;fmt=webp&amp;hei=350&amp;wid=350</t>
  </si>
  <si>
    <t>Mission Super Size Soft Yellow Corn Tortillas - 10.84oz/10ct</t>
  </si>
  <si>
    <t>10.84oz</t>
  </si>
  <si>
    <t>https://www.target.com/p/mission-gluten-free-extra-thin-yellow-corn-tortillas-5-6oz-24ct/-/A-14770818#lnk=sametab</t>
  </si>
  <si>
    <t>https://target.scene7.com/is/image/Target/GUEST_6dc7044d-b39f-4757-85d2-7c5ef72812cd?qlt=65&amp;fmt=webp&amp;hei=350&amp;wid=350</t>
  </si>
  <si>
    <t>Mission Super Soft Extra Thin Yellow Corn Tortillas - 5.6oz/24ct</t>
  </si>
  <si>
    <t>https://www.target.com/p/mission-gluten-free-white-corn-tortillas-25oz-30ct/-/A-14769448#lnk=sametab</t>
  </si>
  <si>
    <t>https://target.scene7.com/is/image/Target/GUEST_c8390074-5109-41ab-a571-7b9d79b3b379?qlt=65&amp;fmt=webp&amp;hei=350&amp;wid=350</t>
  </si>
  <si>
    <t>Mission Super Soft White Corn Tortillas - 25oz/30ct</t>
  </si>
  <si>
    <t>25oz</t>
  </si>
  <si>
    <t>https://www.target.com/p/mission-gluten-free-super-soft-white-corn-tortillas-4lbs-80ct/-/A-47112269#lnk=sametab</t>
  </si>
  <si>
    <t>https://target.scene7.com/is/image/Target/GUEST_309a9efb-f4db-4e2c-a732-e10022ac50bb?qlt=65&amp;fmt=webp&amp;hei=350&amp;wid=350</t>
  </si>
  <si>
    <t>Mission Super Soft White Corn Tortillas - 4lbs/80ct</t>
  </si>
  <si>
    <t>64oz</t>
  </si>
  <si>
    <t>https://www.target.com/p/mission-gluten-free-yellow-corn-tortillas-25oz-30ct/-/A-14771991#lnk=sametab</t>
  </si>
  <si>
    <t>https://target.scene7.com/is/image/Target/GUEST_30df8b79-3ab0-42f9-ac37-62f552c3afd6?qlt=65&amp;fmt=webp&amp;hei=350&amp;wid=350</t>
  </si>
  <si>
    <t>Mission Super Soft Yellow Corn Tortillas - 25oz/30ct</t>
  </si>
  <si>
    <t>750oz</t>
  </si>
  <si>
    <t>https://www.target.com/p/mission-taco-size-carb-balance-whole-wheat-tortillas-12oz-8ct/-/A-49159664#lnk=sametab</t>
  </si>
  <si>
    <t>https://target.scene7.com/is/image/Target/GUEST_9048206e-5b72-4cae-8419-02b8a9355fc2?qlt=65&amp;fmt=webp&amp;hei=350&amp;wid=350</t>
  </si>
  <si>
    <t>Mission Taco Size Carb Balance Whole Wheat Tortillas - 12oz/8ct</t>
  </si>
  <si>
    <t>96oz</t>
  </si>
  <si>
    <t>https://www.target.com/p/mission-taco-size-gluten-free-tortillas-10-5oz-6ct/-/A-51603962#lnk=sametab</t>
  </si>
  <si>
    <t>https://target.scene7.com/is/image/Target/GUEST_d58f491f-c910-4119-94fb-3dabd1b721fc?qlt=65&amp;fmt=webp&amp;hei=350&amp;wid=350</t>
  </si>
  <si>
    <t>Mission Taco Size Gluten Free Soft Original Flour Tortillas - 10.5oz/6ct</t>
  </si>
  <si>
    <t>63oz</t>
  </si>
  <si>
    <t>https://www.target.com/p/mission-homestyle-flour-tortillas-22-5oz-10ct/-/A-14775952#lnk=sametab</t>
  </si>
  <si>
    <t>https://target.scene7.com/is/image/Target/GUEST_a2896e91-532f-4aed-ab6b-e3278b6c4f67?qlt=65&amp;fmt=webp&amp;hei=350&amp;wid=350</t>
  </si>
  <si>
    <t>Mission Taco Size Soft &amp; Fluffy Homestyle Flour Tortillas - 22.5oz/10ct</t>
  </si>
  <si>
    <t>225oz</t>
  </si>
  <si>
    <t>https://www.target.com/p/mission-homestyle-soft-38-fluffy-flour-taco-tortillas-49-5oz-22ct/-/A-15413410#lnk=sametab</t>
  </si>
  <si>
    <t>https://target.scene7.com/is/image/Target/GUEST_d53fbac5-38aa-41ae-9fce-5eb55c8a05b8?qlt=65&amp;fmt=webp&amp;hei=350&amp;wid=350</t>
  </si>
  <si>
    <t>Mission Taco Size Soft &amp; Fluffy Homestyle Flour Tortillas Soft - 49.5oz/22ct</t>
  </si>
  <si>
    <t>1089oz</t>
  </si>
  <si>
    <t>https://www.target.com/p/mission-carb-balance-super-soft-spinach-herb-tortillas-12oz-8ct/-/A-54612563#lnk=sametab</t>
  </si>
  <si>
    <t>https://target.scene7.com/is/image/Target/GUEST_309a9093-c34b-49c5-9669-e0add017e14d?qlt=65&amp;fmt=webp&amp;hei=350&amp;wid=350</t>
  </si>
  <si>
    <t>Mission Taco Size Soft Carb Balance Spinach &amp; Herb Flour Tortillas - 12oz/8ct</t>
  </si>
  <si>
    <t>https://www.target.com/p/mission-taco-size-flour-tortillas-17-5oz-10ct/-/A-13101053#lnk=sametab</t>
  </si>
  <si>
    <t>https://target.scene7.com/is/image/Target/GUEST_ba76e8f6-a0d5-4d2f-9a36-c50b2bab00f2?qlt=65&amp;fmt=webp&amp;hei=350&amp;wid=350</t>
  </si>
  <si>
    <t>Mission Taco Size Super Soft Flour Tortillas - 17.5oz/10ct</t>
  </si>
  <si>
    <t>175oz</t>
  </si>
  <si>
    <t>https://www.target.com/p/mission-taco-size-super-soft-flour-tortillas-35oz-20ct/-/A-16587577#lnk=sametab</t>
  </si>
  <si>
    <t>https://target.scene7.com/is/image/Target/GUEST_d97b8d0c-8a1d-441a-b861-a7a1d07399be?qlt=65&amp;fmt=webp&amp;hei=350&amp;wid=350</t>
  </si>
  <si>
    <t>Mission Taco Size Super Soft Flour Tortillas - 35oz/20ct</t>
  </si>
  <si>
    <t>700oz</t>
  </si>
  <si>
    <t>https://www.target.com/p/mission-100-whole-wheat-medium-flour-tortillas-16oz-10ct/-/A-14772166#lnk=sametab</t>
  </si>
  <si>
    <t>https://target.scene7.com/is/image/Target/GUEST_d0330b17-4243-4cd7-8ef3-0fb242a5cae8?qlt=65&amp;fmt=webp&amp;hei=350&amp;wid=350</t>
  </si>
  <si>
    <t>Mission Taco Size Super Soft Whole Wheat flour Tortillas - 16oz/10ct</t>
  </si>
  <si>
    <t>160oz</t>
  </si>
  <si>
    <t>https://www.target.com/p/mission-zero-net-carb-soft-taco-tortillas-11-29oz-8ct/-/A-93750442#lnk=sametab</t>
  </si>
  <si>
    <t>https://target.scene7.com/is/image/Target/GUEST_d6d72d14-8789-4d76-a77d-b03c90c29133?qlt=65&amp;fmt=webp&amp;hei=350&amp;wid=350</t>
  </si>
  <si>
    <t>Mission Zero Net Carb Soft Taco Tortillas - 11.29oz/8ct</t>
  </si>
  <si>
    <t>89.6oz</t>
  </si>
  <si>
    <t>https://www.target.com/p/mott-39-s-100-original-apple-juice-128-fl-oz-bottle/-/A-13052004#lnk=sametab</t>
  </si>
  <si>
    <t>https://target.scene7.com/is/image/Target/GUEST_ef97f12d-d7ac-4130-beea-181c5e24fa2e?qlt=65&amp;fmt=webp&amp;hei=350&amp;wid=350</t>
  </si>
  <si>
    <t>Mott's 100% Original Apple Juice - 128 fl oz Bottle</t>
  </si>
  <si>
    <t>128oz</t>
  </si>
  <si>
    <t>https://www.target.com/p/mott-s-100-original-apple-juice-64-fl-oz-bottle/-/A-13052005#lnk=sametab</t>
  </si>
  <si>
    <t>https://target.scene7.com/is/image/Target/GUEST_850a227b-485a-4387-aef8-785e0564aa3f?qlt=65&amp;fmt=webp&amp;hei=350&amp;wid=350</t>
  </si>
  <si>
    <t>Mott's 100% Original Apple Juice - 64 fl oz Bottle</t>
  </si>
  <si>
    <t>https://www.target.com/p/mott-s-100-original-apple-juice-6pk-8-fl-oz-bottles/-/A-14409786#lnk=sametab</t>
  </si>
  <si>
    <t>https://target.scene7.com/is/image/Target/GUEST_7cb1a77f-80cb-4ba3-8bbd-d82ea970e34d?qlt=65&amp;fmt=webp&amp;hei=350&amp;wid=350</t>
  </si>
  <si>
    <t>Mott's 100% Original Apple Juice - 6pk/8 fl oz Bottles</t>
  </si>
  <si>
    <t>https://www.target.com/p/mott-39-s-assorted-fruit-flavored-snacks-8oz-10ct/-/A-14744640#lnk=sametab</t>
  </si>
  <si>
    <t>https://target.scene7.com/is/image/Target/GUEST_8aed286b-9462-4e72-b1bd-26f7d5cb63a7?qlt=65&amp;fmt=webp&amp;hei=350&amp;wid=350</t>
  </si>
  <si>
    <t>Mott's Assorted Fruit Flavored Snacks - 8oz/10ct</t>
  </si>
  <si>
    <t>80oz</t>
  </si>
  <si>
    <t>https://www.target.com/p/mott-39-s-assorted-fruit-flavored-snacks-value-pack-19-2oz-22ct/-/A-51127752#lnk=sametab</t>
  </si>
  <si>
    <t>https://target.scene7.com/is/image/Target/GUEST_c12e65f4-f62e-4331-b812-953109202096?qlt=65&amp;fmt=webp&amp;hei=350&amp;wid=350</t>
  </si>
  <si>
    <t>Mott's Assorted Fruit Flavored Snacks Value Pack - 19.2oz/22ct</t>
  </si>
  <si>
    <t>418oz</t>
  </si>
  <si>
    <t>https://www.target.com/p/mott-39-s-for-tots-apple-juice-64-fl-oz-bottle/-/A-13052281#lnk=sametab</t>
  </si>
  <si>
    <t>https://target.scene7.com/is/image/Target/GUEST_036aec7b-7d96-4716-ab08-58019194d649?qlt=65&amp;fmt=webp&amp;hei=350&amp;wid=350</t>
  </si>
  <si>
    <t>Mott's for Tots Apple Juice - 64 fl oz Bottle</t>
  </si>
  <si>
    <t>https://www.target.com/p/mott-39-s-for-tots-fruit-punch-juice-64-fl-oz-bottle/-/A-13052007#lnk=sametab</t>
  </si>
  <si>
    <t>https://target.scene7.com/is/image/Target/GUEST_98b64117-1d96-4e96-ab5f-7bae73714e4a?qlt=65&amp;fmt=webp&amp;hei=350&amp;wid=350</t>
  </si>
  <si>
    <t>Mott's for Tots Fruit Punch Juice - 64 fl oz Bottle</t>
  </si>
  <si>
    <t>https://www.target.com/p/mott-39-s-pineapple-passionfruit-juice-6pk-8-fl-oz-bottles/-/A-93405478#lnk=sametab</t>
  </si>
  <si>
    <t>https://target.scene7.com/is/image/Target/GUEST_fa0b0eb7-724d-4867-8a36-374bb106158d?qlt=65&amp;fmt=webp&amp;hei=350&amp;wid=350</t>
  </si>
  <si>
    <t>Mott's Pineapple Passionfruit Juice - 6pk/8 fl oz Bottles</t>
  </si>
  <si>
    <t>https://www.target.com/p/betty-crocker-oreo-brownie-mix-9-3oz/-/A-90305376?type=scroll_to_review_section#lnk=sametab</t>
  </si>
  <si>
    <t>https://www.target.com/p/multi-grain-cheerios-breakfast-cereal-9oz-general-mills/-/A-13782530#lnk=sametab</t>
  </si>
  <si>
    <t>https://target.scene7.com/is/image/Target/GUEST_c3ebeb23-971c-40ed-b072-f92331df068a?qlt=65&amp;fmt=webp&amp;hei=350&amp;wid=350</t>
  </si>
  <si>
    <t>Multi-Grain Cheerios Breakfast Cereal - 9oz - General Mills</t>
  </si>
  <si>
    <t>https://www.target.com/p/multigrain-cheerios-giant-size-cereal-20-6oz/-/A-90250905#lnk=sametab</t>
  </si>
  <si>
    <t>https://target.scene7.com/is/image/Target/GUEST_d9ca03ae-e6e8-4d20-adf3-1669abdee207?qlt=65&amp;fmt=webp&amp;hei=350&amp;wid=350</t>
  </si>
  <si>
    <t>Multigrain Cheerios Giant Size Cereal - 20.6oz</t>
  </si>
  <si>
    <t>https://www.target.com/p/nature-valley-almond-butter-biscuits-1-35-5ct/-/A-50103720#lnk=sametab</t>
  </si>
  <si>
    <t>https://target.scene7.com/is/image/Target/GUEST_4708dbb5-f8b5-43bf-9cc6-208e45f547f3?qlt=65&amp;fmt=webp&amp;hei=350&amp;wid=350</t>
  </si>
  <si>
    <t>Nature Valley Almond Butter Biscuits - 1.35/5ct</t>
  </si>
  <si>
    <t>6.5oz</t>
  </si>
  <si>
    <t>https://www.target.com/p/nature-valley-baked-breakfast-bar-banana-chocolate-chip-8-8oz-5ct/-/A-90411804#lnk=sametab</t>
  </si>
  <si>
    <t>https://target.scene7.com/is/image/Target/GUEST_dbb50552-873d-4bb9-b2fa-96f3d7a345d8?qlt=65&amp;fmt=webp&amp;hei=350&amp;wid=350</t>
  </si>
  <si>
    <t>Nature Valley Baked Breakfast Bar Banana Chocolate Chip - 8.8oz/5ct</t>
  </si>
  <si>
    <t>44oz</t>
  </si>
  <si>
    <t>https://www.target.com/p/nature-valley-cashew-bars-7-2oz-6ct/-/A-90593250#lnk=sametab</t>
  </si>
  <si>
    <t>https://target.scene7.com/is/image/Target/GUEST_13d8e96c-e5db-4eb6-92aa-3bfcb4f5e96a?qlt=65&amp;fmt=webp&amp;hei=350&amp;wid=350</t>
  </si>
  <si>
    <t>Nature Valley Cashew Bars - 7.2oz/6ct</t>
  </si>
  <si>
    <t>43.2oz</t>
  </si>
  <si>
    <t>https://www.target.com/p/nature-valley-crispy-creamy-strawberry-bars-6-5oz/-/A-91020979#lnk=sametab</t>
  </si>
  <si>
    <t>https://target.scene7.com/is/image/Target/GUEST_aa95f4a8-38d8-41c3-aced-40b23ec5107b?qlt=65&amp;fmt=webp&amp;hei=350&amp;wid=350</t>
  </si>
  <si>
    <t>Nature Valley Crispy Creamy Strawberry Bars - 6.5oz</t>
  </si>
  <si>
    <t>https://www.target.com/p/nature-valley-crispy-creamy-vanilla-honey-bars-6-5oz/-/A-91021627#lnk=sametab</t>
  </si>
  <si>
    <t>https://target.scene7.com/is/image/Target/GUEST_93c4260e-6f12-40fe-8535-78b4a57f618e?qlt=65&amp;fmt=webp&amp;hei=350&amp;wid=350</t>
  </si>
  <si>
    <t>Nature Valley Crispy Creamy Vanilla Honey Bars - 6.5oz</t>
  </si>
  <si>
    <t>https://www.target.com/p/nature-valley-crunchy-bars-variety-pack-17-88oz-12ct/-/A-90414085#lnk=sametab</t>
  </si>
  <si>
    <t>https://target.scene7.com/is/image/Target/GUEST_966e1f3b-6204-4b00-a2f3-e7d9f3f168c1?qlt=65&amp;fmt=webp&amp;hei=350&amp;wid=350</t>
  </si>
  <si>
    <t>Nature Valley Crunchy Bars Variety Pack - 17.88oz/ 12ct</t>
  </si>
  <si>
    <t>216oz</t>
  </si>
  <si>
    <t>https://www.target.com/p/nature-valley-crunchy-oats-39-n-honey-granola-bars-24ct/-/A-13781127#lnk=sametab</t>
  </si>
  <si>
    <t>https://target.scene7.com/is/image/Target/GUEST_25cebf4d-ce79-43f1-88b6-bc6ea3ff5008?qlt=65&amp;fmt=webp&amp;hei=350&amp;wid=350</t>
  </si>
  <si>
    <t>Nature Valley Crunchy Oats 'N Honey Granola Bars - 12ct/17.88oz</t>
  </si>
  <si>
    <t>482.4oz</t>
  </si>
  <si>
    <t>https://www.target.com/p/nature-valley-crunchy-oats-n-honey-30ct-44-7oz/-/A-88034358#lnk=sametab</t>
  </si>
  <si>
    <t>https://target.scene7.com/is/image/Target/GUEST_5454144d-8e93-4062-a4dc-1b24ba6747c5?qlt=65&amp;fmt=webp&amp;hei=350&amp;wid=350</t>
  </si>
  <si>
    <t>Nature Valley Crunchy Oats n Honey -  30ct/44.7oz</t>
  </si>
  <si>
    <t>13.41oz</t>
  </si>
  <si>
    <t>https://www.target.com/p/nature-valley-crunchy-variety-pack-30ct-44-7oz/-/A-88034577#lnk=sametab</t>
  </si>
  <si>
    <t>https://target.scene7.com/is/image/Target/GUEST_aee43fd5-edc1-4ddf-86ff-a04611f13070?qlt=65&amp;fmt=webp&amp;hei=350&amp;wid=350</t>
  </si>
  <si>
    <t>Nature Valley Crunchy Variety Pack - 30ct/44.7oz</t>
  </si>
  <si>
    <t>1341oz</t>
  </si>
  <si>
    <t>https://www.target.com/p/nature-valley-dipped-double-chocolate-granola-11oz/-/A-93226294#lnk=sametab</t>
  </si>
  <si>
    <t>https://target.scene7.com/is/image/Target/GUEST_e8756a6a-cc4f-4379-9d76-4e78b17fea5f?qlt=65&amp;fmt=webp&amp;hei=350&amp;wid=350</t>
  </si>
  <si>
    <t>Nature Valley Dipped Double Chocolate Granola - 11oz</t>
  </si>
  <si>
    <t>https://www.target.com/p/nature-valley-dipped-salted-caramel-granola-11oz/-/A-93226288#lnk=sametab</t>
  </si>
  <si>
    <t>https://target.scene7.com/is/image/Target/GUEST_a1139e7b-3abb-402e-960f-a4664ba82976?qlt=65&amp;fmt=webp&amp;hei=350&amp;wid=350</t>
  </si>
  <si>
    <t>Nature Valley Dipped Salted Caramel Granola - 11oz</t>
  </si>
  <si>
    <t>https://www.target.com/p/nature-valley-granola-bars-18ct-26-82oz/-/A-87937845#lnk=sametab</t>
  </si>
  <si>
    <t>https://target.scene7.com/is/image/Target/GUEST_bbc1d36a-6282-4dc0-9e01-05214d5809b3?qlt=65&amp;fmt=webp&amp;hei=350&amp;wid=350</t>
  </si>
  <si>
    <t>Nature Valley Granola Bars - 18ct/26.82oz</t>
  </si>
  <si>
    <t>https://www.target.com/p/nature-valley-lunchbox-double-chocolate-4-59oz-5ct/-/A-90411852#lnk=sametab</t>
  </si>
  <si>
    <t>https://target.scene7.com/is/image/Target/GUEST_82300d98-0731-449b-8ba0-4c1b04343d4d?qlt=65&amp;fmt=webp&amp;hei=350&amp;wid=350</t>
  </si>
  <si>
    <t>Nature Valley Lunchbox Double Chocolate - 4.59oz/5ct</t>
  </si>
  <si>
    <t>https://www.target.com/p/nature-valley-lunchbox-s-39-mores-4-59oz-5ct/-/A-90412083#lnk=sametab</t>
  </si>
  <si>
    <t>https://target.scene7.com/is/image/Target/GUEST_b15440c5-ab00-4fc8-be17-c32b5155675a?qlt=65&amp;fmt=webp&amp;hei=350&amp;wid=350</t>
  </si>
  <si>
    <t>Nature Valley Lunchbox S'mores - 4.59oz/5ct</t>
  </si>
  <si>
    <t>https://www.target.com/p/nature-valley-oats-39-n-honey-granola-crunch-16oz/-/A-50259282#lnk=sametab</t>
  </si>
  <si>
    <t>https://target.scene7.com/is/image/Target/GUEST_350dd4fd-b931-41dc-a0eb-06896385e1e6?qlt=65&amp;fmt=webp&amp;hei=350&amp;wid=350</t>
  </si>
  <si>
    <t>Nature Valley Oats 'N Honey Granola Crunch - 16oz</t>
  </si>
  <si>
    <t>https://www.target.com/p/nature-valley-pb-chocolate-crispy-creamy-wafer-bar-6-5oz-5ct/-/A-76201402#lnk=sametab</t>
  </si>
  <si>
    <t>https://target.scene7.com/is/image/Target/GUEST_9b8580e0-cef0-4e8f-9ede-c7167a5e4cbf?qlt=65&amp;fmt=webp&amp;hei=350&amp;wid=350</t>
  </si>
  <si>
    <t>Nature Valley PB Chocolate Crispy Creamy Wafer Bar - 6.5oz/5ct</t>
  </si>
  <si>
    <t>32.5oz</t>
  </si>
  <si>
    <t>https://www.target.com/p/nature-valley-peanut-butter-biscuits-1-35-5ct/-/A-50103725#lnk=sametab</t>
  </si>
  <si>
    <t>https://target.scene7.com/is/image/Target/GUEST_f31b26c5-0251-4f65-8f0a-2214f1de036c?qlt=65&amp;fmt=webp&amp;hei=350&amp;wid=350</t>
  </si>
  <si>
    <t>Nature Valley Peanut Butter Biscuits - 1.35/5ct</t>
  </si>
  <si>
    <t>https://www.target.com/p/nature-valley-peanut-butter-dark-chocolate-protein-chewy-bars-14-2oz-10ct/-/A-14742167#lnk=sametab</t>
  </si>
  <si>
    <t>https://target.scene7.com/is/image/Target/GUEST_5872dc50-7cfa-4f1b-8702-f5f1e1a69946?qlt=65&amp;fmt=webp&amp;hei=350&amp;wid=350</t>
  </si>
  <si>
    <t>Nature Valley Peanut Butter Dark Chocolate Protein Chewy Bars - 14.2oz - 10ct</t>
  </si>
  <si>
    <t>142oz</t>
  </si>
  <si>
    <t>https://www.target.com/p/nature-valley-peanut-butter-dark-chocolate-protein-chewy-bars-5ct/-/A-14750332#lnk=sametab</t>
  </si>
  <si>
    <t>https://target.scene7.com/is/image/Target/GUEST_e29be942-0f0a-4c84-b9e9-3d529459306d?qlt=65&amp;fmt=webp&amp;hei=350&amp;wid=350</t>
  </si>
  <si>
    <t>Nature Valley Peanut Butter Dark Chocolate Protein Chewy Bars - 5ct</t>
  </si>
  <si>
    <t>70oz</t>
  </si>
  <si>
    <t>https://www.target.com/p/nature-valley-protein-oats-n-dark-chocolate-crunchy-granola-11oz/-/A-14773742#lnk=sametab</t>
  </si>
  <si>
    <t>https://target.scene7.com/is/image/Target/GUEST_6f6a66af-1446-4619-a7ec-9e2bb6ee1467?qlt=65&amp;fmt=webp&amp;hei=350&amp;wid=350</t>
  </si>
  <si>
    <t>Nature Valley Protein Oats 'n Dark Chocolate Crunchy Granola - 11oz</t>
  </si>
  <si>
    <t>https://www.target.com/p/nature-valley-protein-oats-n-honey-crunchy-granola-11oz/-/A-14773733#lnk=sametab</t>
  </si>
  <si>
    <t>https://target.scene7.com/is/image/Target/GUEST_a7a0daaf-498c-4b47-a2de-4189b97eddcc?qlt=65&amp;fmt=webp&amp;hei=350&amp;wid=350</t>
  </si>
  <si>
    <t>Nature Valley Protein Oats 'n Honey Crunchy Granola - 11oz</t>
  </si>
  <si>
    <t>https://www.target.com/p/nature-valley-protein-salted-caramel-7-1oz-5ct/-/A-92173785#lnk=sametab</t>
  </si>
  <si>
    <t>https://target.scene7.com/is/image/Target/GUEST_c3478109-448e-410a-be03-91385b321bf3?qlt=65&amp;fmt=webp&amp;hei=350&amp;wid=350</t>
  </si>
  <si>
    <t>Nature Valley Protein Salted Caramel 7.1oz/5ct</t>
  </si>
  <si>
    <t>35.5oz</t>
  </si>
  <si>
    <t>https://www.target.com/p/nature-valley-protein-salted-caramel-nut-value-pack-14-oz/-/A-79273281#lnk=sametab</t>
  </si>
  <si>
    <t>https://target.scene7.com/is/image/Target/GUEST_e9441f5c-2aa8-4cfd-8f52-3500a26f205b?qlt=65&amp;fmt=webp&amp;hei=350&amp;wid=350</t>
  </si>
  <si>
    <t>Nature Valley Protein Salted Caramel Nut Value pack - 14.oz</t>
  </si>
  <si>
    <t>https://www.target.com/p/nature-valley-soft-baked-blueberry-breakfast-bar-8-8oz-5ct/-/A-90411718#lnk=sametab</t>
  </si>
  <si>
    <t>https://target.scene7.com/is/image/Target/GUEST_63aaf4f5-5f0d-42b6-abe9-550321beeef4?qlt=65&amp;fmt=webp&amp;hei=350&amp;wid=350</t>
  </si>
  <si>
    <t>Nature Valley Soft Baked Blueberry Breakfast Bar - 8.8oz/5ct</t>
  </si>
  <si>
    <t>https://www.target.com/p/nature-valley-soft-baked-blueberry-muffin-bars-10ct-12-4oz/-/A-82430552#lnk=sametab</t>
  </si>
  <si>
    <t>https://target.scene7.com/is/image/Target/GUEST_77151ce9-c3a7-45ea-b9d1-cba5a417a371?qlt=65&amp;fmt=webp&amp;hei=350&amp;wid=350</t>
  </si>
  <si>
    <t>Nature Valley Soft Baked Blueberry Muffin Bars - 10ct/12.4oz</t>
  </si>
  <si>
    <t>124oz</t>
  </si>
  <si>
    <t>https://www.target.com/p/nature-valley-soft-baked-oatmeal-cereal-bars-12ct-14-88oz/-/A-47972367#lnk=sametab</t>
  </si>
  <si>
    <t>https://target.scene7.com/is/image/Target/GUEST_19132a64-372c-4b79-b215-bb19fdf7e7db?qlt=65&amp;fmt=webp&amp;hei=350&amp;wid=350</t>
  </si>
  <si>
    <t>Nature Valley Soft Baked Oatmeal Cereal Bars - 12ct/14.88oz</t>
  </si>
  <si>
    <t>180oz</t>
  </si>
  <si>
    <t>https://www.target.com/p/nature-valley-sweet-38-salty-dark-chocolate-peanut-38-almond-granola-bars-7-4oz-6ct/-/A-13026015#lnk=sametab</t>
  </si>
  <si>
    <t>https://target.scene7.com/is/image/Target/GUEST_a9f44d4e-63c3-44a5-914a-1cdd63a330bb?qlt=65&amp;fmt=webp&amp;hei=350&amp;wid=350</t>
  </si>
  <si>
    <t>Nature Valley Sweet &amp; Salty Dark Chocolate-Peanut &amp; Almond Granola Bars - 7.4oz/6ct</t>
  </si>
  <si>
    <t>44.4oz</t>
  </si>
  <si>
    <t>https://www.target.com/p/nature-valley-sweet-38-salty-nut-almond-granola-bars-6ct/-/A-13026022#lnk=sametab</t>
  </si>
  <si>
    <t>https://target.scene7.com/is/image/Target/GUEST_f6277480-a8c8-40b3-97e5-e3c689965fa8?qlt=65&amp;fmt=webp&amp;hei=350&amp;wid=350</t>
  </si>
  <si>
    <t>Nature Valley Sweet &amp; Salty Nut Almond Granola Bars - 6ct</t>
  </si>
  <si>
    <t>https://www.target.com/p/nature-valley-sweet-salty-nut-peanut-granola-bars-1-2oz-12ct/-/A-15211177#lnk=sametab</t>
  </si>
  <si>
    <t>https://target.scene7.com/is/image/Target/GUEST_fd57e998-e958-485a-ba50-ed077b8720b3?qlt=65&amp;fmt=webp&amp;hei=350&amp;wid=350</t>
  </si>
  <si>
    <t>Nature Valley Sweet &amp; Salty Nut Peanut Granola Bars - 1.2oz 12ct</t>
  </si>
  <si>
    <t>14.4oz</t>
  </si>
  <si>
    <t>https://www.target.com/p/nature-valley-sweet-38-salty-nut-peanut-granola-bars-7-4oz-6ct/-/A-13781060#lnk=sametab</t>
  </si>
  <si>
    <t>https://target.scene7.com/is/image/Target/GUEST_71783d9b-666a-430c-a558-f68532bfe258?qlt=65&amp;fmt=webp&amp;hei=350&amp;wid=350</t>
  </si>
  <si>
    <t>Nature Valley Sweet &amp; Salty Nut Peanut Granola Bars - 7.4oz/6ct</t>
  </si>
  <si>
    <t>44.2oz</t>
  </si>
  <si>
    <t>https://www.target.com/p/nature-valley-sweet-n-salty-granola-bars-18ct-1-49oz/-/A-87932611#lnk=sametab</t>
  </si>
  <si>
    <t>https://target.scene7.com/is/image/Target/GUEST_ae50f206-3c00-4950-8d9d-179efeed291f?qlt=65&amp;fmt=webp&amp;hei=350&amp;wid=350</t>
  </si>
  <si>
    <t>Nature Valley Sweet N Salty Granola Bars - 18ct/1.2oz</t>
  </si>
  <si>
    <t>21.6oz</t>
  </si>
  <si>
    <t>https://www.target.com/p/nature-39-s-own-100-whole-wheat-bread-20oz/-/A-13159012#lnk=sametab</t>
  </si>
  <si>
    <t>https://target.scene7.com/is/image/Target/GUEST_e0330251-4717-4e54-aa12-fcec340118fd?qlt=65&amp;fmt=webp&amp;hei=350&amp;wid=350</t>
  </si>
  <si>
    <t>Nature's Own 100% Whole Wheat Bread - 20oz</t>
  </si>
  <si>
    <t>https://www.target.com/p/nature-39-s-own-butter-bread-20oz/-/A-13151711#lnk=sametab</t>
  </si>
  <si>
    <t>https://target.scene7.com/is/image/Target/GUEST_1f8dbf2d-5526-4b44-8c40-6c87a938fc87?qlt=65&amp;fmt=webp&amp;hei=350&amp;wid=350</t>
  </si>
  <si>
    <t>Nature's Own Butter Bread - 20oz</t>
  </si>
  <si>
    <t>https://www.target.com/p/nature-39-s-own-honey-wheat-bread-20oz/-/A-13159011#lnk=sametab</t>
  </si>
  <si>
    <t>https://target.scene7.com/is/image/Target/GUEST_7f66fe99-fbd3-4131-864e-250aed06c274?qlt=65&amp;fmt=webp&amp;hei=350&amp;wid=350</t>
  </si>
  <si>
    <t>Nature's Own Honey Wheat Bread - 20oz</t>
  </si>
  <si>
    <t>https://www.target.com/p/nature-39-s-own-perfectly-crafted-brioche-bread-22oz/-/A-78770806#lnk=sametab</t>
  </si>
  <si>
    <t>https://target.scene7.com/is/image/Target/GUEST_4d3d8515-4c54-4439-bea5-2922fd0b5f3b?qlt=65&amp;fmt=webp&amp;hei=350&amp;wid=350</t>
  </si>
  <si>
    <t>Nature's Own Perfectly crafted Brioche Bread - 22oz</t>
  </si>
  <si>
    <t>https://www.target.com/p/nature-39-s-own-perfectly-crafted-brioche-hamburger-bun-18oz/-/A-82708252#lnk=sametab</t>
  </si>
  <si>
    <t>https://target.scene7.com/is/image/Target/GUEST_91bd86ba-5208-4ebb-a697-48d2ca08230d?qlt=65&amp;fmt=webp&amp;hei=350&amp;wid=350</t>
  </si>
  <si>
    <t>Nature's Own Perfectly Crafted Brioche Hamburger Bun - 18oz</t>
  </si>
  <si>
    <t>https://www.target.com/p/nature-39-s-own-perfectly-crafted-brioche-hotdog-bun-16oz/-/A-82708253#lnk=sametab</t>
  </si>
  <si>
    <t>https://target.scene7.com/is/image/Target/GUEST_43f0c7bf-ee26-4f3b-8492-ed392968a0cf?qlt=65&amp;fmt=webp&amp;hei=350&amp;wid=350</t>
  </si>
  <si>
    <t>Nature's Own Perfectly Crafted Brioche Hotdog Bun - 16oz</t>
  </si>
  <si>
    <t>https://www.target.com/p/nature-39-s-own-perfectly-crafted-multigrain-sandwich-bread-22oz/-/A-53378555#lnk=sametab</t>
  </si>
  <si>
    <t>https://target.scene7.com/is/image/Target/GUEST_16e1079c-ef34-4aa7-b752-bd3322c62c5a?qlt=65&amp;fmt=webp&amp;hei=350&amp;wid=350</t>
  </si>
  <si>
    <t>Nature's Own Perfectly Crafted Multigrain Sandwich Bread - 22oz</t>
  </si>
  <si>
    <t>https://www.target.com/p/nature-39-s-own-perfectly-crafted-white-sandwich-bread-22oz/-/A-53378436#lnk=sametab</t>
  </si>
  <si>
    <t>https://target.scene7.com/is/image/Target/GUEST_583c5569-7ac9-4534-b27e-acc9a1464f19?qlt=65&amp;fmt=webp&amp;hei=350&amp;wid=350</t>
  </si>
  <si>
    <t>Nature's Own Perfectly Crafted White Sandwich Bread - 22oz</t>
  </si>
  <si>
    <t>https://www.target.com/p/oikos-pro-fat-free-mango-pineapple-yogurt-drink-7-fl-oz/-/A-90253144#lnk=sametab</t>
  </si>
  <si>
    <t>https://target.scene7.com/is/image/Target/GUEST_1499de62-991f-4606-9710-62a28ad44ab6?qlt=65&amp;fmt=webp&amp;hei=350&amp;wid=350</t>
  </si>
  <si>
    <t>Oikos Pro Fat Free Mango Pineapple Cultured Dairy Drink - 7 fl oz</t>
  </si>
  <si>
    <t>https://www.target.com/p/oikos-pro-fat-free-peach-yogurt-drink-7-fl-oz/-/A-90253158#lnk=sametab</t>
  </si>
  <si>
    <t>https://target.scene7.com/is/image/Target/GUEST_a2048810-1787-4e47-9c3e-3daf58965617?qlt=65&amp;fmt=webp&amp;hei=350&amp;wid=350</t>
  </si>
  <si>
    <t>Oikos Pro Fat Free Peach Cultured Dairy Drink - 7 fl oz</t>
  </si>
  <si>
    <t>https://www.target.com/p/oikos-pro-fat-free-strawberry-banana-yogurt-drink-7-fl-oz/-/A-90253147#lnk=sametab</t>
  </si>
  <si>
    <t>https://target.scene7.com/is/image/Target/GUEST_48e406c0-f69d-47c5-a2ed-e972c1fed36b?qlt=65&amp;fmt=webp&amp;hei=350&amp;wid=350</t>
  </si>
  <si>
    <t>Oikos Pro Fat Free Strawberry Banana Cultured Dairy Drink - 7 fl oz</t>
  </si>
  <si>
    <t>https://www.target.com/p/oikos-pro-mixed-berry-yogurt-drink-6ct-3-1-fl-oz/-/A-88245311#lnk=sametab</t>
  </si>
  <si>
    <t>https://target.scene7.com/is/image/Target/GUEST_8eb06606-5221-4e41-9f11-701d713234cd?qlt=65&amp;fmt=webp&amp;hei=350&amp;wid=350</t>
  </si>
  <si>
    <t>Oikos Pro Mixed Berry Cultured Dairy Drink - 3.1 fl oz/6ct</t>
  </si>
  <si>
    <t>18.6oz</t>
  </si>
  <si>
    <t>https://www.target.com/p/oikos-pro-greek-yogurt/-/A-94661740?preselect=88245315#lnk=sametab</t>
  </si>
  <si>
    <t>https://target.scene7.com/is/image/Target/GUEST_07edad8c-da4c-4e08-8098-826c2939c115?qlt=65&amp;fmt=webp&amp;hei=350&amp;wid=350</t>
  </si>
  <si>
    <t>Oikos Pro Mixed Berry Greek Yogurt - 4ct/5.3oz</t>
  </si>
  <si>
    <t>https://www.target.com/p/oikos-pro-greek-yogurt/-/A-94661740?preselect=81995736#lnk=sametab</t>
  </si>
  <si>
    <t>https://target.scene7.com/is/image/Target/GUEST_ba11c367-4136-4711-9c40-7f2936a6c1a6?qlt=65&amp;fmt=webp&amp;hei=350&amp;wid=350</t>
  </si>
  <si>
    <t>Oikos Pro Mixed Berry Greek Yogurt - 5.3oz</t>
  </si>
  <si>
    <t>https://www.target.com/p/oikos-pro-greek-yogurt/-/A-94661740?preselect=81995712#lnk=sametab</t>
  </si>
  <si>
    <t>https://target.scene7.com/is/image/Target/GUEST_7d7d0ae8-a4b5-454b-9587-24d2b1fb1b59?qlt=65&amp;fmt=webp&amp;hei=350&amp;wid=350</t>
  </si>
  <si>
    <t>Oikos Pro Peach Greek Yogurt - 5.3oz</t>
  </si>
  <si>
    <t>https://www.target.com/p/oikos-pro-strawberry-banana-yogurt-drink-6ct-3-1-fl-oz/-/A-88245313#lnk=sametab</t>
  </si>
  <si>
    <t>https://target.scene7.com/is/image/Target/GUEST_02be0c61-d759-4da3-a624-8fcf1363dbd5?qlt=65&amp;fmt=webp&amp;hei=350&amp;wid=350</t>
  </si>
  <si>
    <t>Oikos Pro Strawberry Cultured Dairy Drink - 3.1 fl oz/6ct</t>
  </si>
  <si>
    <t>https://www.target.com/p/oikos-pro-greek-yogurt/-/A-94661740?preselect=88245316#lnk=sametab</t>
  </si>
  <si>
    <t>https://target.scene7.com/is/image/Target/GUEST_646fe640-8b74-40b5-b27a-cd8c3a001dbf?qlt=65&amp;fmt=webp&amp;hei=350&amp;wid=350</t>
  </si>
  <si>
    <t>Oikos Pro Strawberry Greek Yogurt - 4ct/5.3oz</t>
  </si>
  <si>
    <t>https://www.target.com/p/oikos-pro-greek-yogurt/-/A-94661740?preselect=81995716#lnk=sametab</t>
  </si>
  <si>
    <t>https://target.scene7.com/is/image/Target/GUEST_cf71fcae-48ef-41bb-8dc0-ed2a2c37026f?qlt=65&amp;fmt=webp&amp;hei=350&amp;wid=350</t>
  </si>
  <si>
    <t>Oikos Pro Strawberry Greek Yogurt - 5.3oz</t>
  </si>
  <si>
    <t>https://www.target.com/p/oikos-pro-greek-yogurt/-/A-94661740?preselect=85759798#lnk=sametab</t>
  </si>
  <si>
    <t>https://target.scene7.com/is/image/Target/GUEST_ff92c37b-fc00-477b-a127-f1207ea86f15?qlt=65&amp;fmt=webp&amp;hei=350&amp;wid=350</t>
  </si>
  <si>
    <t>Oikos Pro Vanilla Greek Yogurt - 32oz</t>
  </si>
  <si>
    <t>https://www.target.com/p/oikos-pro-greek-yogurt/-/A-94661740?preselect=88245314#lnk=sametab</t>
  </si>
  <si>
    <t>https://target.scene7.com/is/image/Target/GUEST_89841ebf-e0bb-4a43-94f4-fb48f647b562?qlt=65&amp;fmt=webp&amp;hei=350&amp;wid=350</t>
  </si>
  <si>
    <t>Oikos Pro Vanilla Greek Yogurt - 4ct/5.3oz</t>
  </si>
  <si>
    <t>https://www.target.com/p/oikos-pro-greek-yogurt/-/A-94661740?preselect=81995727#lnk=sametab</t>
  </si>
  <si>
    <t>https://target.scene7.com/is/image/Target/GUEST_7eb0baf6-8389-4f4d-beb9-4c3d79afac18?qlt=65&amp;fmt=webp&amp;hei=350&amp;wid=350</t>
  </si>
  <si>
    <t>Oikos Pro Vanilla Greek Yogurt - 5.3oz</t>
  </si>
  <si>
    <t>https://www.target.com/p/oikos-remix-greek-yogurt-4-5oz/-/A-94723641?preselect=90253154#lnk=sametab</t>
  </si>
  <si>
    <t>https://target.scene7.com/is/image/Target/GUEST_fa3cb5b9-0808-4122-a1a6-eef26aebdcad?qlt=65&amp;fmt=webp&amp;hei=350&amp;wid=350</t>
  </si>
  <si>
    <t>Oikos REMIX Caramel with Chocolate and Pretzel Greek Yogurt - 4.5oz</t>
  </si>
  <si>
    <t>https://www.target.com/p/oikos-remix-greek-yogurt-4-5oz/-/A-94723641?preselect=90253146#lnk=sametab</t>
  </si>
  <si>
    <t>https://target.scene7.com/is/image/Target/GUEST_ff1c6a36-eb5b-47f2-a16a-d6457ab701ad?qlt=65&amp;fmt=webp&amp;hei=350&amp;wid=350</t>
  </si>
  <si>
    <t>Oikos REMIX Coconut with Chocolate and Almond Greek Yogurt - 4.5oz</t>
  </si>
  <si>
    <t>https://www.target.com/p/oikos-remix-greek-yogurt-4-5oz/-/A-94723641?preselect=90253143#lnk=sametab</t>
  </si>
  <si>
    <t>https://target.scene7.com/is/image/Target/GUEST_02d4ff2f-9732-4373-aa8e-5693a2696816?qlt=65&amp;fmt=webp&amp;hei=350&amp;wid=350</t>
  </si>
  <si>
    <t>Oikos REMIX Vanilla with Chocolate and Graham Greek Yogurt - 4.5oz</t>
  </si>
  <si>
    <t>https://www.target.com/p/oikos-triple-zero-greek-yogurt/-/A-94723640?preselect=53294194#lnk=sametab</t>
  </si>
  <si>
    <t>https://target.scene7.com/is/image/Target/GUEST_a764ad1f-0614-4f08-8c63-2b8e6395d17a?qlt=65&amp;fmt=webp&amp;hei=350&amp;wid=350</t>
  </si>
  <si>
    <t>Oikos Triple Zero Cherry Greek Yogurt - 4ct/5.3oz Cups</t>
  </si>
  <si>
    <t>https://www.target.com/p/oikos-triple-zero-greek-yogurt/-/A-94723640?preselect=23937892#lnk=sametab</t>
  </si>
  <si>
    <t>https://target.scene7.com/is/image/Target/GUEST_91d4680f-ce55-4bfb-b7d5-0e7c68da453c?qlt=65&amp;fmt=webp&amp;hei=350&amp;wid=350</t>
  </si>
  <si>
    <t>Oikos Triple Zero Mixed Berry Greek Yogurt - 4ct/5.3oz Cups</t>
  </si>
  <si>
    <t>https://www.target.com/p/oikos-triple-zero-greek-yogurt/-/A-94723640?preselect=52897216#lnk=sametab</t>
  </si>
  <si>
    <t>https://target.scene7.com/is/image/Target/GUEST_df96aaa1-507d-4f44-b489-830eb2372ae2?qlt=65&amp;fmt=webp&amp;hei=350&amp;wid=350</t>
  </si>
  <si>
    <t>Oikos Triple Zero Peach Greek Yogurt - 4ct/5.3oz Cups</t>
  </si>
  <si>
    <t>https://www.target.com/p/oikos-triple-zero-greek-yogurt/-/A-94723640?preselect=24013291#lnk=sametab</t>
  </si>
  <si>
    <t>https://target.scene7.com/is/image/Target/GUEST_25494bf2-3a3e-489a-8120-1a9d3f81be1c?qlt=65&amp;fmt=webp&amp;hei=350&amp;wid=350</t>
  </si>
  <si>
    <t>Oikos Triple Zero Strawberry Greek Yogurt - 4ct/5.3oz Cups</t>
  </si>
  <si>
    <t>https://www.target.com/p/oikos-triple-zero-greek-yogurt/-/A-94723640?preselect=26399564#lnk=sametab</t>
  </si>
  <si>
    <t>https://target.scene7.com/is/image/Target/GUEST_740f51a4-1df9-4ce9-b187-10fa2ced7c94?qlt=65&amp;fmt=webp&amp;hei=350&amp;wid=350</t>
  </si>
  <si>
    <t>Oikos Triple Zero Vanilla Greek Yogurt - 32oz Tub</t>
  </si>
  <si>
    <t>https://www.target.com/p/oikos-triple-zero-greek-yogurt/-/A-94723640?preselect=24013290#lnk=sametab</t>
  </si>
  <si>
    <t>https://target.scene7.com/is/image/Target/GUEST_f50896bb-6f00-4d99-a956-54e9f47f9b7b?qlt=65&amp;fmt=webp&amp;hei=350&amp;wid=350</t>
  </si>
  <si>
    <t>Oikos Triple Zero Vanilla Greek Yogurt - 4ct/5.3oz Cups</t>
  </si>
  <si>
    <t>https://www.target.com/p/oreo-birthday-cake-flavor-chocolate-sandwich-cookies-family-size-17oz/-/A-79692576#lnk=sametab</t>
  </si>
  <si>
    <t>https://target.scene7.com/is/image/Target/GUEST_5977bf97-dca2-41a6-9323-b3100a1702f5?qlt=65&amp;fmt=webp&amp;hei=350&amp;wid=350</t>
  </si>
  <si>
    <t>Oreo Birthday Cake Flavor Chocolate Sandwich Cookies Family Size - 17oz</t>
  </si>
  <si>
    <t>https://www.target.com/p/oreo-cakesters-soft-snack-cakes-10-1oz/-/A-84837689#lnk=sametab</t>
  </si>
  <si>
    <t>https://target.scene7.com/is/image/Target/GUEST_bdc631f7-a0a4-4412-99a8-890c44d53d07?qlt=65&amp;fmt=webp&amp;hei=350&amp;wid=350</t>
  </si>
  <si>
    <t>Oreo Cakesters Soft Snack Cakes - 10.1oz</t>
  </si>
  <si>
    <t>https://www.target.com/p/oreo-cakesters-soft-snack-cakes-10-1oz/-/A-1003099183#lnk=sametab</t>
  </si>
  <si>
    <t>https://target.scene7.com/is/image/Target/GUEST_0bac135b-d32f-4bf3-ad5b-39bf03ecd62a?qlt=65&amp;fmt=webp&amp;hei=350&amp;wid=350</t>
  </si>
  <si>
    <t>https://www.target.com/p/oreo-cakesters-soft-snack-cakes-12-5-count-packs-60-total-snack-packs/-/A-1001260018#lnk=sametab</t>
  </si>
  <si>
    <t>https://target.scene7.com/is/image/Target/GUEST_f6608ce6-053f-4090-8626-60496393e71c?qlt=65&amp;fmt=webp&amp;hei=350&amp;wid=350</t>
  </si>
  <si>
    <t>Oreo Cakesters Soft Snack Cakes, 12 - 5 Count Packs (60 Total Snack Packs)</t>
  </si>
  <si>
    <t>60oz</t>
  </si>
  <si>
    <t>https://www.target.com/p/oreo-chocolate-sandwich-cookies-15-6oz-20ct/-/A-87471156#lnk=sametab</t>
  </si>
  <si>
    <t>https://target.scene7.com/is/image/Target/GUEST_a92042c8-f116-456d-b5c7-fa66b608dcde?qlt=65&amp;fmt=webp&amp;hei=350&amp;wid=350</t>
  </si>
  <si>
    <t>Oreo Chocolate Sandwich Cookies - 15.6oz/20ct</t>
  </si>
  <si>
    <t>31.2oz</t>
  </si>
  <si>
    <t>https://www.target.com/p/oreo-chocolate-sandwich-cookies-snack-packs-15-9oz-10ct/-/A-92270449#lnk=sametab</t>
  </si>
  <si>
    <t>https://target.scene7.com/is/image/Target/GUEST_ef9216ff-4fba-4884-abec-7a80e944ed04?qlt=65&amp;fmt=webp&amp;hei=350&amp;wid=350</t>
  </si>
  <si>
    <t>Oreo Chocolate Sandwich Cookies Snack Packs - 15.9oz/10ct</t>
  </si>
  <si>
    <t>159oz</t>
  </si>
  <si>
    <t>https://www.target.com/p/oreo-dark-chocolate-flavor-creme-chocolate-sandwich-cookies-family-size-17oz/-/A-79387326#lnk=sametab</t>
  </si>
  <si>
    <t>https://target.scene7.com/is/image/Target/GUEST_af7b1755-70db-43c9-9758-f0b76fca6f71?qlt=65&amp;fmt=webp&amp;hei=350&amp;wid=350</t>
  </si>
  <si>
    <t>Oreo Dark Chocolate Flavor Creme Chocolate Sandwich Cookies Family Size - 17oz</t>
  </si>
  <si>
    <t>https://www.target.com/p/oreo-double-stuf-gluten-free-12-47oz/-/A-87471699#lnk=sametab</t>
  </si>
  <si>
    <t>https://target.scene7.com/is/image/Target/GUEST_68251a45-6ce9-4b82-b67e-9e307a25e27f?qlt=65&amp;fmt=webp&amp;hei=350&amp;wid=350</t>
  </si>
  <si>
    <t>Oreo Double Stuf Gluten Free - 12.47oz</t>
  </si>
  <si>
    <t>https://www.target.com/p/oreo-bars-fresh-stacks-8-05oz/-/A-93104981#lnk=sametab</t>
  </si>
  <si>
    <t>https://target.scene7.com/is/image/Target/GUEST_6855fe02-0b79-4697-aeaa-d592b32f43a0?qlt=65&amp;fmt=webp&amp;hei=350&amp;wid=350</t>
  </si>
  <si>
    <t>Oreo Fresh Stacks Cookies - 8.05oz</t>
  </si>
  <si>
    <t>https://www.target.com/p/oreo-golden-birthday-cake-cookies-10-68oz/-/A-93105251#lnk=sametab</t>
  </si>
  <si>
    <t>https://target.scene7.com/is/image/Target/GUEST_10dc6364-d83d-4c12-8141-67296479d978?qlt=65&amp;fmt=webp&amp;hei=350&amp;wid=350</t>
  </si>
  <si>
    <t>Oreo Golden Birthday Cake Cookies - 10.68oz</t>
  </si>
  <si>
    <t>https://www.target.com/p/oreo-golden-cakesters-soft-cookies-10-1oz/-/A-92246050#lnk=sametab</t>
  </si>
  <si>
    <t>https://target.scene7.com/is/image/Target/GUEST_9525f44c-1c73-4683-8afd-2e5e12fedcc7?qlt=65&amp;fmt=webp&amp;hei=350&amp;wid=350</t>
  </si>
  <si>
    <t>Oreo Golden Cakesters Soft Cookies - 10.1oz</t>
  </si>
  <si>
    <t>https://www.target.com/p/oreo-graham-flavored-sm-39-oreo-cookies-10-68oz/-/A-93105262#lnk=sametab</t>
  </si>
  <si>
    <t>https://target.scene7.com/is/image/Target/GUEST_a8263a3d-e330-47d9-a126-e20f042cc398?qlt=65&amp;fmt=webp&amp;hei=350&amp;wid=350</t>
  </si>
  <si>
    <t>Oreo Graham Flavored Sm'Oreo Cookies - 10.68oz</t>
  </si>
  <si>
    <t>https://www.target.com/p/oreo-lemon-family-size-18-71oz/-/A-87471685#lnk=sametab</t>
  </si>
  <si>
    <t>https://target.scene7.com/is/image/Target/GUEST_c58050a0-495e-4a9c-a96f-bd37b9f69b9e?qlt=65&amp;fmt=webp&amp;hei=350&amp;wid=350</t>
  </si>
  <si>
    <t>Oreo Lemon Family Size - 18.71oz</t>
  </si>
  <si>
    <t>https://www.target.com/p/oreo-loaded-sandwich-cookies-family-size-13-37oz/-/A-92246747#lnk=sametab</t>
  </si>
  <si>
    <t>https://target.scene7.com/is/image/Target/GUEST_1062800b-82d7-4508-b286-5c95a44bb61b?qlt=65&amp;fmt=webp&amp;hei=350&amp;wid=350</t>
  </si>
  <si>
    <t>Oreo Loaded Sandwich Cookies Family Size - 13.37oz</t>
  </si>
  <si>
    <t>https://www.target.com/p/oreo-mega-stuf-family-size-sandwich-cookies-17-6oz/-/A-54163317#lnk=sametab</t>
  </si>
  <si>
    <t>https://target.scene7.com/is/image/Target/GUEST_0b5d1202-388e-4fe7-830f-25bb8dad32ae?qlt=65&amp;fmt=webp&amp;hei=350&amp;wid=350</t>
  </si>
  <si>
    <t>Oreo Mega Stuf Family Size Sandwich Cookies - 17.6oz</t>
  </si>
  <si>
    <t>https://www.target.com/p/oreo-mini-chocolate-sandwich-cookies-snack-sak-8oz/-/A-12945487#lnk=sametab</t>
  </si>
  <si>
    <t>https://target.scene7.com/is/image/Target/GUEST_f59ccab2-4a83-4902-a1c7-9ae2a8e9c3aa?qlt=65&amp;fmt=webp&amp;hei=350&amp;wid=350</t>
  </si>
  <si>
    <t>Oreo Mini Chocolate Sandwich Cookies - Snack-Sak - 8oz</t>
  </si>
  <si>
    <t>https://www.target.com/p/oreo-mini-chocolate-sandwich-cookies-snack-pack-10oz-10ct/-/A-92270445#lnk=sametab</t>
  </si>
  <si>
    <t>https://target.scene7.com/is/image/Target/GUEST_21a6bf01-a7fe-4bd8-818b-f4982e415a39?qlt=65&amp;fmt=webp&amp;hei=350&amp;wid=350</t>
  </si>
  <si>
    <t>Oreo Mini Chocolate Sandwich Cookies Snack Pack - 10oz/10ct</t>
  </si>
  <si>
    <t>100oz</t>
  </si>
  <si>
    <t>https://www.target.com/p/oreo-mint-family-size-18-71oz/-/A-87471684#lnk=sametab</t>
  </si>
  <si>
    <t>https://target.scene7.com/is/image/Target/GUEST_317ab19d-5dce-442c-88fb-df550b21f0a2?qlt=65&amp;fmt=webp&amp;hei=350&amp;wid=350</t>
  </si>
  <si>
    <t>Oreo Mint Family Size - 18.71oz</t>
  </si>
  <si>
    <t>https://www.target.com/p/oreo-original-38-oreo-double-stuf-gluten-free-cookies-variety-pack-49-1oz/-/A-91503211#lnk=sametab</t>
  </si>
  <si>
    <t>https://target.scene7.com/is/image/Target/GUEST_c898bc91-35b6-46c3-8f7f-0983b6e72d49?qlt=65&amp;fmt=webp&amp;hei=350&amp;wid=350</t>
  </si>
  <si>
    <t>Oreo Original &amp; Oreo Double Stuf Gluten Free Cookies Variety Pack - 49.1oz</t>
  </si>
  <si>
    <t>https://www.target.com/p/oreo-chocolate-sandwich-cookies/-/A-89243760?preselect=89668726#lnk=sametab</t>
  </si>
  <si>
    <t>https://target.scene7.com/is/image/Target/GUEST_822e89bb-c059-46c5-bdbb-75c9b4f388c7?qlt=65&amp;fmt=webp&amp;hei=350&amp;wid=350</t>
  </si>
  <si>
    <t>Oreo Original Cookies Party Size - 24.16oz</t>
  </si>
  <si>
    <t>https://www.target.com/p/oreo-chocolate-sandwich-cookies/-/A-89243760?preselect=87471453#lnk=sametab</t>
  </si>
  <si>
    <t>https://target.scene7.com/is/image/Target/GUEST_8cc36efc-6e13-4cd6-aac4-dc0d79de2851?qlt=65&amp;fmt=webp&amp;hei=350&amp;wid=350</t>
  </si>
  <si>
    <t>Oreo Original Family Size - 18.12oz</t>
  </si>
  <si>
    <t>https://www.target.com/p/oreo-original-gluten-free-12-08oz/-/A-87471698#lnk=sametab</t>
  </si>
  <si>
    <t>https://target.scene7.com/is/image/Target/GUEST_41d36f77-ab2c-4079-afbb-3dedfd11e79f?qlt=65&amp;fmt=webp&amp;hei=350&amp;wid=350</t>
  </si>
  <si>
    <t>Oreo Original Gluten Free - 12.08oz</t>
  </si>
  <si>
    <t>https://www.target.com/p/oreo-thins-original-cookies/-/A-91520516?preselect=89668806#lnk=sametab</t>
  </si>
  <si>
    <t>https://target.scene7.com/is/image/Target/GUEST_97b76501-0418-4647-9909-bea5452883c0?qlt=65&amp;fmt=webp&amp;hei=350&amp;wid=350</t>
  </si>
  <si>
    <t>Oreo Thins Original Cookies - 9.21oz</t>
  </si>
  <si>
    <t>https://www.target.com/p/oreo-thins-tiramisu-cookies-family-size-11-78oz/-/A-89669039#lnk=sametab</t>
  </si>
  <si>
    <t>https://target.scene7.com/is/image/Target/GUEST_6fd4aa9d-2971-4f20-8f17-558c549a1ddb?qlt=65&amp;fmt=webp&amp;hei=350&amp;wid=350</t>
  </si>
  <si>
    <t>Oreo Thins Tiramisu Cookies Family Size - 11.78oz</t>
  </si>
  <si>
    <t>https://www.target.com/p/oreo-toffee-crunch-cookies-17oz/-/A-85211035#lnk=sametab</t>
  </si>
  <si>
    <t>https://target.scene7.com/is/image/Target/GUEST_3af92fd5-235f-45da-bb1c-fe11c30840b5?qlt=65&amp;fmt=webp&amp;hei=350&amp;wid=350</t>
  </si>
  <si>
    <t>Oreo Toffee Crunch Cookies - 17oz</t>
  </si>
  <si>
    <t>https://www.target.com/p/oreo-chips-ahoy-cookies-18oz-20ct/-/A-92248041#lnk=sametab</t>
  </si>
  <si>
    <t>https://target.scene7.com/is/image/Target/GUEST_d1d78969-a948-4b5d-b118-8d02f545eeb9?qlt=65&amp;fmt=webp&amp;hei=350&amp;wid=350</t>
  </si>
  <si>
    <t>Oreo, Chips Ahoy! Cookies - 18oz/20ct</t>
  </si>
  <si>
    <t>360oz</t>
  </si>
  <si>
    <t>https://www.target.com/p/oscar-mayer-bacon-12oz/-/A-89298903#lnk=sametab</t>
  </si>
  <si>
    <t>https://target.scene7.com/is/image/Target/GUEST_19185f83-bdb7-41c4-92cd-238f7fc0ffd3?qlt=65&amp;fmt=webp&amp;hei=350&amp;wid=350</t>
  </si>
  <si>
    <t>Oscar Mayer Bacon - 12oz</t>
  </si>
  <si>
    <t>https://www.target.com/p/oscar-mayer-bacon-16oz/-/A-89298986#lnk=sametab</t>
  </si>
  <si>
    <t>https://target.scene7.com/is/image/Target/GUEST_12a8a23e-d4b4-48fe-867a-4efab59d1811?qlt=65&amp;fmt=webp&amp;hei=350&amp;wid=350</t>
  </si>
  <si>
    <t>Oscar Mayer Bacon - 16oz</t>
  </si>
  <si>
    <t>https://www.target.com/p/oscar-mayer-beef-bologna-sliced-lunch-meat-16oz/-/A-12945872#lnk=sametab</t>
  </si>
  <si>
    <t>https://target.scene7.com/is/image/Target/GUEST_a030c113-1b78-4f60-8597-b6ec41d8c7cb?qlt=65&amp;fmt=webp&amp;hei=350&amp;wid=350</t>
  </si>
  <si>
    <t>Oscar Mayer Beef Bologna Sliced Lunch Meat - 16oz</t>
  </si>
  <si>
    <t>https://www.target.com/p/oscar-mayer-bologna-sliced-lunch-meat-16oz/-/A-12945688#lnk=sametab</t>
  </si>
  <si>
    <t>https://target.scene7.com/is/image/Target/GUEST_c45de95f-8b29-43d9-914d-56bee06a1ff4?qlt=65&amp;fmt=webp&amp;hei=350&amp;wid=350</t>
  </si>
  <si>
    <t>Oscar Mayer Bologna Sliced Lunch Meat - 16oz</t>
  </si>
  <si>
    <t>https://www.target.com/p/oscar-mayer-bun-length-uncured-beef-franks-hot-dogs-15oz-8ct/-/A-12959007#lnk=sametab</t>
  </si>
  <si>
    <t>https://target.scene7.com/is/image/Target/GUEST_48457e4a-7f29-4bad-868a-a4f67515b6c5?qlt=65&amp;fmt=webp&amp;hei=350&amp;wid=350</t>
  </si>
  <si>
    <t>Oscar Mayer Bun-Length Beef Franks Hot Dogs - 15oz/8ct</t>
  </si>
  <si>
    <t>120oz</t>
  </si>
  <si>
    <t>https://www.target.com/p/oscar-mayer-carving-board-oven-roasted-turkey-breast-sliced-lunch-meat-7-5oz/-/A-12945723#lnk=sametab</t>
  </si>
  <si>
    <t>https://target.scene7.com/is/image/Target/GUEST_026d7fc1-1859-4fb4-9c04-e57bc87e4afb?qlt=65&amp;fmt=webp&amp;hei=350&amp;wid=350</t>
  </si>
  <si>
    <t>Oscar Mayer Carving Board Oven Roasted Turkey Breast Sliced Lunch Meat - 7.5oz</t>
  </si>
  <si>
    <t>https://www.target.com/p/oscar-mayer-carving-board-slow-cooked-ham-sliced-lunch-meat-7-5oz/-/A-12945725#lnk=sametab</t>
  </si>
  <si>
    <t>https://target.scene7.com/is/image/Target/GUEST_11e17b07-1e20-4a6e-9f90-843b94df8023?qlt=65&amp;fmt=webp&amp;hei=350&amp;wid=350</t>
  </si>
  <si>
    <t>Oscar Mayer Carving Board Slow Cooked Ham Sliced Lunch Meat - 7.5oz</t>
  </si>
  <si>
    <t>https://www.target.com/p/oscar-mayer-deli-fresh-cracked-black-pepper-turkey-breast-sliced-lunch-meat-8oz/-/A-53360573#lnk=sametab</t>
  </si>
  <si>
    <t>https://target.scene7.com/is/image/Target/GUEST_cdd0fd11-f54b-47a3-8e72-a390283db7f0?qlt=65&amp;fmt=webp&amp;hei=350&amp;wid=350</t>
  </si>
  <si>
    <t>Oscar Mayer Deli Fresh Cracked Black Pepper Turkey Breast Sliced Lunch Meat - 8oz</t>
  </si>
  <si>
    <t>https://www.target.com/p/oscar-mayer-deli-fresh-honey-smoked-turkey-breast-sliced-lunch-meat-9oz/-/A-12945827#lnk=sametab</t>
  </si>
  <si>
    <t>https://target.scene7.com/is/image/Target/GUEST_c46512cc-3b2b-460b-a578-5d5bce64d7fc?qlt=65&amp;fmt=webp&amp;hei=350&amp;wid=350</t>
  </si>
  <si>
    <t>Oscar Mayer Deli Fresh Honey Smoked Turkey Breast Sliced Lunch Meat - 9oz</t>
  </si>
  <si>
    <t>https://www.target.com/p/oscar-mayer-deli-fresh-honey-smoked-turkey-breast-sliced-lunch-meat-family-size-16oz/-/A-50453163#lnk=sametab</t>
  </si>
  <si>
    <t>https://target.scene7.com/is/image/Target/GUEST_1fe71ef3-e496-4fe9-84e1-1337343b1847?qlt=65&amp;fmt=webp&amp;hei=350&amp;wid=350</t>
  </si>
  <si>
    <t>Oscar Mayer Deli Fresh Honey Smoked Turkey Breast Sliced Lunch Meat Family Size - 16oz</t>
  </si>
  <si>
    <t>https://www.target.com/p/oscar-mayer-deli-fresh-honey-uncured-ham-sliced-lunch-meat-9oz/-/A-12945826#lnk=sametab</t>
  </si>
  <si>
    <t>https://target.scene7.com/is/image/Target/GUEST_15ae3a13-6723-4dca-af51-3f6384dc1a70?qlt=65&amp;fmt=webp&amp;hei=350&amp;wid=350</t>
  </si>
  <si>
    <t>Oscar Mayer Deli Fresh Honey Uncured Ham Sliced Lunch Meat - 9oz</t>
  </si>
  <si>
    <t>https://www.target.com/p/oscar-mayer-deli-fresh-honey-uncured-ham-sliced-lunch-meat-family-size-16oz/-/A-14839122#lnk=sametab</t>
  </si>
  <si>
    <t>https://target.scene7.com/is/image/Target/GUEST_f0b37dbe-4326-4726-8ded-76f2d16b0e7e?qlt=65&amp;fmt=webp&amp;hei=350&amp;wid=350</t>
  </si>
  <si>
    <t>Oscar Mayer Deli Fresh Honey Uncured Ham Sliced Lunch Meat Family Size - 16oz</t>
  </si>
  <si>
    <t>https://www.target.com/p/oscar-mayer-deli-fresh-mesquite-smoked-turkey-breast-sliced-lunch-meat-8oz/-/A-12945775#lnk=sametab</t>
  </si>
  <si>
    <t>https://target.scene7.com/is/image/Target/GUEST_3d0f7700-a607-4b46-9c5a-1aacc220877a?qlt=65&amp;fmt=webp&amp;hei=350&amp;wid=350</t>
  </si>
  <si>
    <t>Oscar Mayer Deli Fresh Mesquite Smoked Turkey Breast Sliced Lunch Meat - 8oz</t>
  </si>
  <si>
    <t>https://www.target.com/p/oscar-mayer-deli-fresh-oven-roasted-turkey-breast-sliced-lunch-meat-9oz/-/A-12945881#lnk=sametab</t>
  </si>
  <si>
    <t>https://target.scene7.com/is/image/Target/GUEST_2c63b488-6f14-4b6b-8298-d70c2f88f5d1?qlt=65&amp;fmt=webp&amp;hei=350&amp;wid=350</t>
  </si>
  <si>
    <t>Oscar Mayer Deli Fresh Oven Roasted Turkey Breast Sliced Lunch Meat - 9oz</t>
  </si>
  <si>
    <t>https://www.target.com/p/oscar-mayer-deli-fresh-oven-roasted-turkey-breast-sliced-lunch-meat-family-size-16oz/-/A-12945722#lnk=sametab</t>
  </si>
  <si>
    <t>https://target.scene7.com/is/image/Target/GUEST_b93f3c69-6531-483d-b862-b6e5cb8b93d4?qlt=65&amp;fmt=webp&amp;hei=350&amp;wid=350</t>
  </si>
  <si>
    <t>Oscar Mayer Deli Fresh Oven Roasted Turkey Breast Sliced Lunch Meat Family Size - 16oz</t>
  </si>
  <si>
    <t>https://www.target.com/p/oscar-mayer-deli-fresh-oven-roasted-turkey-breast-sliced-lunch-meat-mega-pack-22oz/-/A-52811666#lnk=sametab</t>
  </si>
  <si>
    <t>https://target.scene7.com/is/image/Target/GUEST_eb15e2ae-23d9-4a58-8b9e-8992b6e1c986?qlt=65&amp;fmt=webp&amp;hei=350&amp;wid=350</t>
  </si>
  <si>
    <t>Oscar Mayer Deli Fresh Oven Roasted Turkey Breast Sliced Lunch Meat Mega Pack - 22oz</t>
  </si>
  <si>
    <t>https://www.target.com/p/oscar-mayer-deli-fresh-rotisserie-seasoned-chicken-breast-sliced-lunch-meat-9oz/-/A-12945776#lnk=sametab</t>
  </si>
  <si>
    <t>https://target.scene7.com/is/image/Target/GUEST_a5468014-f5cc-4863-a97c-f7c7e08d8d99?qlt=65&amp;fmt=webp&amp;hei=350&amp;wid=350</t>
  </si>
  <si>
    <t>Oscar Mayer Deli Fresh Rotisserie Seasoned Chicken Breast Sliced Lunch Meat - 9oz</t>
  </si>
  <si>
    <t>https://www.target.com/p/oscar-mayer-deli-fresh-rotisserie-seasoned-chicken-breast-sliced-lunch-meat-family-size-16oz/-/A-14846561#lnk=sametab</t>
  </si>
  <si>
    <t>https://target.scene7.com/is/image/Target/GUEST_c6af200b-658c-4029-8981-ee7f6b9aa4c0?qlt=65&amp;fmt=webp&amp;hei=350&amp;wid=350</t>
  </si>
  <si>
    <t>Oscar Mayer Deli Fresh Rotisserie Seasoned Chicken Breast Sliced Lunch Meat Family Size - 16oz</t>
  </si>
  <si>
    <t>https://www.target.com/p/oscar-mayer-deli-fresh-slow-roasted-roast-beef-sliced-lunch-meat-7oz/-/A-12945879#lnk=sametab</t>
  </si>
  <si>
    <t>https://target.scene7.com/is/image/Target/GUEST_25dba3e7-daa3-4e66-a3e2-2c0d037760a4?qlt=65&amp;fmt=webp&amp;hei=350&amp;wid=350</t>
  </si>
  <si>
    <t>Oscar Mayer Deli Fresh Slow Roasted Roast Beef Sliced Lunch Meat - 7oz</t>
  </si>
  <si>
    <t>https://www.target.com/p/oscar-mayer-deli-fresh-smoked-uncured-ham-sliced-lunch-meat-9oz/-/A-12945824#lnk=sametab</t>
  </si>
  <si>
    <t>https://target.scene7.com/is/image/Target/GUEST_968e90ff-eac6-4a90-8247-d14f7f889d1c?qlt=65&amp;fmt=webp&amp;hei=350&amp;wid=350</t>
  </si>
  <si>
    <t>Oscar Mayer Deli Fresh Smoked Uncured Ham Sliced Lunch Meat - 9oz</t>
  </si>
  <si>
    <t>https://www.target.com/p/oscar-mayer-herbs-roasted-chicken-strips-6oz/-/A-94473923#lnk=sametab</t>
  </si>
  <si>
    <t>https://target.scene7.com/is/image/Target/GUEST_27d36603-6a16-4f91-9f4d-e76416821b4b?qlt=65&amp;fmt=webp&amp;hei=350&amp;wid=350</t>
  </si>
  <si>
    <t>Oscar Mayer Herbs Roasted Chicken Strips - 6oz</t>
  </si>
  <si>
    <t>https://www.target.com/p/oscar-mayer-natural-uncured-turkey-franks-hot-dogs-16oz-8ct/-/A-50542184#lnk=sametab</t>
  </si>
  <si>
    <t>https://target.scene7.com/is/image/Target/GUEST_261e2164-8a46-4eec-a1a4-d9585f9d9e66?qlt=65&amp;fmt=webp&amp;hei=350&amp;wid=350</t>
  </si>
  <si>
    <t>Oscar Mayer Natural Uncured Turkey Franks Hot Dogs - 16oz/8ct</t>
  </si>
  <si>
    <t>https://www.target.com/p/oscar-mayer-original-classic-beef-uncured-franks-hot-dogs-15oz-10ct/-/A-12959006#lnk=sametab</t>
  </si>
  <si>
    <t>https://target.scene7.com/is/image/Target/GUEST_aa180768-2784-443c-bf99-1193ce8edf5e?qlt=65&amp;fmt=webp&amp;hei=350&amp;wid=350</t>
  </si>
  <si>
    <t>Oscar Mayer Original Classic Beef Franks Hot Dogs - 15oz/10ct</t>
  </si>
  <si>
    <t>150oz</t>
  </si>
  <si>
    <t>https://www.target.com/p/oscar-mayer-turkey-bacon-12oz/-/A-12945916#lnk=sametab</t>
  </si>
  <si>
    <t>https://target.scene7.com/is/image/Target/GUEST_1e2e09d3-9882-44bb-a044-69035c6536e8?qlt=65&amp;fmt=webp&amp;hei=350&amp;wid=350</t>
  </si>
  <si>
    <t>Oscar Mayer Turkey Bacon - 12oz</t>
  </si>
  <si>
    <t>https://www.target.com/p/oscar-mayer-turkey-franks-16oz-10ct/-/A-12946397#lnk=sametab</t>
  </si>
  <si>
    <t>https://target.scene7.com/is/image/Target/GUEST_81359d70-7e78-42d6-8429-5ecd3b360657?qlt=65&amp;fmt=webp&amp;hei=350&amp;wid=350</t>
  </si>
  <si>
    <t>Oscar Mayer Turkey Franks - 16oz/10ct</t>
  </si>
  <si>
    <t>https://www.target.com/p/philadelphia-chive-38-onion-cream-cheese-spread-7-5oz/-/A-12958526#lnk=sametab</t>
  </si>
  <si>
    <t>https://target.scene7.com/is/image/Target/GUEST_c22c08f3-956a-42fa-8ee5-4f1c81612591?qlt=65&amp;fmt=webp&amp;hei=350&amp;wid=350</t>
  </si>
  <si>
    <t>Philadelphia Chive &amp; Onion Cream Cheese Spread  - 7.5oz</t>
  </si>
  <si>
    <t>https://www.target.com/p/philadelphia-garden-vegetable-cream-cheese-spread-7-5oz/-/A-12958565#lnk=sametab</t>
  </si>
  <si>
    <t>https://target.scene7.com/is/image/Target/GUEST_3ac30834-0dfd-419b-baf6-de4588dc5cc1?qlt=65&amp;fmt=webp&amp;hei=350&amp;wid=350</t>
  </si>
  <si>
    <t>Philadelphia Garden Vegetable Cream Cheese Spread - 7.5oz</t>
  </si>
  <si>
    <t>https://www.target.com/p/philadelphia-honey-pecan-cream-cheese-spread-7-5oz/-/A-12958211#lnk=sametab</t>
  </si>
  <si>
    <t>https://target.scene7.com/is/image/Target/GUEST_2a5b8212-bf50-4594-be9f-5a0afbf37408?qlt=65&amp;fmt=webp&amp;hei=350&amp;wid=350</t>
  </si>
  <si>
    <t>Philadelphia Honey Pecan Cream Cheese Spread - 7.5oz</t>
  </si>
  <si>
    <t>https://www.target.com/p/philadelphia-original-cheesecake-crumble-dessert-6-6oz-2ct/-/A-86227904#lnk=sametab</t>
  </si>
  <si>
    <t>https://target.scene7.com/is/image/Target/GUEST_dcb521cc-3c3b-44fb-a9cb-eac9cc725575?qlt=65&amp;fmt=webp&amp;hei=350&amp;wid=350</t>
  </si>
  <si>
    <t>Philadelphia Original Cheesecake Crumble Dessert - 6.6oz/2ct</t>
  </si>
  <si>
    <t>13.2oz</t>
  </si>
  <si>
    <t>https://www.target.com/p/philadelphia-original-cream-cheese-8oz/-/A-12958523#lnk=sametab</t>
  </si>
  <si>
    <t>https://target.scene7.com/is/image/Target/GUEST_0b107beb-e9df-4bcc-a911-0923736a1d7a?qlt=65&amp;fmt=webp&amp;hei=350&amp;wid=350</t>
  </si>
  <si>
    <t>Philadelphia Original Cream Cheese - 8oz</t>
  </si>
  <si>
    <t>https://www.target.com/p/philadelphia-original-cream-cheese-spread-16oz/-/A-14734256#lnk=sametab</t>
  </si>
  <si>
    <t>https://target.scene7.com/is/image/Target/GUEST_886c0831-8bd3-40f8-ab0e-9955a2ea0bf8?qlt=65&amp;fmt=webp&amp;hei=350&amp;wid=350</t>
  </si>
  <si>
    <t>Philadelphia Original Cream Cheese Spread - 16oz</t>
  </si>
  <si>
    <t>https://www.target.com/p/philadelphia-original-cream-cheese-spread-8oz/-/A-12959515#lnk=sametab</t>
  </si>
  <si>
    <t>https://target.scene7.com/is/image/Target/GUEST_9813f5fa-bc62-4d3a-a617-0a801e6413a3?qlt=65&amp;fmt=webp&amp;hei=350&amp;wid=350</t>
  </si>
  <si>
    <t>Philadelphia Original Cream Cheese Spread- 8oz</t>
  </si>
  <si>
    <t>https://www.target.com/p/philadelphia-reduced-fat-cream-cheese-spread-8oz/-/A-12959516#lnk=sametab</t>
  </si>
  <si>
    <t>https://target.scene7.com/is/image/Target/GUEST_64edad36-e236-4d2f-9f23-bfbe98b82d90?qlt=65&amp;fmt=webp&amp;hei=350&amp;wid=350</t>
  </si>
  <si>
    <t>Philadelphia Reduced Fat Cream Cheese Spread - 8oz</t>
  </si>
  <si>
    <t>https://www.target.com/p/philadelphia-reduced-fat-neufchatel-cheese-8oz/-/A-12958524#lnk=sametab</t>
  </si>
  <si>
    <t>https://target.scene7.com/is/image/Target/GUEST_ee8107fe-e22f-4af2-a012-5db167ce7af1?qlt=65&amp;fmt=webp&amp;hei=350&amp;wid=350</t>
  </si>
  <si>
    <t>Philadelphia Reduced Fat Neufchatel Cheese - 8oz</t>
  </si>
  <si>
    <t>https://www.target.com/p/philadelphia-spicy-jalapeno-cream-cheese-tub-7-5oz/-/A-14732912#lnk=sametab</t>
  </si>
  <si>
    <t>https://target.scene7.com/is/image/Target/GUEST_156db82b-8c3c-4263-9973-177de8bf4a0e?qlt=65&amp;fmt=webp&amp;hei=350&amp;wid=350</t>
  </si>
  <si>
    <t>Philadelphia Spicy Jalapeno Cream Cheese Tub - 7.5oz</t>
  </si>
  <si>
    <t>https://www.target.com/p/philadelphia-strawberry-cream-cheese-spread-7-5oz/-/A-12958527#lnk=sametab</t>
  </si>
  <si>
    <t>https://target.scene7.com/is/image/Target/GUEST_728bf3d8-b0f2-439f-9ca3-c21dd4c4d973?qlt=65&amp;fmt=webp&amp;hei=350&amp;wid=350</t>
  </si>
  <si>
    <t>Philadelphia Strawberry Cream Cheese Spread  - 7.5oz</t>
  </si>
  <si>
    <t>https://www.target.com/p/philadelphia-whipped-cream-cheese-spread-12oz/-/A-14734257#lnk=sametab</t>
  </si>
  <si>
    <t>https://target.scene7.com/is/image/Target/GUEST_482fe201-9ebc-48e8-a85e-b6829b751c97?qlt=65&amp;fmt=webp&amp;hei=350&amp;wid=350</t>
  </si>
  <si>
    <t>Philadelphia Whipped Cream Cheese Spread - 12oz</t>
  </si>
  <si>
    <t>https://www.target.com/p/philadelphia-whipped-cream-cheese-spread-8oz/-/A-12958568#lnk=sametab</t>
  </si>
  <si>
    <t>https://target.scene7.com/is/image/Target/GUEST_e7e93db7-bca5-4c83-914a-f18a5145c201?qlt=65&amp;fmt=webp&amp;hei=350&amp;wid=350</t>
  </si>
  <si>
    <t>Philadelphia Whipped Cream Cheese Spread - 8oz</t>
  </si>
  <si>
    <t>https://www.target.com/p/quaker-express-maple-brown-sugar-oatmeal-1-69oz/-/A-13331329#lnk=sametab</t>
  </si>
  <si>
    <t>https://target.scene7.com/is/image/Target/GUEST_44c14104-b9e6-4f9a-9fa3-2783a44e7969?qlt=65&amp;fmt=webp&amp;hei=350&amp;wid=350</t>
  </si>
  <si>
    <t>Quaker Express Maple Brown Sugar Oatmeal 1.69oz</t>
  </si>
  <si>
    <t>1.69oz</t>
  </si>
  <si>
    <t>https://www.target.com/p/quaker-flavor-variety-instant-oatmeal-18ct-27-3oz/-/A-13331294#lnk=sametab</t>
  </si>
  <si>
    <t>https://target.scene7.com/is/image/Target/GUEST_1177dc78-96bf-4b42-81af-790f94cb7b21?qlt=65&amp;fmt=webp&amp;hei=350&amp;wid=350</t>
  </si>
  <si>
    <t>Quaker Flavor Variety Instant Oatmeal - 18ct / 27.3oz</t>
  </si>
  <si>
    <t>491.4oz</t>
  </si>
  <si>
    <t>https://www.target.com/p/quaker-fruit-cream-instant-oatmeal-variety-8ct-9-8oz/-/A-13331295#lnk=sametab</t>
  </si>
  <si>
    <t>https://target.scene7.com/is/image/Target/GUEST_82695677-1a45-4cfa-8416-7428387a06b0?qlt=65&amp;fmt=webp&amp;hei=350&amp;wid=350</t>
  </si>
  <si>
    <t>Quaker Fruit &amp; Cream Instant Oatmeal Variety - 8ct/9.8oz</t>
  </si>
  <si>
    <t>78.2oz</t>
  </si>
  <si>
    <t>https://www.target.com/p/quaker-fruit-38-cream-instant-oatmeal-variety-18ct/-/A-76884772#lnk=sametab</t>
  </si>
  <si>
    <t>https://target.scene7.com/is/image/Target/GUEST_8f665515-4ea1-4f05-93fa-043f53593223?qlt=65&amp;fmt=webp&amp;hei=350&amp;wid=350</t>
  </si>
  <si>
    <t>Quaker Instant Fruit &amp; Cream Flavored Oatmeal - 19oz/18ct</t>
  </si>
  <si>
    <t>342oz</t>
  </si>
  <si>
    <t>https://www.target.com/p/quaker-instant-grits-butter-10ct-9-8oz/-/A-86434990#lnk=sametab</t>
  </si>
  <si>
    <t>https://target.scene7.com/is/image/Target/GUEST_57d3ac11-960f-45fe-b039-f61c3fd3aacc?qlt=65&amp;fmt=webp&amp;hei=350&amp;wid=350</t>
  </si>
  <si>
    <t>Quaker Instant Grits Butter - 10ct/9.8oz</t>
  </si>
  <si>
    <t>98oz</t>
  </si>
  <si>
    <t>https://www.target.com/p/quaker-instant-grits-plain-10ct-9-8oz/-/A-86434949#lnk=sametab</t>
  </si>
  <si>
    <t>https://target.scene7.com/is/image/Target/GUEST_a80674d4-fc06-4646-8519-0d6ec9781879?qlt=65&amp;fmt=webp&amp;hei=350&amp;wid=350</t>
  </si>
  <si>
    <t>Quaker Instant Grits Plain - 10ct/9.8oz</t>
  </si>
  <si>
    <t>https://www.target.com/p/quaker-instant-oatmeal-maple-brown-sugar-18-packets/-/A-13331293#lnk=sametab</t>
  </si>
  <si>
    <t>https://target.scene7.com/is/image/Target/GUEST_f0a093d3-05c2-4f87-a1dd-aa6798ddc76a?qlt=65&amp;fmt=webp&amp;hei=350&amp;wid=350</t>
  </si>
  <si>
    <t>Quaker Instant Maple &amp; Brown Sugar Flavored Oatmeal - 27.3oz/18ct</t>
  </si>
  <si>
    <t>https://www.target.com/p/quaker-instant-oatmeal-apple-cinnamon-8ct-12-1oz/-/A-86434939#lnk=sametab</t>
  </si>
  <si>
    <t>https://target.scene7.com/is/image/Target/GUEST_5d5dfcee-f688-4abe-a49f-73f0b907e146?qlt=65&amp;fmt=webp&amp;hei=350&amp;wid=350</t>
  </si>
  <si>
    <t>Quaker Instant Oatmeal Apple Cinnamon - 8ct/12.1oz</t>
  </si>
  <si>
    <t>96.8oz</t>
  </si>
  <si>
    <t>https://www.target.com/p/quaker-instant-oatmeal-cup-apple-cinnamon-1-51oz/-/A-13330951#lnk=sametab</t>
  </si>
  <si>
    <t>https://target.scene7.com/is/image/Target/GUEST_9da05fdd-0439-4ea8-a65e-0d76bf7d5423?qlt=65&amp;fmt=webp&amp;hei=350&amp;wid=350</t>
  </si>
  <si>
    <t>Quaker Instant Oatmeal Cup Apple Cinnamon 1.51oz</t>
  </si>
  <si>
    <t>1.51oz</t>
  </si>
  <si>
    <t>https://www.target.com/p/quaker-instant-oatmeal-dinosaur-eggs-brown-sugar-8ct/-/A-13331323#lnk=sametab</t>
  </si>
  <si>
    <t>https://target.scene7.com/is/image/Target/GUEST_16852262-b16f-4c28-a1e2-475ec11b52d7?qlt=65&amp;fmt=webp&amp;hei=350&amp;wid=350</t>
  </si>
  <si>
    <t>Quaker Instant Oatmeal Dinosaur Eggs Brown Sugar - 8ct</t>
  </si>
  <si>
    <t>https://www.target.com/p/quaker-instant-oatmeal-maple-brown-sugar-8ct/-/A-86434942#lnk=sametab</t>
  </si>
  <si>
    <t>https://target.scene7.com/is/image/Target/GUEST_0ad95abd-d63e-4007-a332-e39ea4fc491c?qlt=65&amp;fmt=webp&amp;hei=350&amp;wid=350</t>
  </si>
  <si>
    <t>Quaker Instant Oatmeal Maple Brown Sugar 8ct</t>
  </si>
  <si>
    <t>https://www.target.com/p/quaker-instant-oatmeal-original-10ct-9-8oz/-/A-86434802#lnk=sametab</t>
  </si>
  <si>
    <t>https://target.scene7.com/is/image/Target/GUEST_5b0a9d1b-3194-47b0-94a5-9f877530d520?qlt=65&amp;fmt=webp&amp;hei=350&amp;wid=350</t>
  </si>
  <si>
    <t>Quaker Instant Oatmeal Original - 10ct/9.8oz</t>
  </si>
  <si>
    <t>https://www.target.com/p/quaker-instant-oatmeal-original-47-4oz-48ct/-/A-89438113#lnk=sametab</t>
  </si>
  <si>
    <t>https://target.scene7.com/is/image/Target/GUEST_86312775-c369-48a6-9a33-7a66d98589d7?qlt=65&amp;fmt=webp&amp;hei=350&amp;wid=350</t>
  </si>
  <si>
    <t>Quaker Instant Oatmeal Original - 47.4oz / 48ct</t>
  </si>
  <si>
    <t>2256oz</t>
  </si>
  <si>
    <t>https://www.target.com/p/quaker-instant-protein-banana-nut-oatmeal-6ct-12-9oz/-/A-15145094#lnk=sametab</t>
  </si>
  <si>
    <t>https://target.scene7.com/is/image/Target/GUEST_9ce9363c-fb4e-493d-b5b4-89091d615b1f?qlt=65&amp;fmt=webp&amp;hei=350&amp;wid=350</t>
  </si>
  <si>
    <t>Quaker Instant Protein Banana Nut Oatmeal - 6ct / 12.9oz</t>
  </si>
  <si>
    <t>77.4oz</t>
  </si>
  <si>
    <t>https://www.target.com/p/quaker-instant-protein-maple-brown-sugar-oatmeal-6ct-12-6oz/-/A-79720859#lnk=sametab</t>
  </si>
  <si>
    <t>https://target.scene7.com/is/image/Target/GUEST_c04b4377-8e9e-4f4c-81ea-6e09c13d818a?qlt=65&amp;fmt=webp&amp;hei=350&amp;wid=350</t>
  </si>
  <si>
    <t>Quaker Instant Protein Maple Brown Sugar Oatmeal - 6ct / 12.6oz</t>
  </si>
  <si>
    <t>https://www.target.com/p/quaker-low-sugar-instant-oatmeal-maple-brown-sugar-9-5oz-8ct/-/A-82439014#lnk=sametab</t>
  </si>
  <si>
    <t>https://target.scene7.com/is/image/Target/GUEST_ec25688f-f98b-461c-92b4-36632a40ffcc?qlt=65&amp;fmt=webp&amp;hei=350&amp;wid=350</t>
  </si>
  <si>
    <t>Quaker Low Sugar Instant Oatmeal Maple Brown Sugar - 9.5oz/8ct</t>
  </si>
  <si>
    <t>76oz</t>
  </si>
  <si>
    <t>https://www.target.com/p/quaker-lower-sugar-variety-pack-oatmeal-9-3oz/-/A-82439013#lnk=sametab</t>
  </si>
  <si>
    <t>https://target.scene7.com/is/image/Target/GUEST_34a80501-b874-442c-8db8-64b2f1f90647?qlt=65&amp;fmt=webp&amp;hei=350&amp;wid=350</t>
  </si>
  <si>
    <t>Quaker Lower Sugar Variety Pack Oatmeal - 9.3oz</t>
  </si>
  <si>
    <t>https://www.target.com/p/quaker-maple-38-brown-sugar-instant-oatmeal-72-8oz-48ct/-/A-89446192#lnk=sametab</t>
  </si>
  <si>
    <t>https://target.scene7.com/is/image/Target/GUEST_3679a077-9ea0-4e13-b7a5-3918f9e41340?qlt=65&amp;fmt=webp&amp;hei=350&amp;wid=350</t>
  </si>
  <si>
    <t>Quaker Maple &amp; Brown Sugar Instant Oatmeal - 72.8oz/48ct</t>
  </si>
  <si>
    <t>72.8oz</t>
  </si>
  <si>
    <t>https://www.target.com/p/quaker-oats-old-fashioned-oats-42oz/-/A-13331320#lnk=sametab</t>
  </si>
  <si>
    <t>https://target.scene7.com/is/image/Target/GUEST_bdd439c8-60fc-4652-a7a2-43aee4abc2a7?qlt=65&amp;fmt=webp&amp;hei=350&amp;wid=350</t>
  </si>
  <si>
    <t>Quaker Oats Old Fashioned Oats - 42oz</t>
  </si>
  <si>
    <t>https://www.target.com/p/quaker-simply-granola-raisin-oats-honey-raisin-and-almond-24-1oz/-/A-82438990#lnk=sametab</t>
  </si>
  <si>
    <t>https://target.scene7.com/is/image/Target/GUEST_966d4ea7-9300-49db-aa32-fb3f2dac0605?qlt=65&amp;fmt=webp&amp;hei=350&amp;wid=350</t>
  </si>
  <si>
    <t>Quaker Simply Granola Raisin, Oats, Honey, Raisin and Almond - 24.1oz</t>
  </si>
  <si>
    <t>https://www.target.com/p/quaker-simply-granola-regular-oats-honey-almond-24-1oz/-/A-82438989#lnk=sametab</t>
  </si>
  <si>
    <t>https://target.scene7.com/is/image/Target/GUEST_0551820a-3923-46fe-a85d-b38f7ee96dbd?qlt=65&amp;fmt=webp&amp;hei=350&amp;wid=350</t>
  </si>
  <si>
    <t>Quaker Simply Granola Regular, Oats, Honey, Almond - 24.1oz</t>
  </si>
  <si>
    <t>https://www.target.com/p/quaker-whole-grain-quick-1-minute-oats-42oz/-/A-13331304#lnk=sametab</t>
  </si>
  <si>
    <t>https://target.scene7.com/is/image/Target/GUEST_745205e4-9ddf-4ede-83ad-a6d14a3f4915?qlt=65&amp;fmt=webp&amp;hei=350&amp;wid=350</t>
  </si>
  <si>
    <t>Quaker Whole Grain Quick 1-Minute Oats - 42oz</t>
  </si>
  <si>
    <t>42oz</t>
  </si>
  <si>
    <t>https://www.target.com/p/rao-s-homemade-alfredo-sauce-15oz/-/A-53618723#lnk=sametab</t>
  </si>
  <si>
    <t>https://target.scene7.com/is/image/Target/GUEST_67c537c2-4b54-491f-b46e-2357d95a5611?qlt=65&amp;fmt=webp&amp;hei=350&amp;wid=350</t>
  </si>
  <si>
    <t>Rao's Homemade Alfredo Sauce - 15oz</t>
  </si>
  <si>
    <t>https://www.target.com/p/rao-39-s-homemade-arrabbiata-pizza-sauce-12-3oz/-/A-93138342#lnk=sametab</t>
  </si>
  <si>
    <t>https://target.scene7.com/is/image/Target/GUEST_9ef9dcf6-f656-4fe0-8a7a-7c497b386ff5?qlt=65&amp;fmt=webp&amp;hei=350&amp;wid=350</t>
  </si>
  <si>
    <t>Rao's Homemade Arrabbiata Pizza Sauce - 12.3oz</t>
  </si>
  <si>
    <t>https://www.target.com/p/rao-39-s-bacon-alfredo-15oz/-/A-91651957#lnk=sametab</t>
  </si>
  <si>
    <t>https://target.scene7.com/is/image/Target/GUEST_67c537c2-4b54-491f-b46e-2357d95a5611?qlt=65&amp;fmt=webp&amp;hei=350&amp;wid=358</t>
  </si>
  <si>
    <t>Rao's Homemade Bacon Alfredo - 15oz</t>
  </si>
  <si>
    <t>https://www.target.com/p/rao-39-s-homemade-basil-pesto-sauce-premium-quality-flavorful-pasta-sauce-and-spread-6-7-oz/-/A-54489676#lnk=sametab</t>
  </si>
  <si>
    <t>https://target.scene7.com/is/image/Target/GUEST_67c537c2-4b54-491f-b46e-2357d95a5611?qlt=65&amp;fmt=webp&amp;hei=350&amp;wid=355</t>
  </si>
  <si>
    <t>Rao's Homemade Basil Pesto Sauce Premium Quality Flavorful Pasta Sauce and Spread - 6.7 oz</t>
  </si>
  <si>
    <t>https://www.target.com/p/rao-s-homestyle-bolognese-sauce-24oz/-/A-54564501#lnk=sametab</t>
  </si>
  <si>
    <t>https://target.scene7.com/is/image/Target/GUEST_68aab706-99c8-431d-933b-9b998f482716?qlt=65&amp;fmt=webp&amp;hei=350&amp;wid=350</t>
  </si>
  <si>
    <t>Rao's Homemade Bolognese Sauce - 24oz.</t>
  </si>
  <si>
    <t>https://www.target.com/p/rao-s-bucatini-pasta-case-of-15-16-oz/-/A-1002927212#lnk=sametab</t>
  </si>
  <si>
    <t>https://target.scene7.com/is/image/Target/GUEST_c90e1cd6-fd00-44d2-b5eb-457544bb9552?qlt=65&amp;fmt=webp&amp;hei=350&amp;wid=350</t>
  </si>
  <si>
    <t>Rao's Homemade Bucatini Pasta - Case of 15/16 oz</t>
  </si>
  <si>
    <t>https://www.target.com/p/rao-39-s-four-cheese-alfredo-15oz/-/A-91651970#lnk=sametab</t>
  </si>
  <si>
    <t>https://target.scene7.com/is/image/Target/GUEST_4825e405-48da-4cee-a285-659804bfc0e5?qlt=65&amp;fmt=webp&amp;hei=350&amp;wid=350</t>
  </si>
  <si>
    <t>Rao's Homemade Four Cheese Alfredo - 15oz</t>
  </si>
  <si>
    <t>https://www.target.com/p/rao-39-s-homemade-garlic-alfredo-sauce-15oz/-/A-86037174#lnk=sametab</t>
  </si>
  <si>
    <t>https://target.scene7.com/is/image/Target/GUEST_67c537c2-4b54-491f-b46e-2357d95a5611?qlt=65&amp;fmt=webp&amp;hei=350&amp;wid=354</t>
  </si>
  <si>
    <t>Rao's Homemade Garlic Alfredo Sauce - 15oz</t>
  </si>
  <si>
    <t>https://www.target.com/p/rao-s-italian-sausage-and-mushroom-pasta-sauce-case-of-6-24-oz/-/A-1002217368#lnk=sametab</t>
  </si>
  <si>
    <t>https://target.scene7.com/is/image/Target/GUEST_2c2dd03a-0043-401e-afd3-d6e6814f5ad1?qlt=65&amp;fmt=webp&amp;hei=350&amp;wid=350</t>
  </si>
  <si>
    <t>Rao's Homemade Italian Sausage and Mushroom Pasta Sauce - Case of 6/24 oz</t>
  </si>
  <si>
    <t>https://www.target.com/p/rao-39-s-italian-style-italian-wedding-soup-16oz/-/A-78633322#lnk=sametab</t>
  </si>
  <si>
    <t>https://target.scene7.com/is/image/Target/GUEST_67c537c2-4b54-491f-b46e-2357d95a5611?qlt=65&amp;fmt=webp&amp;hei=350&amp;wid=353</t>
  </si>
  <si>
    <t>Rao's Homemade Italian Style Italian Wedding Soup - 16oz</t>
  </si>
  <si>
    <t>https://www.target.com/p/rao-39-s-italian-style-vegetable-minestrone-soup-16oz/-/A-78633323#lnk=sametab</t>
  </si>
  <si>
    <t>https://target.scene7.com/is/image/Target/GUEST_67c537c2-4b54-491f-b46e-2357d95a5611?qlt=65&amp;fmt=webp&amp;hei=350&amp;wid=356</t>
  </si>
  <si>
    <t>Rao's Homemade Italian Style Vegetable Minestrone Soup - 16oz</t>
  </si>
  <si>
    <t>https://www.target.com/p/rao-39-s-limited-reserve-cardoncelli-mushroom-19oz/-/A-91666688#lnk=sametab</t>
  </si>
  <si>
    <t>https://target.scene7.com/is/image/Target/GUEST_67c537c2-4b54-491f-b46e-2357d95a5611?qlt=65&amp;fmt=webp&amp;hei=350&amp;wid=352</t>
  </si>
  <si>
    <t>Rao's Homemade Limited Reserve Cardoncelli Mushroom - 19oz</t>
  </si>
  <si>
    <t>https://www.target.com/p/rao-39-s-homemade-marinara-sauce-premium-quality-all-natural-tomato-sauce-38-pasta-sauce-keto-friendly-38-carb-conscious-24oz/-/A-13349580#lnk=sametab</t>
  </si>
  <si>
    <t>https://target.scene7.com/is/image/Target/GUEST_67c537c2-4b54-491f-b46e-2357d95a5611?qlt=65&amp;fmt=webp&amp;hei=350&amp;wid=357</t>
  </si>
  <si>
    <t>Rao's Homemade Marinara Sauce Premium Quality All Natural Tomato Sauce &amp; Pasta Sauce Keto Friendly &amp; Carb Conscious - 24oz</t>
  </si>
  <si>
    <t>https://www.target.com/p/rao-39-s-homemade-pasta-fusilli-16oz/-/A-54489615#lnk=sametab</t>
  </si>
  <si>
    <t>https://target.scene7.com/is/image/Target/GUEST_08e09386-7599-4eb1-b5a1-04cdbccd6279?qlt=65&amp;fmt=webp&amp;hei=350&amp;wid=350</t>
  </si>
  <si>
    <t>Rao's Homemade Pasta Fusilli - 16oz</t>
  </si>
  <si>
    <t>https://www.target.com/p/rao-39-s-homemade-pasta-linguini-16oz/-/A-54489613#lnk=sametab</t>
  </si>
  <si>
    <t>https://target.scene7.com/is/image/Target/GUEST_c1f7faeb-1f9b-4e30-9f8d-c6dc8cc215ce?qlt=65&amp;fmt=webp&amp;hei=350&amp;wid=350</t>
  </si>
  <si>
    <t>Rao's Homemade Pasta Linguini - 16oz</t>
  </si>
  <si>
    <t>https://www.target.com/p/rao-39-s-homemade-pasta-spaghetti-16oz/-/A-54489607#lnk=sametab</t>
  </si>
  <si>
    <t>https://target.scene7.com/is/image/Target/GUEST_f1ae03a2-1e72-4c3e-af04-ea6e069dbbc8?qlt=65&amp;fmt=webp&amp;hei=350&amp;wid=350</t>
  </si>
  <si>
    <t>Rao's Homemade Pasta Spaghetti - 16oz</t>
  </si>
  <si>
    <t>https://www.target.com/p/rao-39-s-homemade-penne-pasta-16oz/-/A-54489611#lnk=sametab</t>
  </si>
  <si>
    <t>https://target.scene7.com/is/image/Target/GUEST_7b30591d-72f0-4757-b3de-77bb3b4d8eb4?qlt=65&amp;fmt=webp&amp;hei=350&amp;wid=350</t>
  </si>
  <si>
    <t>Rao's Homemade Penne Pasta - 16oz</t>
  </si>
  <si>
    <t>https://www.target.com/p/rao-39-s-homemade-pizza-sauce-12-3oz/-/A-89270562#lnk=sametab</t>
  </si>
  <si>
    <t>https://target.scene7.com/is/image/Target/GUEST_0ca4f321-e221-4b3c-8038-7397c31de278?qlt=65&amp;fmt=webp&amp;hei=350&amp;wid=350</t>
  </si>
  <si>
    <t>Rao's Homemade Pizza Sauce - 12.3oz</t>
  </si>
  <si>
    <t>https://www.target.com/p/rao-s-roasted-garlic-pasta-sauce-case-of-6-32-oz/-/A-1002927002#lnk=sametab</t>
  </si>
  <si>
    <t>https://target.scene7.com/is/image/Target/GUEST_491f71f9-c243-4c87-9570-f95dbb1aaf1c?qlt=65&amp;fmt=webp&amp;hei=350&amp;wid=350</t>
  </si>
  <si>
    <t>Rao's Homemade Roasted Garlic Pasta Sauce - Case of 6/32 oz</t>
  </si>
  <si>
    <t>https://www.target.com/p/rao-s-thin-spaghetti-pasta-case-of-15-16-oz/-/A-1002927227#lnk=sametab</t>
  </si>
  <si>
    <t>https://target.scene7.com/is/image/Target/GUEST_5b47b5ab-02de-4fae-9235-cb16146cb4e1?qlt=65&amp;fmt=webp&amp;hei=350&amp;wid=350</t>
  </si>
  <si>
    <t>Rao's Homemade Thin Spaghetti Pasta - Case of 15/16 oz</t>
  </si>
  <si>
    <t>240oz</t>
  </si>
  <si>
    <t>https://www.target.com/p/rao-39-s-tomato-basil-32oz/-/A-54475095#lnk=sametab</t>
  </si>
  <si>
    <t>https://target.scene7.com/is/image/Target/GUEST_58b588dd-247f-4f3f-b041-02f70719b2cf?qlt=65&amp;fmt=webp&amp;hei=350&amp;wid=350</t>
  </si>
  <si>
    <t>Rao's Homemade Tomato Basil - 32oz</t>
  </si>
  <si>
    <t>https://www.target.com/p/rao-39-s-homemade-tomato-basil-pasta-sauce-premium-quality-all-natural-tomato-sauce-38-pasta-sauce-keto-friendly-38-carb-conscious-24oz/-/A-13349589#lnk=sametab</t>
  </si>
  <si>
    <t>https://target.scene7.com/is/image/Target/GUEST_67c537c2-4b54-491f-b46e-2357d95a5611?qlt=65&amp;fmt=webp&amp;hei=350&amp;wid=351</t>
  </si>
  <si>
    <t>Rao's Homemade Tomato Basil Pasta Sauce Premium Quality All Natural Tomato Sauce &amp; Pasta Sauce Keto Friendly &amp; Carb Conscious - 24oz</t>
  </si>
  <si>
    <t>https://www.target.com/p/rao-s-tortellini-and-vegetable-soup-case-of-6-16-oz/-/A-1003055102#lnk=sametab</t>
  </si>
  <si>
    <t>https://target.scene7.com/is/image/Target/GUEST_c1672879-9420-4968-bcea-aca3ff630e15?qlt=65&amp;fmt=webp&amp;hei=350&amp;wid=350</t>
  </si>
  <si>
    <t>Rao's Homemade Tortellini and Vegetable Soup - Case of 6/16 oz</t>
  </si>
  <si>
    <t>https://www.target.com/p/sanpellegrino-blood-orange-italian-sparkling-beverage-6pk-11-15-fl-oz-cans/-/A-85359181#lnk=sametab</t>
  </si>
  <si>
    <t>https://target.scene7.com/is/image/Target/GUEST_c0993dc5-7627-43d5-b80e-5382597d1d11?qlt=65&amp;fmt=webp&amp;hei=350&amp;wid=350</t>
  </si>
  <si>
    <t>San Pellegrino Blood Orange Italian Sparkling Beverage - 6pk/11.15 fl oz Cans</t>
  </si>
  <si>
    <t>https://www.target.com/p/sanpellegrino-ciao-blood-orange-6pk-11-15-fl-oz-cans/-/A-93536947#lnk=sametab</t>
  </si>
  <si>
    <t>https://target.scene7.com/is/image/Target/GUEST_2dfba0a0-0535-4a7f-98bf-b0c4c84f59a5?qlt=65&amp;fmt=webp&amp;hei=350&amp;wid=350</t>
  </si>
  <si>
    <t>San Pellegrino CIAO! Blood Orange Sparkling Water with Real Fruit Juices - 6pk/11.15 fl oz Cans</t>
  </si>
  <si>
    <t>https://www.target.com/p/sanpellegrino-ciao-cherry-6pk-11-15-fl-oz-cans/-/A-93537297#lnk=sametab</t>
  </si>
  <si>
    <t>https://target.scene7.com/is/image/Target/GUEST_a57ca3ba-7e04-4a8c-8615-d27aea030df8?qlt=65&amp;fmt=webp&amp;hei=350&amp;wid=350</t>
  </si>
  <si>
    <t>San Pellegrino CIAO! Cherry Sparkling Water with Real Fruit Juices - 6pk/11.15 fl oz Cans</t>
  </si>
  <si>
    <t>https://www.target.com/p/sanpellegrino-ciao-lime-6pk-11-15-fl-oz-cans/-/A-93536695#lnk=sametab</t>
  </si>
  <si>
    <t>https://target.scene7.com/is/image/Target/GUEST_214f71dd-8812-4065-be77-ea4026bf0f47?qlt=65&amp;fmt=webp&amp;hei=350&amp;wid=350</t>
  </si>
  <si>
    <t>San Pellegrino CIAO! Lime Sparkling Water with Real Fruit Juices - 6pk/11.15 fl oz Cans</t>
  </si>
  <si>
    <t>https://www.target.com/p/s-pellegrino-essenza-dark-morello-cherry-pomegranate-flavored-mineral-water-11-15-fl-oz-can-pack-of-24/-/A-1001269566#lnk=sametab</t>
  </si>
  <si>
    <t>https://target.scene7.com/is/image/Target/GUEST_6ec347cb-f6eb-4fff-bfd4-f266a53f2778?qlt=65&amp;fmt=webp&amp;hei=350&amp;wid=350</t>
  </si>
  <si>
    <t>San Pellegrino Essenza Dark Morello Cherry &amp; Pomegranate Flavored Mineral Water - 11.15 Fl Oz Can (Pack of 24)</t>
  </si>
  <si>
    <t>264oz</t>
  </si>
  <si>
    <t>https://www.target.com/p/san-pellegrino-essenza-tangerine-wild-strawberry-flavored-mineral-water-11-15-fl-oz-pack-of-24/-/A-1001269534#lnk=sametab</t>
  </si>
  <si>
    <t>https://target.scene7.com/is/image/Target/GUEST_f748fcd0-6a74-4aaa-94d1-2b54e126610c?qlt=65&amp;fmt=webp&amp;hei=350&amp;wid=350</t>
  </si>
  <si>
    <t>San Pellegrino Essenza Tangerine &amp; Wild Strawberry Flavored Mineral Water - 11.15 Fl Oz (Pack of 24)</t>
  </si>
  <si>
    <t>https://www.target.com/p/san-pellegrino-italian-sparkling-drink-limonata-11-15-fl-oz-bottle-pack-of-24/-/A-1001592605#lnk=sametab</t>
  </si>
  <si>
    <t>https://target.scene7.com/is/image/Target/GUEST_78daaada-b403-4989-bede-7997d59a162c?qlt=65&amp;fmt=webp&amp;hei=350&amp;wid=350</t>
  </si>
  <si>
    <t>San Pellegrino Italian Sparkling Drink Limonata - 11.15 Fl Oz Bottle(Pack of 24)</t>
  </si>
  <si>
    <t>https://www.target.com/p/san-pellegrino-italian-sparkling-drink-aranciata-rossa-11-15-fl-oz-bottle-pack-of-24/-/A-1001592622#lnk=sametab</t>
  </si>
  <si>
    <t>https://target.scene7.com/is/image/Target/GUEST_a747cbfc-07d2-49f7-8e2a-ebf0a111eaf3?qlt=65&amp;fmt=webp&amp;hei=350&amp;wid=350</t>
  </si>
  <si>
    <t>San Pellegrino Italian Sparkling Drink, Aranciata Rossa - 11.15 Fl Oz Bottle (Pack of 24)</t>
  </si>
  <si>
    <t>https://www.target.com/p/san-pellegrino-italian-sparkling-drink-melograno-and-arancia-11-15-fl-oz-bottle-pack-of-24/-/A-1001592612#lnk=sametab</t>
  </si>
  <si>
    <t>https://target.scene7.com/is/image/Target/GUEST_75157ecf-b8f9-4aed-9796-42728950110d?qlt=65&amp;fmt=webp&amp;hei=350&amp;wid=350</t>
  </si>
  <si>
    <t>San Pellegrino Italian Sparkling Drink, Melograno And Arancia - 11.15 Fl Oz Bottle (Pack of 24)</t>
  </si>
  <si>
    <t>https://www.target.com/p/sanpellegrino-lemon-italian-sparkling-beverage-6pk-11-15-fl-oz-cans/-/A-85359132#lnk=sametab</t>
  </si>
  <si>
    <t>https://target.scene7.com/is/image/Target/GUEST_612a5443-e94f-449a-b72b-8f20854c7022?qlt=65&amp;fmt=webp&amp;hei=350&amp;wid=350</t>
  </si>
  <si>
    <t>San Pellegrino Lemon Italian Sparkling Beverage - 6pk/11.15 fl oz Cans</t>
  </si>
  <si>
    <t>66.9oz</t>
  </si>
  <si>
    <t>https://www.target.com/p/s-pellegrino-sparkling-natural-mineral-water-8pk-11-15-fl-oz-cans/-/A-53676226#lnk=sametab</t>
  </si>
  <si>
    <t>https://target.scene7.com/is/image/Target/GUEST_e216d614-340c-4687-93c8-82849674b8b3?qlt=65&amp;fmt=webp&amp;hei=350&amp;wid=350</t>
  </si>
  <si>
    <t>San Pellegrino Mineral Sparkling Water - 8pk/11.15 fl oz Cans</t>
  </si>
  <si>
    <t>89.8oz</t>
  </si>
  <si>
    <t>https://www.target.com/p/s-pellegrino-sparkling-natural-mineral-water-bottles-6pk-16-9-fl-oz/-/A-51341962#lnk=sametab</t>
  </si>
  <si>
    <t>https://target.scene7.com/is/image/Target/GUEST_3434fb6f-6a57-4be1-8c4b-de42b7573bd1?qlt=65&amp;fmt=webp&amp;hei=350&amp;wid=350</t>
  </si>
  <si>
    <t>San Pellegrino Mineral Sparkling Water Bottles - 6pk/16.9 fl oz</t>
  </si>
  <si>
    <t>https://www.target.com/p/s-pellegrino-sparkling-natural-mineral-water-33-8-fl-oz/-/A-14912561#lnk=sametab</t>
  </si>
  <si>
    <t>https://target.scene7.com/is/image/Target/GUEST_240b2641-ac16-40e7-96d8-461421824f1a?qlt=65&amp;fmt=webp&amp;hei=350&amp;wid=350</t>
  </si>
  <si>
    <t>San Pellegrino Sparkling Natural Mineral Water - 33.8 fl oz.</t>
  </si>
  <si>
    <t>33.8oz</t>
  </si>
  <si>
    <t>https://www.target.com/p/sanpellegrino-zero-blood-orange-italian-sparkling-drink-6pk-11-15-fl-oz-cans/-/A-89925370#lnk=sametab</t>
  </si>
  <si>
    <t>https://target.scene7.com/is/image/Target/GUEST_a77ef977-7b84-418f-865d-4227b6d730b9?qlt=65&amp;fmt=webp&amp;hei=350&amp;wid=350</t>
  </si>
  <si>
    <t>San Pellegrino Zero Blood Orange Italian Sparkling Beverage - 6pk/11.15 fl oz Cans</t>
  </si>
  <si>
    <t>https://www.target.com/p/sanpellegrino-zero-clementine-38-peach-italian-sparkling-drink-6pk-11-15-fl-oz-cans/-/A-89926374#lnk=sametab</t>
  </si>
  <si>
    <t>https://target.scene7.com/is/image/Target/GUEST_424654b7-19b6-4b9f-9a97-5e7ec08ca363?qlt=65&amp;fmt=webp&amp;hei=350&amp;wid=350</t>
  </si>
  <si>
    <t>San Pellegrino Zero Clementine &amp; Peach Italian Sparkling Beverage - 6pk/11.15 fl oz Cans</t>
  </si>
  <si>
    <t>https://www.target.com/p/sanpellegrino-zero-limonata-italian-sparkling-drink-6pk-11-15-fl-oz-cans/-/A-89925519#lnk=sametab</t>
  </si>
  <si>
    <t>https://target.scene7.com/is/image/Target/GUEST_a8d3b671-c2f1-4966-b292-fa05f0730b5a?qlt=65&amp;fmt=webp&amp;hei=350&amp;wid=350</t>
  </si>
  <si>
    <t>San Pellegrino Zero Limonata Italian Sparkling Beverage - 6pk/11.15 fl oz Cans</t>
  </si>
  <si>
    <t>https://www.target.com/p/sara-lee-blueberry-bagels-16-7oz/-/A-13375078#lnk=sametab</t>
  </si>
  <si>
    <t>https://target.scene7.com/is/image/Target/GUEST_c386e0d0-07b0-4d0a-a2f1-23bc4526f21d?qlt=65&amp;fmt=webp&amp;hei=350&amp;wid=350</t>
  </si>
  <si>
    <t>Sara Lee Blueberry Bagels - 16.7oz</t>
  </si>
  <si>
    <t>https://www.target.com/p/sara-lee-cinnamon-raisin-bagels-16-7oz/-/A-13375076#lnk=sametab</t>
  </si>
  <si>
    <t>https://target.scene7.com/is/image/Target/GUEST_0ed45218-e026-442d-afdf-00efe8e4ced1?qlt=65&amp;fmt=webp&amp;hei=350&amp;wid=350</t>
  </si>
  <si>
    <t>Sara Lee Cinnamon Raisin Bagels - 16.7oz</t>
  </si>
  <si>
    <t>https://www.target.com/p/sara-lee-classic-whole-wheat-bread-20oz/-/A-14772932#lnk=sametab</t>
  </si>
  <si>
    <t>https://target.scene7.com/is/image/Target/GUEST_2830a200-db63-427a-8bfb-c6635386151e?qlt=65&amp;fmt=webp&amp;hei=350&amp;wid=350</t>
  </si>
  <si>
    <t>Sara Lee Classic Whole Wheat Bread - 20oz</t>
  </si>
  <si>
    <t>https://www.target.com/p/sara-lee-deluxe-plain-bagels-20oz/-/A-13375077#lnk=sametab</t>
  </si>
  <si>
    <t>https://target.scene7.com/is/image/Target/GUEST_cdb0a512-6fe5-4aba-b6bb-ad117de8d54d?qlt=65&amp;fmt=webp&amp;hei=350&amp;wid=350</t>
  </si>
  <si>
    <t>Sara Lee Deluxe Plain Bagels - 20oz</t>
  </si>
  <si>
    <t>https://www.target.com/p/sara-lee-everything-bagels-20oz-6ct/-/A-14714723#lnk=sametab</t>
  </si>
  <si>
    <t>https://target.scene7.com/is/image/Target/GUEST_78f95eba-7d04-4dac-9963-1d611afb81c8?qlt=65&amp;fmt=webp&amp;hei=350&amp;wid=350</t>
  </si>
  <si>
    <t>Sara Lee Everything Bagels - 20oz/6ct</t>
  </si>
  <si>
    <t>https://www.target.com/p/sara-lee-whole-grain-soft-white-bread-20oz/-/A-13376577#lnk=sametab</t>
  </si>
  <si>
    <t>https://target.scene7.com/is/image/Target/GUEST_68e7de24-ad49-466e-839e-ffd31761070f?qlt=65&amp;fmt=webp&amp;hei=350&amp;wid=350</t>
  </si>
  <si>
    <t>Sara Lee Whole Grain Soft White Bread - 20oz</t>
  </si>
  <si>
    <t>https://www.target.com/p/sazon-goya-unique-seasoning-with-azafran-3-52oz/-/A-47112128#lnk=sametab</t>
  </si>
  <si>
    <t>https://target.scene7.com/is/image/Target/GUEST_fc1d51b2-7b5f-4d55-8028-dd0bd4bd0741?qlt=65&amp;fmt=webp&amp;hei=350&amp;wid=350</t>
  </si>
  <si>
    <t>Sazon Goya Unique Seasoning with Azafran - 3.52oz</t>
  </si>
  <si>
    <t>https://www.target.com/p/sazon-goya-unique-seasoning-with-coriander-annatto-6-33oz/-/A-47088084#lnk=sametab</t>
  </si>
  <si>
    <t>https://target.scene7.com/is/image/Target/GUEST_5b4cc299-b076-4533-bc65-ca8f4c34663c?qlt=65&amp;fmt=webp&amp;hei=350&amp;wid=350</t>
  </si>
  <si>
    <t>Sazon Goya Unique Seasoning with Coriander &amp; Annatto - 6.33oz</t>
  </si>
  <si>
    <t>https://www.target.com/p/skippy-bites-double-peanutbutter-6oz/-/A-87888687#lnk=sametab</t>
  </si>
  <si>
    <t>https://target.scene7.com/is/image/Target/GUEST_b64cfc77-3475-4da1-bb98-b4e6f0625410?qlt=65&amp;fmt=webp&amp;hei=350&amp;wid=350</t>
  </si>
  <si>
    <t>Skippy Bites Double Peanutbutter - 6oz</t>
  </si>
  <si>
    <t>https://www.target.com/p/skippy-bites-girl-scouts-chocolate-peanut-butter-6oz/-/A-91370144#lnk=sametab</t>
  </si>
  <si>
    <t>https://target.scene7.com/is/image/Target/GUEST_91b7c496-f782-427e-aefa-a727d51c41a0?qlt=65&amp;fmt=webp&amp;hei=350&amp;wid=350</t>
  </si>
  <si>
    <t>Skippy Bites Girl Scouts Chocolate Peanut Butter - 6oz</t>
  </si>
  <si>
    <t>https://www.target.com/p/skippy-bites-girl-scouts-coconut-caramel-5-5oz/-/A-91370126#lnk=sametab</t>
  </si>
  <si>
    <t>https://target.scene7.com/is/image/Target/GUEST_430b05f9-18f6-467a-ad2d-b00be553d64d?qlt=65&amp;fmt=webp&amp;hei=350&amp;wid=350</t>
  </si>
  <si>
    <t>Skippy Bites Girl Scouts Coconut Caramel - 5.5oz</t>
  </si>
  <si>
    <t>https://www.target.com/p/skippy-bites-graham-6oz/-/A-87888710#lnk=sametab</t>
  </si>
  <si>
    <t>https://target.scene7.com/is/image/Target/GUEST_36db3a07-ed35-41f4-b153-05269a63c1ab?qlt=65&amp;fmt=webp&amp;hei=350&amp;wid=350</t>
  </si>
  <si>
    <t>Skippy Bites Graham - 6oz</t>
  </si>
  <si>
    <t>https://www.target.com/p/skippy-bites-pretzel-6oz/-/A-87888706#lnk=sametab</t>
  </si>
  <si>
    <t>https://target.scene7.com/is/image/Target/GUEST_b9670f0a-9b71-4b33-a6de-daa734d9b43b?qlt=65&amp;fmt=webp&amp;hei=350&amp;wid=350</t>
  </si>
  <si>
    <t>Skippy Bites Pretzel - 6oz</t>
  </si>
  <si>
    <t>https://www.target.com/p/skippy-chunky-peanut-butter-16-3oz/-/A-12935796#lnk=sametab</t>
  </si>
  <si>
    <t>https://target.scene7.com/is/image/Target/GUEST_cb4eb089-d7d3-48ec-9ed7-51562ac1ca96?qlt=65&amp;fmt=webp&amp;hei=350&amp;wid=350</t>
  </si>
  <si>
    <t>Skippy Chunky Peanut Butter - 16.3oz</t>
  </si>
  <si>
    <t>https://www.target.com/p/skippy-chunky-peanut-butter-40oz/-/A-12935771#lnk=sametab</t>
  </si>
  <si>
    <t>https://target.scene7.com/is/image/Target/GUEST_d9c160c7-13a4-41a1-8156-59b478b342e2?qlt=65&amp;fmt=webp&amp;hei=350&amp;wid=350</t>
  </si>
  <si>
    <t>Skippy Chunky Peanut Butter - 40oz</t>
  </si>
  <si>
    <t>https://www.target.com/p/skippy-creamy-peanut-butter-16-3oz/-/A-12935716#lnk=sametab</t>
  </si>
  <si>
    <t>https://target.scene7.com/is/image/Target/GUEST_2039a839-1276-4933-a314-37e48b4f110a?qlt=65&amp;fmt=webp&amp;hei=350&amp;wid=350</t>
  </si>
  <si>
    <t>Skippy Creamy Peanut Butter - 16.3oz</t>
  </si>
  <si>
    <t>https://www.target.com/p/skippy-creamy-peanut-butter-40oz/-/A-12935775#lnk=sametab</t>
  </si>
  <si>
    <t>https://target.scene7.com/is/image/Target/GUEST_0147281e-dc13-4a1f-9977-fc5b021d5545?qlt=65&amp;fmt=webp&amp;hei=350&amp;wid=350</t>
  </si>
  <si>
    <t>Skippy Creamy Peanut Butter - 40oz</t>
  </si>
  <si>
    <t>https://www.target.com/p/skippy-creamy-peanut-butter-twin-pack-80oz-2pk/-/A-54517883#lnk=sametab</t>
  </si>
  <si>
    <t>https://target.scene7.com/is/image/Target/GUEST_e8984cf0-9fbd-42f2-b14c-2b0c11dcc37c?qlt=65&amp;fmt=webp&amp;hei=350&amp;wid=350</t>
  </si>
  <si>
    <t>Skippy Creamy Peanut Butter Twin Pack - 80oz / 2pk</t>
  </si>
  <si>
    <t>https://www.target.com/p/skippy-individual-squeeze-peanut-butter-1-15oz-8ct/-/A-90060402#lnk=sametab</t>
  </si>
  <si>
    <t>https://target.scene7.com/is/image/Target/GUEST_9085cb42-9d59-41fe-b56a-6c7fc17cd1e1?qlt=65&amp;fmt=webp&amp;hei=350&amp;wid=350</t>
  </si>
  <si>
    <t>Skippy Individual Squeeze Peanut Butter - 1.15oz / 8ct</t>
  </si>
  <si>
    <t>9.6oz</t>
  </si>
  <si>
    <t>https://www.target.com/p/skippy-natural-chunky-peanut-butter-40oz/-/A-14039583#lnk=sametab</t>
  </si>
  <si>
    <t>https://target.scene7.com/is/image/Target/GUEST_7ed4eff7-4a64-4f9b-af25-178ee8ca8647?qlt=65&amp;fmt=webp&amp;hei=350&amp;wid=350</t>
  </si>
  <si>
    <t>Skippy Natural Chunky Peanut Butter - 40oz</t>
  </si>
  <si>
    <t>https://www.target.com/p/skippy-natural-creamy-peanut-butter-15oz/-/A-12935652#lnk=sametab</t>
  </si>
  <si>
    <t>https://target.scene7.com/is/image/Target/GUEST_4c74c4a3-969a-4d67-97d9-9af794a1aaa1?qlt=65&amp;fmt=webp&amp;hei=350&amp;wid=350</t>
  </si>
  <si>
    <t>Skippy Natural Creamy Peanut Butter - 15oz</t>
  </si>
  <si>
    <t>https://www.target.com/p/skippy-natural-creamy-peanut-butter-40oz/-/A-12935827#lnk=sametab</t>
  </si>
  <si>
    <t>https://target.scene7.com/is/image/Target/GUEST_3f39827c-4449-4103-81db-43f483f2fe87?qlt=65&amp;fmt=webp&amp;hei=350&amp;wid=350</t>
  </si>
  <si>
    <t>Skippy Natural Creamy Peanut Butter - 40oz</t>
  </si>
  <si>
    <t>https://www.target.com/p/skippy-natural-peanut-butter-spread-w-honey-40oz/-/A-14039582#lnk=sametab</t>
  </si>
  <si>
    <t>https://target.scene7.com/is/image/Target/GUEST_2abb82f5-587e-45c2-8201-d0663c8479bb?qlt=65&amp;fmt=webp&amp;hei=350&amp;wid=350</t>
  </si>
  <si>
    <t>Skippy Natural Peanut Butter Spread w/ Honey - 40oz</t>
  </si>
  <si>
    <t>https://www.target.com/p/skippy-natural-super-chunk-peanut-butter-15oz/-/A-12935853#lnk=sametab</t>
  </si>
  <si>
    <t>https://target.scene7.com/is/image/Target/GUEST_a80ad425-62f8-42d1-a243-382842256172?qlt=65&amp;fmt=webp&amp;hei=350&amp;wid=350</t>
  </si>
  <si>
    <t>Skippy Natural Super Chunk Peanut Butter - 15oz</t>
  </si>
  <si>
    <t>https://www.target.com/p/skippy-p-b-bites-girl-scouts-adventurefuls-5-5oz/-/A-89101104#lnk=sametab</t>
  </si>
  <si>
    <t>https://target.scene7.com/is/image/Target/GUEST_53cbbc24-9852-4272-97f4-2ff44272c048?qlt=65&amp;fmt=webp&amp;hei=350&amp;wid=350</t>
  </si>
  <si>
    <t>Skippy P.B. Bites Girl Scouts Adventurefuls - 5.5oz</t>
  </si>
  <si>
    <t>https://www.target.com/p/skippy-reduced-fat-creamy-peanut-butter-16-3oz/-/A-12935782#lnk=sametab</t>
  </si>
  <si>
    <t>https://target.scene7.com/is/image/Target/GUEST_b8f82c1d-d3b2-45d3-9be5-5d5e2d99b09a?qlt=65&amp;fmt=webp&amp;hei=350&amp;wid=350</t>
  </si>
  <si>
    <t>Skippy Reduced Fat Creamy Peanut Butter - 16.3oz</t>
  </si>
  <si>
    <t>https://www.target.com/p/skippy-reduced-fat-creamy-peanut-butter-40oz/-/A-12935770#lnk=sametab</t>
  </si>
  <si>
    <t>https://target.scene7.com/is/image/Target/GUEST_d7fb2de1-ada7-4cfd-8dd7-c4c6f7cadfe7?qlt=65&amp;fmt=webp&amp;hei=350&amp;wid=350</t>
  </si>
  <si>
    <t>Skippy Reduced Fat Creamy Peanut Butter - 40oz</t>
  </si>
  <si>
    <t>https://www.target.com/p/skippy-regular-creamy-squeeze-pouch-6oz/-/A-79628943#lnk=sametab</t>
  </si>
  <si>
    <t>https://target.scene7.com/is/image/Target/GUEST_a8b367b8-bfa2-4635-9ed0-4aceec6c48b8?qlt=65&amp;fmt=webp&amp;hei=350&amp;wid=350</t>
  </si>
  <si>
    <t>Skippy Regular Creamy Squeeze Pouch - 6oz</t>
  </si>
  <si>
    <t>https://www.target.com/p/skippy-twin-pack-natural-creamy-peanut-butter-40oz/-/A-15400823#lnk=sametab</t>
  </si>
  <si>
    <t>https://target.scene7.com/is/image/Target/GUEST_a74bee11-712f-4df5-8465-9091d5a85943?qlt=65&amp;fmt=webp&amp;hei=350&amp;wid=350</t>
  </si>
  <si>
    <t>Skippy Twin Pack Natural Creamy Peanut Butter - 40oz</t>
  </si>
  <si>
    <t>https://www.target.com/p/spam-classic-lunch-meat-12oz/-/A-13217521#lnk=sametab</t>
  </si>
  <si>
    <t>https://target.scene7.com/is/image/Target/GUEST_219184f4-37e9-4189-afa0-12d7c7609063?qlt=65&amp;fmt=webp&amp;hei=350&amp;wid=350</t>
  </si>
  <si>
    <t>SPAM Classic Lunch Meat - 12oz</t>
  </si>
  <si>
    <t>https://www.target.com/p/spam-hickory-smoke-lunch-meat-12oz/-/A-47101880#lnk=sametab</t>
  </si>
  <si>
    <t>https://target.scene7.com/is/image/Target/GUEST_8f6a104d-a3d6-4554-98a9-c63e446a06e4?qlt=65&amp;fmt=webp&amp;hei=350&amp;wid=350</t>
  </si>
  <si>
    <t>SPAM Hickory Smoke Lunch Meat - 12oz</t>
  </si>
  <si>
    <t>https://www.target.com/p/spam-hot-38-spicy-lunch-meat-12oz/-/A-47101863#lnk=sametab</t>
  </si>
  <si>
    <t>https://target.scene7.com/is/image/Target/GUEST_c420cc04-76f7-4ffb-8479-1f665b26406b?qlt=65&amp;fmt=webp&amp;hei=350&amp;wid=350</t>
  </si>
  <si>
    <t>SPAM Hot &amp; Spicy Lunch Meat - 12oz</t>
  </si>
  <si>
    <t>https://www.target.com/p/spam-less-sodium-lunch-meat-12oz/-/A-13217522#lnk=sametab</t>
  </si>
  <si>
    <t>https://target.scene7.com/is/image/Target/GUEST_7e3f5fd6-6b50-4194-9637-8d6e6aa7c4b8?qlt=65&amp;fmt=webp&amp;hei=350&amp;wid=350</t>
  </si>
  <si>
    <t>SPAM Less Sodium Lunch Meat - 12oz</t>
  </si>
  <si>
    <t>https://www.target.com/p/spam-lite-lunch-meat-12oz/-/A-13217523#lnk=sametab</t>
  </si>
  <si>
    <t>https://target.scene7.com/is/image/Target/GUEST_3c398669-ccf4-4481-9cb5-eb91528417c5?qlt=65&amp;fmt=webp&amp;hei=350&amp;wid=350</t>
  </si>
  <si>
    <t>SPAM Lite Lunch Meat - 12oz</t>
  </si>
  <si>
    <t>https://www.target.com/p/spam-single-classic-slice-2-5oz/-/A-13292647#lnk=sametab</t>
  </si>
  <si>
    <t>https://target.scene7.com/is/image/Target/GUEST_d90f08ec-2273-4e9c-977b-5671f1125a6c?qlt=65&amp;fmt=webp&amp;hei=350&amp;wid=350</t>
  </si>
  <si>
    <t>SPAM Single Classic Slice - 2.5oz</t>
  </si>
  <si>
    <t>https://www.target.com/p/spam-with-bacon-lunch-meat-12oz/-/A-17309033#lnk=sametab</t>
  </si>
  <si>
    <t>https://target.scene7.com/is/image/Target/GUEST_fa06f994-94ea-4941-8986-246cbe81eca3?qlt=65&amp;fmt=webp&amp;hei=350&amp;wid=350</t>
  </si>
  <si>
    <t>SPAM with Bacon Lunch Meat - 12oz</t>
  </si>
  <si>
    <t>https://www.target.com/p/sparkling-ice-energy-maximum-mango-12-fl-oz-can/-/A-90632794#lnk=sametab</t>
  </si>
  <si>
    <t>https://target.scene7.com/is/image/Target/GUEST_6fb1ca5c-e875-43fb-be07-504faddeacf1?qlt=65&amp;fmt=webp&amp;hei=350&amp;wid=350</t>
  </si>
  <si>
    <t>Sparkling Ice +Energy Maximum Mango Energy Drink - 12 fl oz Can</t>
  </si>
  <si>
    <t>https://www.target.com/p/sparkling-ice-energy-power-punch-water-beverage-12-fl-oz-can/-/A-90632544#lnk=sametab</t>
  </si>
  <si>
    <t>https://target.scene7.com/is/image/Target/GUEST_6fde914b-d791-48e9-81d8-5e36e842706b?qlt=65&amp;fmt=webp&amp;hei=350&amp;wid=357</t>
  </si>
  <si>
    <t>Sparkling Ice +Energy Power Punch Energy Drink - 12 fl oz Can</t>
  </si>
  <si>
    <t>https://www.target.com/p/sparkling-ice-black-cherry-17-fl-oz-bottle/-/A-50325882#lnk=sametab</t>
  </si>
  <si>
    <t>https://target.scene7.com/is/image/Target/GUEST_6fde914b-d791-48e9-81d8-5e36e842706b?qlt=65&amp;fmt=webp&amp;hei=350&amp;wid=350</t>
  </si>
  <si>
    <t>Sparkling Ice Black Cherry - 17 fl oz Bottle</t>
  </si>
  <si>
    <t>17oz</t>
  </si>
  <si>
    <t>https://www.target.com/p/sparkling-ice-black-raspberry-17-fl-oz-bottle/-/A-15100439#lnk=sametab</t>
  </si>
  <si>
    <t>https://target.scene7.com/is/image/Target/GUEST_e07355e1-a018-41ff-bd23-eda5c09cef6d?qlt=65&amp;fmt=webp&amp;hei=350&amp;wid=350</t>
  </si>
  <si>
    <t>Sparkling Ice Black Raspberry - 17 fl oz Bottle</t>
  </si>
  <si>
    <t>https://www.target.com/p/sparkling-ice-caffeine-cherry-vanilla-16-fl-oz-can-pack-of-12/-/A-1001592615#lnk=sametab</t>
  </si>
  <si>
    <t>https://target.scene7.com/is/image/Target/GUEST_6fde914b-d791-48e9-81d8-5e36e842706b?qlt=65&amp;fmt=webp&amp;hei=350&amp;wid=358</t>
  </si>
  <si>
    <t>Sparkling Ice Caffeine, Cherry Vanilla - 16 Fl Oz Can (Pack of 12)</t>
  </si>
  <si>
    <t>204oz</t>
  </si>
  <si>
    <t>https://www.target.com/p/sparkling-ice-cherry-limeade-17-fl-oz-bottle/-/A-15102553#lnk=sametab</t>
  </si>
  <si>
    <t>https://target.scene7.com/is/image/Target/GUEST_6fde914b-d791-48e9-81d8-5e36e842706b?qlt=65&amp;fmt=webp&amp;hei=350&amp;wid=352</t>
  </si>
  <si>
    <t>Sparkling Ice Cherry Limeade - 17 fl oz Bottle</t>
  </si>
  <si>
    <t>https://www.target.com/p/sparkling-ice-classic-lemonade-17-fl-oz-bottle/-/A-15100445#lnk=sametab</t>
  </si>
  <si>
    <t>https://target.scene7.com/is/image/Target/GUEST_09fd0f72-f575-4089-8262-ee345bd9fdaa?qlt=65&amp;fmt=webp&amp;hei=350&amp;wid=350</t>
  </si>
  <si>
    <t>Sparkling Ice Classic Lemonade - 17 fl oz Bottle</t>
  </si>
  <si>
    <t>https://www.target.com/p/sparkling-ice-coconut-pineapple-17-fl-oz-bottle/-/A-16230681#lnk=sametab</t>
  </si>
  <si>
    <t>https://target.scene7.com/is/image/Target/GUEST_397bb7ee-611e-4210-901d-bd8ec1d1a230?qlt=65&amp;fmt=webp&amp;hei=350&amp;wid=350</t>
  </si>
  <si>
    <t>Sparkling Ice Coconut Pineapple - 17 fl oz Bottle</t>
  </si>
  <si>
    <t>https://www.target.com/p/sparkling-ice-fruit-punch-17-fl-oz-bottle/-/A-54308531#lnk=sametab</t>
  </si>
  <si>
    <t>https://target.scene7.com/is/image/Target/GUEST_6fde914b-d791-48e9-81d8-5e36e842706b?qlt=65&amp;fmt=webp&amp;hei=350&amp;wid=353</t>
  </si>
  <si>
    <t>Sparkling Ice Fruit Punch - 17 fl oz Bottle</t>
  </si>
  <si>
    <t>https://www.target.com/p/sparkling-ice-kiwi-strawberry-17-fl-oz-bottle/-/A-16994757#lnk=sametab</t>
  </si>
  <si>
    <t>https://target.scene7.com/is/image/Target/GUEST_768f1f91-feae-4c0a-ab38-18021885b121?qlt=65&amp;fmt=webp&amp;hei=350&amp;wid=350</t>
  </si>
  <si>
    <t>Sparkling Ice Kiwi Strawberry - 17 fl oz Bottle</t>
  </si>
  <si>
    <t>https://www.target.com/p/sparkling-ice-lemonade-variety-pack-12pk-17-fl-oz-bottles/-/A-85759851#lnk=sametab</t>
  </si>
  <si>
    <t>https://target.scene7.com/is/image/Target/GUEST_6fde914b-d791-48e9-81d8-5e36e842706b?qlt=65&amp;fmt=webp&amp;hei=350&amp;wid=354</t>
  </si>
  <si>
    <t>Sparkling Ice Lemonade Variety Pack - 12pk/17 fl oz Bottles</t>
  </si>
  <si>
    <t>https://www.target.com/p/sparkling-ice-orange-mango-17-fl-oz-bottle/-/A-16230683#lnk=sametab</t>
  </si>
  <si>
    <t>https://target.scene7.com/is/image/Target/GUEST_6fde914b-d791-48e9-81d8-5e36e842706b?qlt=65&amp;fmt=webp&amp;hei=350&amp;wid=351</t>
  </si>
  <si>
    <t>Sparkling Ice Orange Mango - 17 fl oz Bottle</t>
  </si>
  <si>
    <t>https://www.target.com/p/sparkling-ice-starburst-watermelon-sparkling-water-17-fl-oz/-/A-93486854#lnk=sametab</t>
  </si>
  <si>
    <t>https://target.scene7.com/is/image/Target/GUEST_6fde914b-d791-48e9-81d8-5e36e842706b?qlt=65&amp;fmt=webp&amp;hei=350&amp;wid=355</t>
  </si>
  <si>
    <t>Sparkling Ice Starburst Watermelon Sparkling Water - 17 fl oz</t>
  </si>
  <si>
    <t>https://www.target.com/p/sparkling-ice-strawberry-starburst-17-fl-oz-bottle/-/A-89907341#lnk=sametab</t>
  </si>
  <si>
    <t>https://target.scene7.com/is/image/Target/GUEST_3ba08c12-2959-4bd5-9206-3375cd795739?qlt=65&amp;fmt=webp&amp;hei=350&amp;wid=350</t>
  </si>
  <si>
    <t>Sparkling Ice Strawberry Starburst - 17 fl oz Bottle</t>
  </si>
  <si>
    <t>https://www.target.com/p/sparkling-ice-variety-pack-black-raspberry-orange-mango-kiwi-strawberry-cherry-limeade-12pk-17-fl-oz-bottles/-/A-50081521#lnk=sametab</t>
  </si>
  <si>
    <t>https://target.scene7.com/is/image/Target/GUEST_4b41ad56-104a-4c9a-8abf-10311b7bc30e?qlt=65&amp;fmt=webp&amp;hei=350&amp;wid=350</t>
  </si>
  <si>
    <t>Sparkling Ice Variety Pack-Black Raspberry/Orange Mango/Kiwi Strawberry/Cherry Limeade - 12pk/17 fl oz Bottles</t>
  </si>
  <si>
    <t>https://www.target.com/p/sparkling-ice-fruit-punch-sparkling-water-17-fl-oz-bottle-pack-of-12/-/A-1001527933#lnk=sametab</t>
  </si>
  <si>
    <t>https://target.scene7.com/is/image/Target/GUEST_6fde914b-d791-48e9-81d8-5e36e842706b?qlt=65&amp;fmt=webp&amp;hei=350&amp;wid=356</t>
  </si>
  <si>
    <t>Sparkling Ice, Fruit Punch Sparkling Water - 17 Fl Oz Bottle (Pack of 12)</t>
  </si>
  <si>
    <t>https://www.target.com/p/starbucks-double-shot-espresso-and-cream-coffee-drink-4pk-6-5-fl-oz-cans/-/A-12953985#lnk=sametab</t>
  </si>
  <si>
    <t>https://target.scene7.com/is/image/Target/GUEST_3ac5673f-0f8a-4c67-8936-b8c35a8e563d?qlt=65&amp;fmt=webp&amp;hei=350&amp;wid=350</t>
  </si>
  <si>
    <t>Starbucks Double Shot Espresso And Cream Coffee Drink - 4pk/6.5 fl oz Cans</t>
  </si>
  <si>
    <t>26oz</t>
  </si>
  <si>
    <t>https://www.target.com/p/starbucks-doubleshot-energy-caramel-coffee-drink-15-fl-oz-can/-/A-87854932#lnk=sametab</t>
  </si>
  <si>
    <t>https://target.scene7.com/is/image/Target/GUEST_eb5147dd-dd20-4df2-a76a-7306ddb7fe35?qlt=65&amp;fmt=webp&amp;hei=350&amp;wid=350</t>
  </si>
  <si>
    <t>Starbucks Doubleshot Energy Caramel Coffee Drink - 15 fl oz Can</t>
  </si>
  <si>
    <t>https://www.target.com/p/starbucks-doubleshot-energy-mocha-fortified-energy-coffee-drink-15-fl-oz-can/-/A-12953711#lnk=sametab</t>
  </si>
  <si>
    <t>https://target.scene7.com/is/image/Target/GUEST_dc44ac85-d20d-41cd-b8f8-878f2e9500fe?qlt=65&amp;fmt=webp&amp;hei=350&amp;wid=350</t>
  </si>
  <si>
    <t>Starbucks Doubleshot Energy Mocha Fortified Energy Coffee Drink - 15 fl oz Can</t>
  </si>
  <si>
    <t>https://www.target.com/p/starbucks-doubleshot-energy-vanilla-fortified-energy-coffee-drink-15-fl-oz-can/-/A-12953712#lnk=sametab</t>
  </si>
  <si>
    <t>https://target.scene7.com/is/image/Target/GUEST_b4240031-cadc-4577-9ecc-94c1eb158273?qlt=65&amp;fmt=webp&amp;hei=350&amp;wid=350</t>
  </si>
  <si>
    <t>Starbucks Doubleshot Energy Vanilla Fortified Energy Coffee Drink - 15 fl oz Can</t>
  </si>
  <si>
    <t>https://www.target.com/p/starbucks-doubleshot-espresso-light-premium-coffee-drink-4pk-6-5-fl-oz-cans/-/A-12953984#lnk=sametab</t>
  </si>
  <si>
    <t>https://target.scene7.com/is/image/Target/GUEST_8e01f67a-e18b-4b24-95a6-181d962f00bd?qlt=65&amp;fmt=webp&amp;hei=350&amp;wid=350</t>
  </si>
  <si>
    <t>Starbucks Doubleshot Espresso Light Premium Coffee Drink - 4pk/6.5 fl oz Cans</t>
  </si>
  <si>
    <t>https://www.target.com/p/starbucks-frappuccino-caramel-coffee-drink-13-7-fl-oz-glass-bottle/-/A-14936867#lnk=sametab</t>
  </si>
  <si>
    <t>https://target.scene7.com/is/image/Target/GUEST_56dbc0df-408b-49db-88e4-a69642c9ee52?qlt=65&amp;fmt=webp&amp;hei=350&amp;wid=350</t>
  </si>
  <si>
    <t>Starbucks Frappuccino Caramel Coffee Drink - 13.7 fl oz Glass Bottle</t>
  </si>
  <si>
    <t>13.7oz</t>
  </si>
  <si>
    <t>https://www.target.com/p/starbucks-frappuccino-caramel-coffee-drink-4pk-9-5-fl-oz-glass-bottles/-/A-15275609#lnk=sametab</t>
  </si>
  <si>
    <t>https://target.scene7.com/is/image/Target/GUEST_4b8dbee6-e384-4f85-aebb-fd07a7ae3840?qlt=65&amp;fmt=webp&amp;hei=350&amp;wid=350</t>
  </si>
  <si>
    <t>Starbucks Frappuccino Caramel Coffee Drink - 4pk/9.5 fl oz Glass Bottles</t>
  </si>
  <si>
    <t>38oz</t>
  </si>
  <si>
    <t>https://www.target.com/p/starbucks-frappuccino-chilled-coffee-drink-13-7-fl-oz-glass-bottle/-/A-12959301#lnk=sametab</t>
  </si>
  <si>
    <t>https://target.scene7.com/is/image/Target/GUEST_5befc930-6f2c-40d8-9d9e-513ad264cf0f?qlt=65&amp;fmt=webp&amp;hei=350&amp;wid=350</t>
  </si>
  <si>
    <t>Starbucks Frappuccino Chilled Coffee Drink - 13.7 fl oz Glass Bottle</t>
  </si>
  <si>
    <t>https://www.target.com/p/starbucks-frappuccino-coffee-drink-4pk-9-5-fl-oz-glass-bottles/-/A-12953709#lnk=sametab</t>
  </si>
  <si>
    <t>https://target.scene7.com/is/image/Target/GUEST_18cf1299-19bd-4d32-8717-77dd81046706?qlt=65&amp;fmt=webp&amp;hei=350&amp;wid=350</t>
  </si>
  <si>
    <t>Starbucks Frappuccino Coffee Drink - 4pk/9.5 fl oz Glass Bottles</t>
  </si>
  <si>
    <t>https://www.target.com/p/starbucks-frappuccino-mocha-coffee-drink-12pk-9-5-fl-oz-bottle/-/A-81793567#lnk=sametab</t>
  </si>
  <si>
    <t>https://target.scene7.com/is/image/Target/GUEST_f331d020-4d35-411b-b8e9-a88d6e4dd5e4?qlt=65&amp;fmt=webp&amp;hei=350&amp;wid=350</t>
  </si>
  <si>
    <t>Starbucks Frappuccino Mocha Coffee Drink - 12pk/9.5 fl oz Bottle</t>
  </si>
  <si>
    <t>28oz</t>
  </si>
  <si>
    <t>https://www.target.com/p/starbucks-frappuccino-mocha-coffee-drink-13-7-fl-oz-glass-bottle/-/A-12958806#lnk=sametab</t>
  </si>
  <si>
    <t>https://target.scene7.com/is/image/Target/GUEST_bad34090-17c4-46c8-b927-6ddb520fabc2?qlt=65&amp;fmt=webp&amp;hei=350&amp;wid=350</t>
  </si>
  <si>
    <t>Starbucks Frappuccino Mocha Coffee Drink - 13.7 fl oz Glass Bottle</t>
  </si>
  <si>
    <t>https://www.target.com/p/starbucks-frappuccino-mocha-coffee-drink-4pk-9-5-fl-oz-glass-bottles/-/A-12953855#lnk=sametab</t>
  </si>
  <si>
    <t>https://target.scene7.com/is/image/Target/GUEST_52fcaec8-8e74-4384-b714-37ade61e6d70?qlt=65&amp;fmt=webp&amp;hei=350&amp;wid=350</t>
  </si>
  <si>
    <t>Starbucks Frappuccino Mocha Coffee Drink - 4pk/9.5 fl oz Glass Bottles</t>
  </si>
  <si>
    <t>https://www.target.com/p/starbucks-frappuccino-oatmilk-caramel-waffle-cookie-coffee-drink-13-7-fl-oz-bottle/-/A-85036829#lnk=sametab</t>
  </si>
  <si>
    <t>https://target.scene7.com/is/image/Target/GUEST_d6f6d9e8-9bf9-4666-940b-13060ab3ae9c?qlt=65&amp;fmt=webp&amp;hei=350&amp;wid=350</t>
  </si>
  <si>
    <t>Starbucks Frappuccino Oatmilk Caramel Waffle Cookie Coffee Drink - 13.7 fl oz Bottle</t>
  </si>
  <si>
    <t>https://www.target.com/p/starbucks-frappuccino-oatmilk-dark-chocolate-brownie-coffee-drink-13-7-fl-oz-bottle/-/A-85036828#lnk=sametab</t>
  </si>
  <si>
    <t>https://target.scene7.com/is/image/Target/GUEST_ce91ac65-1058-43b3-b993-c5dd5dda92d6?qlt=65&amp;fmt=webp&amp;hei=350&amp;wid=350</t>
  </si>
  <si>
    <t>Starbucks Frappuccino Oatmilk Dark Chocolate Brownie Coffee Drink - 13.7 fl oz Bottle</t>
  </si>
  <si>
    <t>https://www.target.com/p/starbucks-frappuccino-vanilla-chilled-coffee-drink-13-7-fl-oz-glass-bottle/-/A-12953983#lnk=sametab</t>
  </si>
  <si>
    <t>https://target.scene7.com/is/image/Target/GUEST_5cb467ae-45ac-40b4-bba3-a8c270e9e970?qlt=65&amp;fmt=webp&amp;hei=350&amp;wid=350</t>
  </si>
  <si>
    <t>Starbucks Frappuccino Vanilla Chilled Coffee Drink - 13.7 fl oz Glass Bottle</t>
  </si>
  <si>
    <t>https://www.target.com/p/starbucks-frappuccino-vanilla-coffee-drink-12pk-9-5-fl-oz-bottle/-/A-81793568#lnk=sametab</t>
  </si>
  <si>
    <t>https://target.scene7.com/is/image/Target/GUEST_22b3505b-f549-48aa-9eee-cd2fb4d607cb?qlt=65&amp;fmt=webp&amp;hei=350&amp;wid=350</t>
  </si>
  <si>
    <t>Starbucks Frappuccino Vanilla Coffee Drink - 12pk/9.5 fl oz Bottle</t>
  </si>
  <si>
    <t>https://www.target.com/p/starbucks-frappuccino-vanilla-coffee-drink-4pk-9-5-fl-oz-glass-bottles/-/A-12959304#lnk=sametab</t>
  </si>
  <si>
    <t>https://target.scene7.com/is/image/Target/GUEST_e1a05281-5ef3-4d2a-88a1-bd88687e8f87?qlt=65&amp;fmt=webp&amp;hei=350&amp;wid=350</t>
  </si>
  <si>
    <t>Starbucks Frappuccino Vanilla Coffee Drink - 4pk/9.5 fl oz Glass Bottles</t>
  </si>
  <si>
    <t>https://www.target.com/p/starbucks-keurig-mountain-blend-medium-roast-coffee-pods-22-k-cups/-/A-92987564#lnk=sametab</t>
  </si>
  <si>
    <t>https://target.scene7.com/is/image/Target/GUEST_b2e19933-ad3a-4220-afe8-0345da0e5e29?qlt=65&amp;fmt=webp&amp;hei=350&amp;wid=350</t>
  </si>
  <si>
    <t>Starbucks Keurig Mountain Blend Medium Roast Coffee Pods - 22 K-Cups</t>
  </si>
  <si>
    <t>https://www.target.com/p/starbucks-nitro-cold-brew-black-unsweetened-premium-coffee-drink-9-6-fl-oz-bottle/-/A-79343739#lnk=sametab</t>
  </si>
  <si>
    <t>https://target.scene7.com/is/image/Target/GUEST_d52153bd-0d67-46b4-b994-d62c84227bf9?qlt=65&amp;fmt=webp&amp;hei=350&amp;wid=350</t>
  </si>
  <si>
    <t>Starbucks Nitro Cold Brew Black Unsweetened Premium Coffee Drink - 9.6 fl oz Bottle</t>
  </si>
  <si>
    <t>https://www.target.com/p/starbucks-nitro-cold-brew-vanilla-sweet-cream-premium-coffee-drink-9-6-fl-oz-bottle/-/A-79343740#lnk=sametab</t>
  </si>
  <si>
    <t>https://target.scene7.com/is/image/Target/GUEST_479963f2-3706-48fb-88e5-a2551b6a9c89?qlt=65&amp;fmt=webp&amp;hei=350&amp;wid=350</t>
  </si>
  <si>
    <t>Starbucks Nitro Cold Brew Vanilla Sweet Cream Premium Coffee Drink - 9.6 fl oz Bottle</t>
  </si>
  <si>
    <t>https://www.target.com/p/totino-s-cheese-frozen-pizza-rolls-24-8oz/-/A-53840362#lnk=sametab</t>
  </si>
  <si>
    <t>https://target.scene7.com/is/image/Target/GUEST_6891dab7-0f8e-467c-828c-29d3018546fb?qlt=65&amp;fmt=webp&amp;hei=350&amp;wid=350</t>
  </si>
  <si>
    <t>Totino's Cheese Frozen Pizza Rolls - 24.8oz</t>
  </si>
  <si>
    <t>https://www.target.com/p/totino-s-combination-frozen-pizza-rolls-24-8oz/-/A-53840318#lnk=sametab</t>
  </si>
  <si>
    <t>https://target.scene7.com/is/image/Target/GUEST_27a8e5d4-be67-4c97-ac53-a1649aadb2b8?qlt=65&amp;fmt=webp&amp;hei=350&amp;wid=350</t>
  </si>
  <si>
    <t>Totino's Combination Frozen Pizza Rolls - 24.8oz</t>
  </si>
  <si>
    <t>https://www.target.com/p/totino-39-s-combination-party-frozen-pizza-10-4oz/-/A-13016434#lnk=sametab</t>
  </si>
  <si>
    <t>https://target.scene7.com/is/image/Target/GUEST_ca4ab55b-bfe9-4b5e-acc9-ce7ed936f8ee?qlt=65&amp;fmt=webp&amp;hei=350&amp;wid=350</t>
  </si>
  <si>
    <t>Totino's Combination Party Frozen Pizza - 10.4oz</t>
  </si>
  <si>
    <t>https://www.target.com/p/totino-39-s-combination-sausage-38-pepperoni-frozen-party-pizza-41-6oz-4pk/-/A-54123109#lnk=sametab</t>
  </si>
  <si>
    <t>https://target.scene7.com/is/image/Target/GUEST_b0a94fcb-e4c3-409b-bff0-dde11a869163?qlt=65&amp;fmt=webp&amp;hei=350&amp;wid=350</t>
  </si>
  <si>
    <t>Totino's Combination Sausage &amp; Pepperoni Frozen Party Pizza - 41.6oz/4pk</t>
  </si>
  <si>
    <t>166.4oz</t>
  </si>
  <si>
    <t>https://www.target.com/p/totino-39-s-frozen-pizza-rolls-combo-63-5oz-130ct/-/A-79502661#lnk=sametab</t>
  </si>
  <si>
    <t>https://target.scene7.com/is/image/Target/GUEST_b1c4bcfc-1abb-467a-b567-06ef9210090f?qlt=65&amp;fmt=webp&amp;hei=350&amp;wid=350</t>
  </si>
  <si>
    <t>Totino's Frozen Pizza Rolls Combo - 63.5oz/130ct</t>
  </si>
  <si>
    <t>63.5oz</t>
  </si>
  <si>
    <t>https://www.target.com/p/totino-39-s-frozen-pizza-rolls-pepperoni-63-5oz-130ct/-/A-79502660#lnk=sametab</t>
  </si>
  <si>
    <t>https://target.scene7.com/is/image/Target/GUEST_95b9ac39-8f4b-471d-abab-46424cbabc50?qlt=65&amp;fmt=webp&amp;hei=350&amp;wid=350</t>
  </si>
  <si>
    <t>Totino's Frozen Pizza Rolls Pepperoni - 63.5oz/130ct</t>
  </si>
  <si>
    <t>https://www.target.com/p/totino-39-s-frozen-pizza-rolls-triple-cheese-63-5oz-130ct/-/A-89229409#lnk=sametab</t>
  </si>
  <si>
    <t>https://target.scene7.com/is/image/Target/GUEST_3d173a46-3a32-45ac-9e2a-467efac048bb?qlt=65&amp;fmt=webp&amp;hei=350&amp;wid=350</t>
  </si>
  <si>
    <t>Totino's Frozen Pizza Rolls Triple Cheese - 63.5oz/130ct</t>
  </si>
  <si>
    <t>https://www.target.com/p/totino-s-pepperoni-frozen-pizza-rolls-24-8oz/-/A-53840307#lnk=sametab</t>
  </si>
  <si>
    <t>https://target.scene7.com/is/image/Target/GUEST_bc048e55-9655-42fc-ae9e-6e9e3b415476?qlt=65&amp;fmt=webp&amp;hei=350&amp;wid=350</t>
  </si>
  <si>
    <t>Totino's Pepperoni Frozen Pizza Rolls - 24.8oz</t>
  </si>
  <si>
    <t>https://www.target.com/p/totino-s-pepperoni-party-frozen-pizza-10-2oz/-/A-13016484#lnk=sametab</t>
  </si>
  <si>
    <t>https://target.scene7.com/is/image/Target/GUEST_319098c2-1cdc-4fc9-a7b2-b1567f179110?qlt=65&amp;fmt=webp&amp;hei=350&amp;wid=350</t>
  </si>
  <si>
    <t>Totino's Pepperoni Party Frozen Pizza - 10.2oz</t>
  </si>
  <si>
    <t>https://www.target.com/p/totino-39-s-triple-cheese-frozen-party-pizza-39-2oz-4pk/-/A-54136330#lnk=sametab</t>
  </si>
  <si>
    <t>https://target.scene7.com/is/image/Target/GUEST_521249fd-85b0-461b-8626-d5df7e2d56f7?qlt=65&amp;fmt=webp&amp;hei=350&amp;wid=350</t>
  </si>
  <si>
    <t>Totino's Triple Cheese Frozen Party Pizza - 39.2oz/4pk</t>
  </si>
  <si>
    <t>156.8oz</t>
  </si>
  <si>
    <t>helper_1</t>
  </si>
  <si>
    <t>helper_2</t>
  </si>
  <si>
    <t>Barilla</t>
  </si>
  <si>
    <t>Pasta</t>
  </si>
  <si>
    <t>BelGioioso</t>
  </si>
  <si>
    <t>Dairy</t>
  </si>
  <si>
    <t>Ben's Original</t>
  </si>
  <si>
    <t>Protein</t>
  </si>
  <si>
    <t>Bush's</t>
  </si>
  <si>
    <t>Rice</t>
  </si>
  <si>
    <t>Chobani</t>
  </si>
  <si>
    <t>Canned Vegetables</t>
  </si>
  <si>
    <t>Mott's</t>
  </si>
  <si>
    <t>Canned Fruit</t>
  </si>
  <si>
    <t>Del Monte</t>
  </si>
  <si>
    <t>Prepared Food</t>
  </si>
  <si>
    <t>Dole</t>
  </si>
  <si>
    <t xml:space="preserve">Bread </t>
  </si>
  <si>
    <t>Fairlife</t>
  </si>
  <si>
    <t>Beverages</t>
  </si>
  <si>
    <t>Horizon Organic</t>
  </si>
  <si>
    <t>Hunt's</t>
  </si>
  <si>
    <t>Jif</t>
  </si>
  <si>
    <t>Kraft</t>
  </si>
  <si>
    <t>Lactaid</t>
  </si>
  <si>
    <t>Mission</t>
  </si>
  <si>
    <t>Nature's Own</t>
  </si>
  <si>
    <t>Sara Lee</t>
  </si>
  <si>
    <t>Skippy</t>
  </si>
  <si>
    <t>Philadelphia</t>
  </si>
  <si>
    <t>Ben &amp; Jerry's</t>
  </si>
  <si>
    <t>Hillshire Farm</t>
  </si>
  <si>
    <t>SPAM</t>
  </si>
  <si>
    <t>Oscar Mayer</t>
  </si>
  <si>
    <t>Hershey's</t>
  </si>
  <si>
    <t>Starbucks</t>
  </si>
  <si>
    <t>Eggo</t>
  </si>
  <si>
    <t>Lay's</t>
  </si>
  <si>
    <t>Totino's</t>
  </si>
  <si>
    <t>DiGiorno</t>
  </si>
  <si>
    <t>Arizona</t>
  </si>
  <si>
    <t>Gatorade</t>
  </si>
  <si>
    <t>San Pellegrino</t>
  </si>
  <si>
    <t>Coca-Cola</t>
  </si>
  <si>
    <t>Sparkling Ice</t>
  </si>
  <si>
    <t>Birds Eye</t>
  </si>
  <si>
    <t>Oreo</t>
  </si>
  <si>
    <t>Goya</t>
  </si>
  <si>
    <t>Cheerios</t>
  </si>
  <si>
    <t>Nature Valley</t>
  </si>
  <si>
    <t>Quaker</t>
  </si>
  <si>
    <t>Lundberg</t>
  </si>
  <si>
    <t>Annie's</t>
  </si>
  <si>
    <t>Rao's Homemade</t>
  </si>
  <si>
    <t>Oikos</t>
  </si>
  <si>
    <t>Light + Fit</t>
  </si>
  <si>
    <t>10.68oz</t>
  </si>
  <si>
    <t>10.4oz</t>
  </si>
  <si>
    <t>8.04oz</t>
  </si>
  <si>
    <t>7oz</t>
  </si>
  <si>
    <t>17.5oz</t>
  </si>
  <si>
    <t>11.44oz</t>
  </si>
  <si>
    <t>11.4oz</t>
  </si>
  <si>
    <t>72oz</t>
  </si>
  <si>
    <t>10.8oz</t>
  </si>
  <si>
    <t>16.9oz</t>
  </si>
  <si>
    <t>384oz</t>
  </si>
  <si>
    <t>480oz</t>
  </si>
  <si>
    <t>1024oz</t>
  </si>
  <si>
    <t>58.4oz</t>
  </si>
  <si>
    <t>1536oz</t>
  </si>
  <si>
    <t>21.2oz</t>
  </si>
  <si>
    <t>101.4oz</t>
  </si>
  <si>
    <t>36oz</t>
  </si>
  <si>
    <t>123oz</t>
  </si>
  <si>
    <t>705.6oz</t>
  </si>
  <si>
    <t>406.4oz</t>
  </si>
  <si>
    <t>107.5oz</t>
  </si>
  <si>
    <t>31oz</t>
  </si>
  <si>
    <t>177.6oz</t>
  </si>
  <si>
    <t>564oz</t>
  </si>
  <si>
    <t>37.2oz</t>
  </si>
  <si>
    <t>710.4oz</t>
  </si>
  <si>
    <t>69.6oz</t>
  </si>
  <si>
    <t>324oz</t>
  </si>
  <si>
    <t>202.8oz</t>
  </si>
  <si>
    <t>2.1oz</t>
  </si>
  <si>
    <t>149oz</t>
  </si>
  <si>
    <t>54.4oz</t>
  </si>
  <si>
    <t>3.52oz</t>
  </si>
  <si>
    <t>372oz</t>
  </si>
  <si>
    <t>1.41oz</t>
  </si>
  <si>
    <t>1350oz</t>
  </si>
  <si>
    <t>9.3oz</t>
  </si>
  <si>
    <t>7.2oz</t>
  </si>
  <si>
    <t>64.8oz</t>
  </si>
  <si>
    <t>50.4oz</t>
  </si>
  <si>
    <t>68.4oz</t>
  </si>
  <si>
    <t>2.8oz</t>
  </si>
  <si>
    <t>3684.8oz</t>
  </si>
  <si>
    <t>54oz</t>
  </si>
  <si>
    <t>70.4oz</t>
  </si>
  <si>
    <t>135oz</t>
  </si>
  <si>
    <t>34oz</t>
  </si>
  <si>
    <t>product_price_per_oz</t>
  </si>
  <si>
    <t>78oz</t>
  </si>
  <si>
    <t>14oz</t>
  </si>
  <si>
    <t>52oz</t>
  </si>
  <si>
    <t>target_product_price_oz</t>
  </si>
  <si>
    <t>Cheese</t>
  </si>
  <si>
    <t>Milk</t>
  </si>
  <si>
    <t>Yogurt</t>
  </si>
  <si>
    <t>helper_3</t>
  </si>
  <si>
    <t>Grain</t>
  </si>
  <si>
    <t>Fruit &amp; Vegetables</t>
  </si>
  <si>
    <t>Target_food_group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</si>
</sst>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8" fontId="0" fillId="0" borderId="0" xfId="0" applyNumberFormat="1"/>
    <xf numFmtId="0" fontId="2" fillId="0" borderId="0" xfId="2"/>
    <xf numFmtId="0" fontId="4" fillId="0" borderId="0" xfId="0" applyFont="1"/>
    <xf numFmtId="43" fontId="0" fillId="0" borderId="0" xfId="1" applyNumberFormat="1" applyFont="1"/>
    <xf numFmtId="0" fontId="0" fillId="0" borderId="0" xfId="1" applyNumberFormat="1" applyFont="1"/>
  </cellXfs>
  <cellStyles count="3">
    <cellStyle name="Currency" xfId="1" builtinId="4"/>
    <cellStyle name="Hyperlink" xfId="2" builtinId="8"/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BBBCEE-F442-8D40-B860-29C0DDD393F0}" name="Table1" displayName="Table1" ref="A1:K1003" totalsRowShown="0">
  <autoFilter ref="A1:K1003" xr:uid="{66BBBCEE-F442-8D40-B860-29C0DDD393F0}"/>
  <sortState xmlns:xlrd2="http://schemas.microsoft.com/office/spreadsheetml/2017/richdata2" ref="A2:J1003">
    <sortCondition ref="C1:C1003"/>
  </sortState>
  <tableColumns count="11">
    <tableColumn id="1" xr3:uid="{00918384-2B8C-2347-ABFF-ADA8A84AF14D}" name="Target_product_url"/>
    <tableColumn id="2" xr3:uid="{D70A9276-1CB0-F04B-BF42-AAA45AEC9DC9}" name="Target_product_image_url"/>
    <tableColumn id="3" xr3:uid="{5E928554-7ED1-FE4C-8E7C-AE7FC0972529}" name="Target_product_name"/>
    <tableColumn id="10" xr3:uid="{44B8600C-F61D-A045-8FDA-87E037242972}" name="target_product_name_adj" dataDxfId="7">
      <calculatedColumnFormula>SUBSTITUTE(Table1[[#This Row],[Target_product_name]], "oz", " oz")</calculatedColumnFormula>
    </tableColumn>
    <tableColumn id="5" xr3:uid="{19850DE0-87BF-F44B-94C4-B9DE8641E0F8}" name="Target_product_quantity" dataDxfId="6">
      <calculatedColumnFormula>TRIM(RIGHT(C2, LEN(C2) - FIND("-", C2)))</calculatedColumnFormula>
    </tableColumn>
    <tableColumn id="6" xr3:uid="{3A00C6A9-CB6E-4090-A550-36BFD20F1ED4}" name="product_price_per_oz" dataDxfId="5">
      <calculatedColumnFormula>LEFT(Table1[[#This Row],[Target_product_quantity]], FIND("o", Table1[[#This Row],[Target_product_quantity]])-1)</calculatedColumnFormula>
    </tableColumn>
    <tableColumn id="7" xr3:uid="{08E9EBA9-E698-2D48-96D5-1BD0DA5EA46A}" name="Target_product_brand" dataDxfId="4">
      <calculatedColumnFormula array="1">_xlfn.TEXTJOIN("", TRUE, IF(ISNUMBER(SEARCH($K$1010:$K$1054, C2)), $K$1010:$K$1054, ""))</calculatedColumnFormula>
    </tableColumn>
    <tableColumn id="9" xr3:uid="{46DE9B9F-A59E-9249-8E43-163F7368EF5A}" name="Target_product_type" dataDxfId="1">
      <calculatedColumnFormula>IF(OR(G2="Mission",G2="Nature's Own",G2="Sara Lee"),"Bread",
IF(OR(G2="Del Monte",G2="Dole",G2="Mott's"),"Canned Fruit",
IF(OR(G2="Goya",G2="Hunt's",G2="Birds Eye"),"Canned Vegetables",
IF(OR(G2="Fairlife",G2="Horizon Organic",G2="Lactaid",G2="Ben &amp; Jerry's"),"Milk",
IF(OR(G2="BelGioioso",G2="Kraft",G2="Philadelphia"),"Cheese",
IF(OR(G2="Chobani",G2="Oikos",G2="Light + Fit"),"Yogurt",
IF(OR(G2="Barilla",G2="Annie's",G2="Rao's Homemade"),"Pasta",
IF(OR(G2="Hershey's",G2="Lay's",G2="Totino's",G2="Cheerios",G2="Jif",G2="Skippy",G2="Nature Valley",G2="Oreo",G2="DiGiorno",G2="Eggo"),"Prepared Food",
IF(OR(G2="Ben's Original",G2="Lundberg",G2="Quaker"),"Rice",
IF(OR(G2="Bush's",G2="Hillshire Farm",G2="Oscar Mayer",G2="SPAM"),"Protein",
IF(OR(G2="Starbucks",G2="Sparkling Ice",G2="Coca-Cola",G2="San Pellegrino",G2="Gatorade",G2="Arizona"),"Beverages",
"Other")))))))))))</calculatedColumnFormula>
    </tableColumn>
    <tableColumn id="11" xr3:uid="{014A1E3A-C5E3-E24C-B49B-50C8078CD7DD}" name="Target_food_group" dataDxfId="0">
      <calculatedColumnFormula>IF(OR(H2="Bread",H2="Rice",H2="Pasta"), "Grain",
IF(OR(H2="Milk",H2="Cheese",H2="Yogurt"), "Dairy",
IF(OR(H2="Canned Fruit",H2="Canned Vegetables"), "Fruit &amp; Vegetables",
IF(H2="Prepared Food", "Prepared Food",
IF(H2="Protein", "Protein",
IF(H2="Beverages", "Beverages",
"Other"))))))</calculatedColumnFormula>
    </tableColumn>
    <tableColumn id="4" xr3:uid="{715ADC62-4305-B94B-BF05-1278A85979DF}" name="Target_product_price" dataDxfId="3" dataCellStyle="Currency"/>
    <tableColumn id="8" xr3:uid="{D952B231-6045-4A06-A7C1-B4E5528B3E54}" name="target_product_price_oz" dataDxfId="2">
      <calculatedColumnFormula>Table1[[#This Row],[Target_product_price]]/Table1[[#This Row],[product_price_per_oz]]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s://target.scene7.com/is/image/Target/GUEST_acbde9ff-6755-40a0-828d-e0cc466d6774?qlt=65&amp;fmt=webp&amp;hei=350&amp;wid=350" TargetMode="External"/><Relationship Id="rId1" Type="http://schemas.openxmlformats.org/officeDocument/2006/relationships/hyperlink" Target="https://target.scene7.com/is/image/Target/GUEST_ef2c9986-ada8-4364-ae99-7f95f6161913?qlt=65&amp;fmt=webp&amp;hei=350&amp;wid=35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A2E68-A741-ED44-B5D0-9F0796499E46}">
  <dimension ref="A1:AD1686"/>
  <sheetViews>
    <sheetView tabSelected="1" topLeftCell="E1" zoomScale="130" zoomScaleNormal="130" workbookViewId="0">
      <selection activeCell="I7" sqref="I7"/>
    </sheetView>
  </sheetViews>
  <sheetFormatPr baseColWidth="10" defaultColWidth="11" defaultRowHeight="16" x14ac:dyDescent="0.2"/>
  <cols>
    <col min="1" max="1" width="33.5" customWidth="1"/>
    <col min="2" max="2" width="37.5" customWidth="1"/>
    <col min="3" max="4" width="71.1640625" customWidth="1"/>
    <col min="5" max="6" width="24.83203125" customWidth="1"/>
    <col min="7" max="7" width="25.5" customWidth="1"/>
    <col min="8" max="8" width="25.1640625" customWidth="1"/>
    <col min="9" max="9" width="18.5" customWidth="1"/>
    <col min="10" max="10" width="23.33203125" style="4" customWidth="1"/>
    <col min="11" max="11" width="19.83203125" customWidth="1"/>
    <col min="12" max="12" width="17.6640625" customWidth="1"/>
    <col min="13" max="13" width="23.83203125" customWidth="1"/>
    <col min="14" max="14" width="11.16406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3036</v>
      </c>
      <c r="G1" t="s">
        <v>5</v>
      </c>
      <c r="H1" t="s">
        <v>6</v>
      </c>
      <c r="I1" t="s">
        <v>3047</v>
      </c>
      <c r="J1" s="4" t="s">
        <v>7</v>
      </c>
      <c r="K1" t="s">
        <v>3040</v>
      </c>
      <c r="M1" s="3"/>
    </row>
    <row r="2" spans="1:13" x14ac:dyDescent="0.2">
      <c r="A2" t="s">
        <v>8</v>
      </c>
      <c r="B2" t="s">
        <v>9</v>
      </c>
      <c r="C2" t="s">
        <v>10</v>
      </c>
      <c r="D2" t="str">
        <f>SUBSTITUTE(Table1[[#This Row],[Target_product_name]], "oz", " oz")</f>
        <v>Annie's 2 Pack/6 oz Each Organic Super Mac Shells &amp; Real Aged Cheddar</v>
      </c>
      <c r="E2" t="s">
        <v>11</v>
      </c>
      <c r="F2" t="str">
        <f>LEFT(Table1[[#This Row],[Target_product_quantity]], FIND("o", Table1[[#This Row],[Target_product_quantity]])-1)</f>
        <v>12</v>
      </c>
      <c r="G2" t="str" cm="1">
        <f t="array" ref="G2">_xlfn.TEXTJOIN("", TRUE, IF(ISNUMBER(SEARCH($K$1010:$K$1054, C2)), $K$1010:$K$1054, ""))</f>
        <v>Annie's</v>
      </c>
      <c r="H2" t="str">
        <f>IF(OR(G2="Mission",G2="Nature's Own",G2="Sara Lee"),"Bread",
IF(OR(G2="Del Monte",G2="Dole",G2="Mott's"),"Canned Fruit",
IF(OR(G2="Goya",G2="Hunt's",G2="Birds Eye"),"Canned Vegetables",
IF(OR(G2="Fairlife",G2="Horizon Organic",G2="Lactaid",G2="Ben &amp; Jerry's"),"Milk",
IF(OR(G2="BelGioioso",G2="Kraft",G2="Philadelphia"),"Cheese",
IF(OR(G2="Chobani",G2="Oikos",G2="Light + Fit"),"Yogurt",
IF(OR(G2="Barilla",G2="Annie's",G2="Rao's Homemade"),"Pasta",
IF(OR(G2="Hershey's",G2="Lay's",G2="Totino's",G2="Cheerios",G2="Jif",G2="Skippy",G2="Nature Valley",G2="Oreo",G2="DiGiorno",G2="Eggo"),"Prepared Food",
IF(OR(G2="Ben's Original",G2="Lundberg",G2="Quaker"),"Rice",
IF(OR(G2="Bush's",G2="Hillshire Farm",G2="Oscar Mayer",G2="SPAM"),"Protein",
IF(OR(G2="Starbucks",G2="Sparkling Ice",G2="Coca-Cola",G2="San Pellegrino",G2="Gatorade",G2="Arizona"),"Beverages",
"Other")))))))))))</f>
        <v>Pasta</v>
      </c>
      <c r="I2" t="str">
        <f>IF(OR(H2="Bread",H2="Rice",H2="Pasta"), "Grain",
IF(OR(H2="Milk",H2="Cheese",H2="Yogurt"), "Dairy",
IF(OR(H2="Canned Fruit",H2="Canned Vegetables"), "Fruit &amp; Vegetables",
IF(H2="Prepared Food", "Prepared Food",
IF(H2="Protein", "Protein",
IF(H2="Beverages", "Beverages",
"Other"))))))</f>
        <v>Grain</v>
      </c>
      <c r="J2">
        <v>5.68</v>
      </c>
      <c r="K2">
        <f>Table1[[#This Row],[Target_product_price]]/Table1[[#This Row],[product_price_per_oz]]</f>
        <v>0.47333333333333333</v>
      </c>
      <c r="M2" s="3"/>
    </row>
    <row r="3" spans="1:13" x14ac:dyDescent="0.2">
      <c r="A3" t="s">
        <v>12</v>
      </c>
      <c r="B3" t="s">
        <v>13</v>
      </c>
      <c r="C3" t="s">
        <v>14</v>
      </c>
      <c r="D3" t="str">
        <f>SUBSTITUTE(Table1[[#This Row],[Target_product_name]], "oz", " oz")</f>
        <v>Annie's 2 Pack/6 oz Each Organic Super Mac Shells &amp; White Cheddar Mac and Cheese</v>
      </c>
      <c r="E3" t="s">
        <v>11</v>
      </c>
      <c r="F3" t="str">
        <f>LEFT(Table1[[#This Row],[Target_product_quantity]], FIND("o", Table1[[#This Row],[Target_product_quantity]])-1)</f>
        <v>12</v>
      </c>
      <c r="G3" t="str" cm="1">
        <f t="array" ref="G3">_xlfn.TEXTJOIN("", TRUE, IF(ISNUMBER(SEARCH($K$1010:$K$1054, C3)), $K$1010:$K$1054, ""))</f>
        <v>Annie's</v>
      </c>
      <c r="H3" t="str">
        <f t="shared" ref="H3:H65" si="0">IF(OR(G3="Mission",G3="Nature's Own",G3="Sara Lee"),"Bread",
IF(OR(G3="Del Monte",G3="Dole",G3="Mott's"),"Canned Fruit",
IF(OR(G3="Goya",G3="Hunt's",G3="Birds Eye"),"Canned Vegetables",
IF(OR(G3="Fairlife",G3="Horizon Organic",G3="Lactaid",G3="Ben &amp; Jerry's"),"Milk",
IF(OR(G3="BelGioioso",G3="Kraft",G3="Philadelphia"),"Cheese",
IF(OR(G3="Chobani",G3="Oikos",G3="Light + Fit"),"Yogurt",
IF(OR(G3="Barilla",G3="Annie's",G3="Rao's Homemade"),"Pasta",
IF(OR(G3="Hershey's",G3="Lay's",G3="Totino's",G3="Cheerios",G3="Jif",G3="Skippy",G3="Nature Valley",G3="Oreo",G3="DiGiorno",G3="Eggo"),"Prepared Food",
IF(OR(G3="Ben's Original",G3="Lundberg",G3="Quaker"),"Rice",
IF(OR(G3="Bush's",G3="Hillshire Farm",G3="Oscar Mayer",G3="SPAM"),"Protein",
IF(OR(G3="Starbucks",G3="Sparkling Ice",G3="Coca-Cola",G3="San Pellegrino",G3="Gatorade",G3="Arizona"),"Beverages",
"Other")))))))))))</f>
        <v>Pasta</v>
      </c>
      <c r="I3" t="str">
        <f t="shared" ref="I2:I65" si="1">IF(OR(H3="Bread",H3="Rice",H3="Pasta"), "Grain",
IF(OR(H3="Milk",H3="Cheese",H3="Yogurt"), "Dairy",
IF(OR(H3="Canned Fruit",H3="Canned Vegetables"), "Fruit &amp; Vegetables",
IF(H3="Prepared Food", "Prepared Food",
IF(H3="Protein", "Protein",
IF(H3="Beverages", "Beverages",
"Other"))))))</f>
        <v>Grain</v>
      </c>
      <c r="J3">
        <v>5.68</v>
      </c>
      <c r="K3">
        <f>Table1[[#This Row],[Target_product_price]]/Table1[[#This Row],[product_price_per_oz]]</f>
        <v>0.47333333333333333</v>
      </c>
      <c r="M3" s="3"/>
    </row>
    <row r="4" spans="1:13" x14ac:dyDescent="0.2">
      <c r="A4" t="s">
        <v>15</v>
      </c>
      <c r="B4" t="s">
        <v>16</v>
      </c>
      <c r="C4" t="s">
        <v>17</v>
      </c>
      <c r="D4" t="str">
        <f>SUBSTITUTE(Table1[[#This Row],[Target_product_name]], "oz", " oz")</f>
        <v>Annie's 3 Pack/6 oz Each Organic Super Mac Shells &amp; Real Aged Cheddar</v>
      </c>
      <c r="E4" t="s">
        <v>18</v>
      </c>
      <c r="F4" t="str">
        <f>LEFT(Table1[[#This Row],[Target_product_quantity]], FIND("o", Table1[[#This Row],[Target_product_quantity]])-1)</f>
        <v>18</v>
      </c>
      <c r="G4" t="str" cm="1">
        <f t="array" ref="G4">_xlfn.TEXTJOIN("", TRUE, IF(ISNUMBER(SEARCH($K$1010:$K$1054, C4)), $K$1010:$K$1054, ""))</f>
        <v>Annie's</v>
      </c>
      <c r="H4" t="str">
        <f t="shared" si="0"/>
        <v>Pasta</v>
      </c>
      <c r="I4" t="str">
        <f t="shared" si="1"/>
        <v>Grain</v>
      </c>
      <c r="J4">
        <v>8.52</v>
      </c>
      <c r="K4">
        <f>Table1[[#This Row],[Target_product_price]]/Table1[[#This Row],[product_price_per_oz]]</f>
        <v>0.47333333333333333</v>
      </c>
      <c r="M4" s="3"/>
    </row>
    <row r="5" spans="1:13" x14ac:dyDescent="0.2">
      <c r="A5" t="s">
        <v>19</v>
      </c>
      <c r="B5" t="s">
        <v>20</v>
      </c>
      <c r="C5" t="s">
        <v>21</v>
      </c>
      <c r="D5" t="str">
        <f>SUBSTITUTE(Table1[[#This Row],[Target_product_name]], "oz", " oz")</f>
        <v>Annie's 3 Pack/6 oz Each Organic Super Mac Shells &amp; White Cheddar Mac and Cheese</v>
      </c>
      <c r="E5" t="s">
        <v>18</v>
      </c>
      <c r="F5" t="str">
        <f>LEFT(Table1[[#This Row],[Target_product_quantity]], FIND("o", Table1[[#This Row],[Target_product_quantity]])-1)</f>
        <v>18</v>
      </c>
      <c r="G5" t="str" cm="1">
        <f t="array" ref="G5">_xlfn.TEXTJOIN("", TRUE, IF(ISNUMBER(SEARCH($K$1010:$K$1054, C5)), $K$1010:$K$1054, ""))</f>
        <v>Annie's</v>
      </c>
      <c r="H5" t="str">
        <f t="shared" si="0"/>
        <v>Pasta</v>
      </c>
      <c r="I5" t="str">
        <f t="shared" si="1"/>
        <v>Grain</v>
      </c>
      <c r="J5">
        <v>8.52</v>
      </c>
      <c r="K5">
        <f>Table1[[#This Row],[Target_product_price]]/Table1[[#This Row],[product_price_per_oz]]</f>
        <v>0.47333333333333333</v>
      </c>
      <c r="M5" s="3"/>
    </row>
    <row r="6" spans="1:13" x14ac:dyDescent="0.2">
      <c r="A6" t="s">
        <v>22</v>
      </c>
      <c r="B6" t="s">
        <v>23</v>
      </c>
      <c r="C6" t="s">
        <v>24</v>
      </c>
      <c r="D6" t="str">
        <f>SUBSTITUTE(Table1[[#This Row],[Target_product_name]], "oz", " oz")</f>
        <v>Annie's Cheddar Squares Baked Snack Crackers - 7.5 oz</v>
      </c>
      <c r="E6" t="str">
        <f t="shared" ref="E6:E23" si="2">TRIM(RIGHT(C6, LEN(C6) - FIND("-", C6)))</f>
        <v>7.5oz</v>
      </c>
      <c r="F6" t="str">
        <f>LEFT(Table1[[#This Row],[Target_product_quantity]], FIND("o", Table1[[#This Row],[Target_product_quantity]])-1)</f>
        <v>7.5</v>
      </c>
      <c r="G6" t="str" cm="1">
        <f t="array" ref="G6">_xlfn.TEXTJOIN("", TRUE, IF(ISNUMBER(SEARCH($K$1010:$K$1054, C6)), $K$1010:$K$1054, ""))</f>
        <v>Annie's</v>
      </c>
      <c r="H6" t="str">
        <f t="shared" si="0"/>
        <v>Pasta</v>
      </c>
      <c r="I6" t="str">
        <f t="shared" si="1"/>
        <v>Grain</v>
      </c>
      <c r="J6">
        <v>4.79</v>
      </c>
      <c r="K6">
        <f>Table1[[#This Row],[Target_product_price]]/Table1[[#This Row],[product_price_per_oz]]</f>
        <v>0.63866666666666672</v>
      </c>
      <c r="M6" s="3"/>
    </row>
    <row r="7" spans="1:13" x14ac:dyDescent="0.2">
      <c r="A7" t="s">
        <v>25</v>
      </c>
      <c r="B7" t="s">
        <v>26</v>
      </c>
      <c r="C7" t="s">
        <v>27</v>
      </c>
      <c r="D7" t="str">
        <f>SUBSTITUTE(Table1[[#This Row],[Target_product_name]], "oz", " oz")</f>
        <v>Annie's Chocolate Chip &amp; Peanut Butter Value Pack Granola Bar - 10.68 oz/12ct</v>
      </c>
      <c r="E7" t="s">
        <v>2988</v>
      </c>
      <c r="F7" t="str">
        <f>LEFT(Table1[[#This Row],[Target_product_quantity]], FIND("o", Table1[[#This Row],[Target_product_quantity]])-1)</f>
        <v>10.68</v>
      </c>
      <c r="G7" t="str" cm="1">
        <f t="array" ref="G7">_xlfn.TEXTJOIN("", TRUE, IF(ISNUMBER(SEARCH($K$1010:$K$1054, C7)), $K$1010:$K$1054, ""))</f>
        <v>Annie's</v>
      </c>
      <c r="H7" t="str">
        <f t="shared" si="0"/>
        <v>Pasta</v>
      </c>
      <c r="I7" t="str">
        <f t="shared" si="1"/>
        <v>Grain</v>
      </c>
      <c r="J7">
        <v>7.99</v>
      </c>
      <c r="K7">
        <f>Table1[[#This Row],[Target_product_price]]/Table1[[#This Row],[product_price_per_oz]]</f>
        <v>0.74812734082397003</v>
      </c>
      <c r="M7" s="3"/>
    </row>
    <row r="8" spans="1:13" x14ac:dyDescent="0.2">
      <c r="A8" t="s">
        <v>28</v>
      </c>
      <c r="B8" t="s">
        <v>29</v>
      </c>
      <c r="C8" t="s">
        <v>30</v>
      </c>
      <c r="D8" t="str">
        <f>SUBSTITUTE(Table1[[#This Row],[Target_product_name]], "oz", " oz")</f>
        <v>Annie's Chocolate Chip Chewy Value Pack - 10.68 oz</v>
      </c>
      <c r="E8" t="str">
        <f t="shared" si="2"/>
        <v>10.68oz</v>
      </c>
      <c r="F8" t="str">
        <f>LEFT(Table1[[#This Row],[Target_product_quantity]], FIND("o", Table1[[#This Row],[Target_product_quantity]])-1)</f>
        <v>10.68</v>
      </c>
      <c r="G8" t="str" cm="1">
        <f t="array" ref="G8">_xlfn.TEXTJOIN("", TRUE, IF(ISNUMBER(SEARCH($K$1010:$K$1054, C8)), $K$1010:$K$1054, ""))</f>
        <v>Annie's</v>
      </c>
      <c r="H8" t="str">
        <f t="shared" si="0"/>
        <v>Pasta</v>
      </c>
      <c r="I8" t="str">
        <f t="shared" si="1"/>
        <v>Grain</v>
      </c>
      <c r="J8">
        <v>7.99</v>
      </c>
      <c r="K8">
        <f>Table1[[#This Row],[Target_product_price]]/Table1[[#This Row],[product_price_per_oz]]</f>
        <v>0.74812734082397003</v>
      </c>
      <c r="M8" s="3"/>
    </row>
    <row r="9" spans="1:13" x14ac:dyDescent="0.2">
      <c r="A9" t="s">
        <v>31</v>
      </c>
      <c r="B9" t="s">
        <v>32</v>
      </c>
      <c r="C9" t="s">
        <v>33</v>
      </c>
      <c r="D9" t="str">
        <f>SUBSTITUTE(Table1[[#This Row],[Target_product_name]], "oz", " oz")</f>
        <v>Annie's Classic Deluxe Microwavable Mac &amp; Cheese Cup - 2.6 oz</v>
      </c>
      <c r="E9" t="str">
        <f t="shared" si="2"/>
        <v>2.6oz</v>
      </c>
      <c r="F9" t="str">
        <f>LEFT(Table1[[#This Row],[Target_product_quantity]], FIND("o", Table1[[#This Row],[Target_product_quantity]])-1)</f>
        <v>2.6</v>
      </c>
      <c r="G9" t="str" cm="1">
        <f t="array" ref="G9">_xlfn.TEXTJOIN("", TRUE, IF(ISNUMBER(SEARCH($K$1010:$K$1054, C9)), $K$1010:$K$1054, ""))</f>
        <v>Annie's</v>
      </c>
      <c r="H9" t="str">
        <f t="shared" si="0"/>
        <v>Pasta</v>
      </c>
      <c r="I9" t="str">
        <f t="shared" si="1"/>
        <v>Grain</v>
      </c>
      <c r="J9">
        <v>2.29</v>
      </c>
      <c r="K9">
        <f>Table1[[#This Row],[Target_product_price]]/Table1[[#This Row],[product_price_per_oz]]</f>
        <v>0.88076923076923075</v>
      </c>
      <c r="M9" s="3"/>
    </row>
    <row r="10" spans="1:13" x14ac:dyDescent="0.2">
      <c r="A10" t="s">
        <v>34</v>
      </c>
      <c r="B10" t="s">
        <v>35</v>
      </c>
      <c r="C10" t="s">
        <v>36</v>
      </c>
      <c r="D10" t="str">
        <f>SUBSTITUTE(Table1[[#This Row],[Target_product_name]], "oz", " oz")</f>
        <v>Annie's Deluxe Gluten Free Rice Pasta Shells &amp; Cheese Sauce - 11 oz</v>
      </c>
      <c r="E10" t="str">
        <f t="shared" si="2"/>
        <v>11oz</v>
      </c>
      <c r="F10" t="str">
        <f>LEFT(Table1[[#This Row],[Target_product_quantity]], FIND("o", Table1[[#This Row],[Target_product_quantity]])-1)</f>
        <v>11</v>
      </c>
      <c r="G10" t="str" cm="1">
        <f t="array" ref="G10">_xlfn.TEXTJOIN("", TRUE, IF(ISNUMBER(SEARCH($K$1010:$K$1054, C10)), $K$1010:$K$1054, ""))</f>
        <v>Annie's</v>
      </c>
      <c r="H10" t="str">
        <f t="shared" si="0"/>
        <v>Pasta</v>
      </c>
      <c r="I10" t="str">
        <f t="shared" si="1"/>
        <v>Grain</v>
      </c>
      <c r="J10">
        <v>5.89</v>
      </c>
      <c r="K10">
        <f>Table1[[#This Row],[Target_product_price]]/Table1[[#This Row],[product_price_per_oz]]</f>
        <v>0.53545454545454541</v>
      </c>
      <c r="M10" s="3"/>
    </row>
    <row r="11" spans="1:13" x14ac:dyDescent="0.2">
      <c r="A11" t="s">
        <v>34</v>
      </c>
      <c r="B11" t="s">
        <v>35</v>
      </c>
      <c r="C11" t="s">
        <v>36</v>
      </c>
      <c r="D11" t="str">
        <f>SUBSTITUTE(Table1[[#This Row],[Target_product_name]], "oz", " oz")</f>
        <v>Annie's Deluxe Gluten Free Rice Pasta Shells &amp; Cheese Sauce - 11 oz</v>
      </c>
      <c r="E11" t="str">
        <f t="shared" si="2"/>
        <v>11oz</v>
      </c>
      <c r="F11" t="str">
        <f>LEFT(Table1[[#This Row],[Target_product_quantity]], FIND("o", Table1[[#This Row],[Target_product_quantity]])-1)</f>
        <v>11</v>
      </c>
      <c r="G11" t="str" cm="1">
        <f t="array" ref="G11">_xlfn.TEXTJOIN("", TRUE, IF(ISNUMBER(SEARCH($K$1010:$K$1054, C11)), $K$1010:$K$1054, ""))</f>
        <v>Annie's</v>
      </c>
      <c r="H11" t="str">
        <f t="shared" si="0"/>
        <v>Pasta</v>
      </c>
      <c r="I11" t="str">
        <f t="shared" si="1"/>
        <v>Grain</v>
      </c>
      <c r="J11">
        <v>5.89</v>
      </c>
      <c r="K11">
        <f>Table1[[#This Row],[Target_product_price]]/Table1[[#This Row],[product_price_per_oz]]</f>
        <v>0.53545454545454541</v>
      </c>
      <c r="M11" s="3"/>
    </row>
    <row r="12" spans="1:13" x14ac:dyDescent="0.2">
      <c r="A12" t="s">
        <v>37</v>
      </c>
      <c r="B12" t="s">
        <v>38</v>
      </c>
      <c r="C12" t="s">
        <v>39</v>
      </c>
      <c r="D12" t="str">
        <f>SUBSTITUTE(Table1[[#This Row],[Target_product_name]], "oz", " oz")</f>
        <v>Annie's Deluxe Rich &amp; Creamy Classic Cheddar Mac and Cheese Microwavable Cups - 10.4 oz/4pk</v>
      </c>
      <c r="E12" t="s">
        <v>2989</v>
      </c>
      <c r="F12" t="str">
        <f>LEFT(Table1[[#This Row],[Target_product_quantity]], FIND("o", Table1[[#This Row],[Target_product_quantity]])-1)</f>
        <v>10.4</v>
      </c>
      <c r="G12" t="str" cm="1">
        <f t="array" ref="G12">_xlfn.TEXTJOIN("", TRUE, IF(ISNUMBER(SEARCH($K$1010:$K$1054, C12)), $K$1010:$K$1054, ""))</f>
        <v>Annie's</v>
      </c>
      <c r="H12" t="str">
        <f t="shared" si="0"/>
        <v>Pasta</v>
      </c>
      <c r="I12" t="str">
        <f t="shared" si="1"/>
        <v>Grain</v>
      </c>
      <c r="J12">
        <v>7.29</v>
      </c>
      <c r="K12">
        <f>Table1[[#This Row],[Target_product_price]]/Table1[[#This Row],[product_price_per_oz]]</f>
        <v>0.70096153846153841</v>
      </c>
      <c r="M12" s="3"/>
    </row>
    <row r="13" spans="1:13" x14ac:dyDescent="0.2">
      <c r="A13" t="s">
        <v>40</v>
      </c>
      <c r="B13" t="s">
        <v>41</v>
      </c>
      <c r="C13" t="s">
        <v>42</v>
      </c>
      <c r="D13" t="str">
        <f>SUBSTITUTE(Table1[[#This Row],[Target_product_name]], "oz", " oz")</f>
        <v>Annie's Deluxe Rich &amp; Creamy Shells &amp; Aged Cheddar Mac and Cheese Sauce - 11 oz</v>
      </c>
      <c r="E13" t="str">
        <f t="shared" si="2"/>
        <v>11oz</v>
      </c>
      <c r="F13" t="str">
        <f>LEFT(Table1[[#This Row],[Target_product_quantity]], FIND("o", Table1[[#This Row],[Target_product_quantity]])-1)</f>
        <v>11</v>
      </c>
      <c r="G13" t="str" cm="1">
        <f t="array" ref="G13">_xlfn.TEXTJOIN("", TRUE, IF(ISNUMBER(SEARCH($K$1010:$K$1054, C13)), $K$1010:$K$1054, ""))</f>
        <v>Annie's</v>
      </c>
      <c r="H13" t="str">
        <f t="shared" si="0"/>
        <v>Pasta</v>
      </c>
      <c r="I13" t="str">
        <f t="shared" si="1"/>
        <v>Grain</v>
      </c>
      <c r="J13">
        <v>4.8899999999999997</v>
      </c>
      <c r="K13">
        <f>Table1[[#This Row],[Target_product_price]]/Table1[[#This Row],[product_price_per_oz]]</f>
        <v>0.44454545454545452</v>
      </c>
    </row>
    <row r="14" spans="1:13" x14ac:dyDescent="0.2">
      <c r="A14" t="s">
        <v>43</v>
      </c>
      <c r="B14" t="s">
        <v>44</v>
      </c>
      <c r="C14" t="s">
        <v>45</v>
      </c>
      <c r="D14" t="str">
        <f>SUBSTITUTE(Table1[[#This Row],[Target_product_name]], "oz", " oz")</f>
        <v>Annie's Disney 100 Shapes Cheddar Mac and Cheese - 6 oz</v>
      </c>
      <c r="E14" t="str">
        <f t="shared" si="2"/>
        <v>6oz</v>
      </c>
      <c r="F14" t="str">
        <f>LEFT(Table1[[#This Row],[Target_product_quantity]], FIND("o", Table1[[#This Row],[Target_product_quantity]])-1)</f>
        <v>6</v>
      </c>
      <c r="G14" t="str" cm="1">
        <f t="array" ref="G14">_xlfn.TEXTJOIN("", TRUE, IF(ISNUMBER(SEARCH($K$1010:$K$1054, C14)), $K$1010:$K$1054, ""))</f>
        <v>Annie's</v>
      </c>
      <c r="H14" t="str">
        <f t="shared" si="0"/>
        <v>Pasta</v>
      </c>
      <c r="I14" t="str">
        <f t="shared" si="1"/>
        <v>Grain</v>
      </c>
      <c r="J14">
        <v>1.59</v>
      </c>
      <c r="K14">
        <f>Table1[[#This Row],[Target_product_price]]/Table1[[#This Row],[product_price_per_oz]]</f>
        <v>0.26500000000000001</v>
      </c>
    </row>
    <row r="15" spans="1:13" x14ac:dyDescent="0.2">
      <c r="A15" t="s">
        <v>43</v>
      </c>
      <c r="B15" t="s">
        <v>44</v>
      </c>
      <c r="C15" t="s">
        <v>45</v>
      </c>
      <c r="D15" t="str">
        <f>SUBSTITUTE(Table1[[#This Row],[Target_product_name]], "oz", " oz")</f>
        <v>Annie's Disney 100 Shapes Cheddar Mac and Cheese - 6 oz</v>
      </c>
      <c r="E15" t="str">
        <f t="shared" si="2"/>
        <v>6oz</v>
      </c>
      <c r="F15" t="str">
        <f>LEFT(Table1[[#This Row],[Target_product_quantity]], FIND("o", Table1[[#This Row],[Target_product_quantity]])-1)</f>
        <v>6</v>
      </c>
      <c r="G15" t="str" cm="1">
        <f t="array" ref="G15">_xlfn.TEXTJOIN("", TRUE, IF(ISNUMBER(SEARCH($K$1010:$K$1054, C15)), $K$1010:$K$1054, ""))</f>
        <v>Annie's</v>
      </c>
      <c r="H15" t="str">
        <f t="shared" si="0"/>
        <v>Pasta</v>
      </c>
      <c r="I15" t="str">
        <f t="shared" si="1"/>
        <v>Grain</v>
      </c>
      <c r="J15">
        <v>1.59</v>
      </c>
      <c r="K15">
        <f>Table1[[#This Row],[Target_product_price]]/Table1[[#This Row],[product_price_per_oz]]</f>
        <v>0.26500000000000001</v>
      </c>
    </row>
    <row r="16" spans="1:13" x14ac:dyDescent="0.2">
      <c r="A16" t="s">
        <v>46</v>
      </c>
      <c r="B16" t="s">
        <v>47</v>
      </c>
      <c r="C16" t="s">
        <v>48</v>
      </c>
      <c r="D16" t="str">
        <f>SUBSTITUTE(Table1[[#This Row],[Target_product_name]], "oz", " oz")</f>
        <v>Annie's Disney 100 Shapes Cheddar Mac and Cheese Microwavable Cups - 8.04 oz/4pk</v>
      </c>
      <c r="E16" t="s">
        <v>2990</v>
      </c>
      <c r="F16" t="str">
        <f>LEFT(Table1[[#This Row],[Target_product_quantity]], FIND("o", Table1[[#This Row],[Target_product_quantity]])-1)</f>
        <v>8.04</v>
      </c>
      <c r="G16" t="str" cm="1">
        <f t="array" ref="G16">_xlfn.TEXTJOIN("", TRUE, IF(ISNUMBER(SEARCH($K$1010:$K$1054, C16)), $K$1010:$K$1054, ""))</f>
        <v>Annie's</v>
      </c>
      <c r="H16" t="str">
        <f t="shared" si="0"/>
        <v>Pasta</v>
      </c>
      <c r="I16" t="str">
        <f t="shared" si="1"/>
        <v>Grain</v>
      </c>
      <c r="J16">
        <v>6.29</v>
      </c>
      <c r="K16">
        <f>Table1[[#This Row],[Target_product_price]]/Table1[[#This Row],[product_price_per_oz]]</f>
        <v>0.78233830845771157</v>
      </c>
    </row>
    <row r="17" spans="1:11" x14ac:dyDescent="0.2">
      <c r="A17" t="s">
        <v>46</v>
      </c>
      <c r="B17" t="s">
        <v>47</v>
      </c>
      <c r="C17" t="s">
        <v>48</v>
      </c>
      <c r="D17" t="str">
        <f>SUBSTITUTE(Table1[[#This Row],[Target_product_name]], "oz", " oz")</f>
        <v>Annie's Disney 100 Shapes Cheddar Mac and Cheese Microwavable Cups - 8.04 oz/4pk</v>
      </c>
      <c r="E17" t="s">
        <v>2990</v>
      </c>
      <c r="F17" t="str">
        <f>LEFT(Table1[[#This Row],[Target_product_quantity]], FIND("o", Table1[[#This Row],[Target_product_quantity]])-1)</f>
        <v>8.04</v>
      </c>
      <c r="G17" t="str" cm="1">
        <f t="array" ref="G17">_xlfn.TEXTJOIN("", TRUE, IF(ISNUMBER(SEARCH($K$1010:$K$1054, C17)), $K$1010:$K$1054, ""))</f>
        <v>Annie's</v>
      </c>
      <c r="H17" t="str">
        <f t="shared" si="0"/>
        <v>Pasta</v>
      </c>
      <c r="I17" t="str">
        <f t="shared" si="1"/>
        <v>Grain</v>
      </c>
      <c r="J17">
        <v>6.29</v>
      </c>
      <c r="K17">
        <f>Table1[[#This Row],[Target_product_price]]/Table1[[#This Row],[product_price_per_oz]]</f>
        <v>0.78233830845771157</v>
      </c>
    </row>
    <row r="18" spans="1:11" x14ac:dyDescent="0.2">
      <c r="A18" t="s">
        <v>49</v>
      </c>
      <c r="B18" t="s">
        <v>50</v>
      </c>
      <c r="C18" t="s">
        <v>51</v>
      </c>
      <c r="D18" t="str">
        <f>SUBSTITUTE(Table1[[#This Row],[Target_product_name]], "oz", " oz")</f>
        <v>Annie's Fall Harvest Shapes &amp; Cheddar Mac and Cheese - 6 oz</v>
      </c>
      <c r="E18" t="str">
        <f t="shared" si="2"/>
        <v>6oz</v>
      </c>
      <c r="F18" t="str">
        <f>LEFT(Table1[[#This Row],[Target_product_quantity]], FIND("o", Table1[[#This Row],[Target_product_quantity]])-1)</f>
        <v>6</v>
      </c>
      <c r="G18" t="str" cm="1">
        <f t="array" ref="G18">_xlfn.TEXTJOIN("", TRUE, IF(ISNUMBER(SEARCH($K$1010:$K$1054, C18)), $K$1010:$K$1054, ""))</f>
        <v>Annie's</v>
      </c>
      <c r="H18" t="str">
        <f t="shared" si="0"/>
        <v>Pasta</v>
      </c>
      <c r="I18" t="str">
        <f t="shared" si="1"/>
        <v>Grain</v>
      </c>
      <c r="J18">
        <v>1.59</v>
      </c>
      <c r="K18">
        <f>Table1[[#This Row],[Target_product_price]]/Table1[[#This Row],[product_price_per_oz]]</f>
        <v>0.26500000000000001</v>
      </c>
    </row>
    <row r="19" spans="1:11" x14ac:dyDescent="0.2">
      <c r="A19" t="s">
        <v>52</v>
      </c>
      <c r="B19" t="s">
        <v>53</v>
      </c>
      <c r="C19" t="s">
        <v>54</v>
      </c>
      <c r="D19" t="str">
        <f>SUBSTITUTE(Table1[[#This Row],[Target_product_name]], "oz", " oz")</f>
        <v>Annie's Gluten Free Chicken &amp; Pasta Soup - 14 oz</v>
      </c>
      <c r="E19" t="str">
        <f t="shared" si="2"/>
        <v>14oz</v>
      </c>
      <c r="F19" t="str">
        <f>LEFT(Table1[[#This Row],[Target_product_quantity]], FIND("o", Table1[[#This Row],[Target_product_quantity]])-1)</f>
        <v>14</v>
      </c>
      <c r="G19" t="str" cm="1">
        <f t="array" ref="G19">_xlfn.TEXTJOIN("", TRUE, IF(ISNUMBER(SEARCH($K$1010:$K$1054, C19)), $K$1010:$K$1054, ""))</f>
        <v>Annie's</v>
      </c>
      <c r="H19" t="str">
        <f t="shared" si="0"/>
        <v>Pasta</v>
      </c>
      <c r="I19" t="str">
        <f t="shared" si="1"/>
        <v>Grain</v>
      </c>
      <c r="J19">
        <v>3.99</v>
      </c>
      <c r="K19">
        <f>Table1[[#This Row],[Target_product_price]]/Table1[[#This Row],[product_price_per_oz]]</f>
        <v>0.28500000000000003</v>
      </c>
    </row>
    <row r="20" spans="1:11" x14ac:dyDescent="0.2">
      <c r="A20" t="s">
        <v>55</v>
      </c>
      <c r="B20" t="s">
        <v>56</v>
      </c>
      <c r="C20" t="s">
        <v>57</v>
      </c>
      <c r="D20" t="str">
        <f>SUBSTITUTE(Table1[[#This Row],[Target_product_name]], "oz", " oz")</f>
        <v>Annie's Gluten Free Real Aged Cheddar Mac and Cheese  Microwavable Cups - 8.04 oz/4pk</v>
      </c>
      <c r="E20" t="s">
        <v>2990</v>
      </c>
      <c r="F20" t="str">
        <f>LEFT(Table1[[#This Row],[Target_product_quantity]], FIND("o", Table1[[#This Row],[Target_product_quantity]])-1)</f>
        <v>8.04</v>
      </c>
      <c r="G20" t="str" cm="1">
        <f t="array" ref="G20">_xlfn.TEXTJOIN("", TRUE, IF(ISNUMBER(SEARCH($K$1010:$K$1054, C20)), $K$1010:$K$1054, ""))</f>
        <v>Annie's</v>
      </c>
      <c r="H20" t="str">
        <f t="shared" si="0"/>
        <v>Pasta</v>
      </c>
      <c r="I20" t="str">
        <f t="shared" si="1"/>
        <v>Grain</v>
      </c>
      <c r="J20">
        <v>7.29</v>
      </c>
      <c r="K20">
        <f>Table1[[#This Row],[Target_product_price]]/Table1[[#This Row],[product_price_per_oz]]</f>
        <v>0.90671641791044788</v>
      </c>
    </row>
    <row r="21" spans="1:11" x14ac:dyDescent="0.2">
      <c r="A21" t="s">
        <v>58</v>
      </c>
      <c r="B21" t="s">
        <v>59</v>
      </c>
      <c r="C21" t="s">
        <v>60</v>
      </c>
      <c r="D21" t="str">
        <f>SUBSTITUTE(Table1[[#This Row],[Target_product_name]], "oz", " oz")</f>
        <v>Annie's Gluten Free Rice Pasta &amp; Cheddar Mac and Cheese - 6 oz</v>
      </c>
      <c r="E21" t="str">
        <f t="shared" si="2"/>
        <v>6oz</v>
      </c>
      <c r="F21" t="str">
        <f>LEFT(Table1[[#This Row],[Target_product_quantity]], FIND("o", Table1[[#This Row],[Target_product_quantity]])-1)</f>
        <v>6</v>
      </c>
      <c r="G21" t="str" cm="1">
        <f t="array" ref="G21">_xlfn.TEXTJOIN("", TRUE, IF(ISNUMBER(SEARCH($K$1010:$K$1054, C21)), $K$1010:$K$1054, ""))</f>
        <v>Annie's</v>
      </c>
      <c r="H21" t="str">
        <f t="shared" si="0"/>
        <v>Pasta</v>
      </c>
      <c r="I21" t="str">
        <f t="shared" si="1"/>
        <v>Grain</v>
      </c>
      <c r="J21">
        <v>2.99</v>
      </c>
      <c r="K21">
        <f>Table1[[#This Row],[Target_product_price]]/Table1[[#This Row],[product_price_per_oz]]</f>
        <v>0.49833333333333335</v>
      </c>
    </row>
    <row r="22" spans="1:11" x14ac:dyDescent="0.2">
      <c r="A22" t="s">
        <v>61</v>
      </c>
      <c r="B22" t="s">
        <v>62</v>
      </c>
      <c r="C22" t="s">
        <v>63</v>
      </c>
      <c r="D22" t="str">
        <f>SUBSTITUTE(Table1[[#This Row],[Target_product_name]], "oz", " oz")</f>
        <v>Annie's Gluten Free Rice Pasta &amp; White Cheddar Mac and Cheese - 6 oz</v>
      </c>
      <c r="E22" t="str">
        <f t="shared" si="2"/>
        <v>6oz</v>
      </c>
      <c r="F22" t="str">
        <f>LEFT(Table1[[#This Row],[Target_product_quantity]], FIND("o", Table1[[#This Row],[Target_product_quantity]])-1)</f>
        <v>6</v>
      </c>
      <c r="G22" t="str" cm="1">
        <f t="array" ref="G22">_xlfn.TEXTJOIN("", TRUE, IF(ISNUMBER(SEARCH($K$1010:$K$1054, C22)), $K$1010:$K$1054, ""))</f>
        <v>Annie's</v>
      </c>
      <c r="H22" t="str">
        <f t="shared" si="0"/>
        <v>Pasta</v>
      </c>
      <c r="I22" t="str">
        <f t="shared" si="1"/>
        <v>Grain</v>
      </c>
      <c r="J22">
        <v>2.99</v>
      </c>
      <c r="K22">
        <f>Table1[[#This Row],[Target_product_price]]/Table1[[#This Row],[product_price_per_oz]]</f>
        <v>0.49833333333333335</v>
      </c>
    </row>
    <row r="23" spans="1:11" x14ac:dyDescent="0.2">
      <c r="A23" t="s">
        <v>64</v>
      </c>
      <c r="B23" t="s">
        <v>65</v>
      </c>
      <c r="C23" t="s">
        <v>66</v>
      </c>
      <c r="D23" t="str">
        <f>SUBSTITUTE(Table1[[#This Row],[Target_product_name]], "oz", " oz")</f>
        <v>Annie's Homegrown Birthday Confetti Pancake &amp; Waffle Mix - 26 oz</v>
      </c>
      <c r="E23" t="str">
        <f t="shared" si="2"/>
        <v>26oz</v>
      </c>
      <c r="F23" t="str">
        <f>LEFT(Table1[[#This Row],[Target_product_quantity]], FIND("o", Table1[[#This Row],[Target_product_quantity]])-1)</f>
        <v>26</v>
      </c>
      <c r="G23" t="str" cm="1">
        <f t="array" ref="G23">_xlfn.TEXTJOIN("", TRUE, IF(ISNUMBER(SEARCH($K$1010:$K$1054, C23)), $K$1010:$K$1054, ""))</f>
        <v>Annie's</v>
      </c>
      <c r="H23" t="str">
        <f t="shared" si="0"/>
        <v>Pasta</v>
      </c>
      <c r="I23" t="str">
        <f t="shared" si="1"/>
        <v>Grain</v>
      </c>
      <c r="J23">
        <v>7.69</v>
      </c>
      <c r="K23">
        <f>Table1[[#This Row],[Target_product_price]]/Table1[[#This Row],[product_price_per_oz]]</f>
        <v>0.29576923076923078</v>
      </c>
    </row>
    <row r="24" spans="1:11" x14ac:dyDescent="0.2">
      <c r="A24" t="s">
        <v>67</v>
      </c>
      <c r="B24" t="s">
        <v>68</v>
      </c>
      <c r="C24" t="s">
        <v>69</v>
      </c>
      <c r="D24" t="str">
        <f>SUBSTITUTE(Table1[[#This Row],[Target_product_name]], "oz", " oz")</f>
        <v>Annie's Homegrown Organic Bernie O's Pasta in Tomato &amp; Cheese Sauce 15 oz</v>
      </c>
      <c r="E24" t="s">
        <v>70</v>
      </c>
      <c r="F24" t="str">
        <f>LEFT(Table1[[#This Row],[Target_product_quantity]], FIND("o", Table1[[#This Row],[Target_product_quantity]])-1)</f>
        <v>15</v>
      </c>
      <c r="G24" t="str" cm="1">
        <f t="array" ref="G24">_xlfn.TEXTJOIN("", TRUE, IF(ISNUMBER(SEARCH($K$1010:$K$1054, C24)), $K$1010:$K$1054, ""))</f>
        <v>Annie's</v>
      </c>
      <c r="H24" t="str">
        <f t="shared" si="0"/>
        <v>Pasta</v>
      </c>
      <c r="I24" t="str">
        <f t="shared" si="1"/>
        <v>Grain</v>
      </c>
      <c r="J24">
        <v>2.59</v>
      </c>
      <c r="K24">
        <f>Table1[[#This Row],[Target_product_price]]/Table1[[#This Row],[product_price_per_oz]]</f>
        <v>0.17266666666666666</v>
      </c>
    </row>
    <row r="25" spans="1:11" x14ac:dyDescent="0.2">
      <c r="A25" t="s">
        <v>71</v>
      </c>
      <c r="B25" t="s">
        <v>72</v>
      </c>
      <c r="C25" t="s">
        <v>73</v>
      </c>
      <c r="D25" t="str">
        <f>SUBSTITUTE(Table1[[#This Row],[Target_product_name]], "oz", " oz")</f>
        <v>Annie's Macaroni &amp; Classic Cheddar Family Size - Case of 6/10.5  oz</v>
      </c>
      <c r="E25" t="s">
        <v>2014</v>
      </c>
      <c r="F25" t="str">
        <f>LEFT(Table1[[#This Row],[Target_product_quantity]], FIND("o", Table1[[#This Row],[Target_product_quantity]])-1)</f>
        <v>63</v>
      </c>
      <c r="G25" t="str" cm="1">
        <f t="array" ref="G25">_xlfn.TEXTJOIN("", TRUE, IF(ISNUMBER(SEARCH($K$1010:$K$1054, C25)), $K$1010:$K$1054, ""))</f>
        <v>Annie's</v>
      </c>
      <c r="H25" t="str">
        <f t="shared" si="0"/>
        <v>Pasta</v>
      </c>
      <c r="I25" t="str">
        <f t="shared" si="1"/>
        <v>Grain</v>
      </c>
      <c r="J25">
        <v>27.99</v>
      </c>
      <c r="K25">
        <f>Table1[[#This Row],[Target_product_price]]/Table1[[#This Row],[product_price_per_oz]]</f>
        <v>0.44428571428571428</v>
      </c>
    </row>
    <row r="26" spans="1:11" x14ac:dyDescent="0.2">
      <c r="A26" t="s">
        <v>74</v>
      </c>
      <c r="B26" t="s">
        <v>75</v>
      </c>
      <c r="C26" t="s">
        <v>76</v>
      </c>
      <c r="D26" t="str">
        <f>SUBSTITUTE(Table1[[#This Row],[Target_product_name]], "oz", " oz")</f>
        <v>Annie's Organic Bees, Bugs &amp; Butterflies Strawberry, Raspberry &amp; Apple Fruit Snacks - 7 oz/10ct</v>
      </c>
      <c r="E26" t="s">
        <v>2991</v>
      </c>
      <c r="F26" t="str">
        <f>LEFT(Table1[[#This Row],[Target_product_quantity]], FIND("o", Table1[[#This Row],[Target_product_quantity]])-1)</f>
        <v>7</v>
      </c>
      <c r="G26" t="str" cm="1">
        <f t="array" ref="G26">_xlfn.TEXTJOIN("", TRUE, IF(ISNUMBER(SEARCH($K$1010:$K$1054, C26)), $K$1010:$K$1054, ""))</f>
        <v>Annie's</v>
      </c>
      <c r="H26" t="str">
        <f t="shared" si="0"/>
        <v>Pasta</v>
      </c>
      <c r="I26" t="str">
        <f t="shared" si="1"/>
        <v>Grain</v>
      </c>
      <c r="J26">
        <v>5.19</v>
      </c>
      <c r="K26">
        <f>Table1[[#This Row],[Target_product_price]]/Table1[[#This Row],[product_price_per_oz]]</f>
        <v>0.74142857142857144</v>
      </c>
    </row>
    <row r="27" spans="1:11" x14ac:dyDescent="0.2">
      <c r="A27" t="s">
        <v>77</v>
      </c>
      <c r="B27" t="s">
        <v>78</v>
      </c>
      <c r="C27" t="s">
        <v>79</v>
      </c>
      <c r="D27" t="str">
        <f>SUBSTITUTE(Table1[[#This Row],[Target_product_name]], "oz", " oz")</f>
        <v>Annie's Organic Bunny Fruit Rope Berry Strawberry - 8.04 oz/12ct</v>
      </c>
      <c r="E27" t="s">
        <v>2990</v>
      </c>
      <c r="F27" t="str">
        <f>LEFT(Table1[[#This Row],[Target_product_quantity]], FIND("o", Table1[[#This Row],[Target_product_quantity]])-1)</f>
        <v>8.04</v>
      </c>
      <c r="G27" t="str" cm="1">
        <f t="array" ref="G27">_xlfn.TEXTJOIN("", TRUE, IF(ISNUMBER(SEARCH($K$1010:$K$1054, C27)), $K$1010:$K$1054, ""))</f>
        <v>Annie's</v>
      </c>
      <c r="H27" t="str">
        <f t="shared" si="0"/>
        <v>Pasta</v>
      </c>
      <c r="I27" t="str">
        <f t="shared" si="1"/>
        <v>Grain</v>
      </c>
      <c r="J27">
        <v>10.99</v>
      </c>
      <c r="K27">
        <f>Table1[[#This Row],[Target_product_price]]/Table1[[#This Row],[product_price_per_oz]]</f>
        <v>1.3669154228855722</v>
      </c>
    </row>
    <row r="28" spans="1:11" x14ac:dyDescent="0.2">
      <c r="A28" t="s">
        <v>80</v>
      </c>
      <c r="B28" t="s">
        <v>81</v>
      </c>
      <c r="C28" t="s">
        <v>82</v>
      </c>
      <c r="D28" t="str">
        <f>SUBSTITUTE(Table1[[#This Row],[Target_product_name]], "oz", " oz")</f>
        <v>Annie's Organic Bunny Pasta &amp; Chicken Broth Soup - 14 oz</v>
      </c>
      <c r="E28" t="str">
        <f t="shared" ref="E28:E37" si="3">TRIM(RIGHT(C28, LEN(C28) - FIND("-", C28)))</f>
        <v>14oz</v>
      </c>
      <c r="F28" t="str">
        <f>LEFT(Table1[[#This Row],[Target_product_quantity]], FIND("o", Table1[[#This Row],[Target_product_quantity]])-1)</f>
        <v>14</v>
      </c>
      <c r="G28" t="str" cm="1">
        <f t="array" ref="G28">_xlfn.TEXTJOIN("", TRUE, IF(ISNUMBER(SEARCH($K$1010:$K$1054, C28)), $K$1010:$K$1054, ""))</f>
        <v>Annie's</v>
      </c>
      <c r="H28" t="str">
        <f t="shared" si="0"/>
        <v>Pasta</v>
      </c>
      <c r="I28" t="str">
        <f t="shared" si="1"/>
        <v>Grain</v>
      </c>
      <c r="J28">
        <v>3.99</v>
      </c>
      <c r="K28">
        <f>Table1[[#This Row],[Target_product_price]]/Table1[[#This Row],[product_price_per_oz]]</f>
        <v>0.28500000000000003</v>
      </c>
    </row>
    <row r="29" spans="1:11" x14ac:dyDescent="0.2">
      <c r="A29" t="s">
        <v>83</v>
      </c>
      <c r="B29" t="s">
        <v>84</v>
      </c>
      <c r="C29" t="s">
        <v>85</v>
      </c>
      <c r="D29" t="str">
        <f>SUBSTITUTE(Table1[[#This Row],[Target_product_name]], "oz", " oz")</f>
        <v>Annie's Organic Cheddar Bunnies Baked Snack Crackers - 12 oz/12pk</v>
      </c>
      <c r="E29" t="s">
        <v>11</v>
      </c>
      <c r="F29" t="str">
        <f>LEFT(Table1[[#This Row],[Target_product_quantity]], FIND("o", Table1[[#This Row],[Target_product_quantity]])-1)</f>
        <v>12</v>
      </c>
      <c r="G29" t="str" cm="1">
        <f t="array" ref="G29">_xlfn.TEXTJOIN("", TRUE, IF(ISNUMBER(SEARCH($K$1010:$K$1054, C29)), $K$1010:$K$1054, ""))</f>
        <v>Annie's</v>
      </c>
      <c r="H29" t="str">
        <f t="shared" si="0"/>
        <v>Pasta</v>
      </c>
      <c r="I29" t="str">
        <f t="shared" si="1"/>
        <v>Grain</v>
      </c>
      <c r="J29">
        <v>8.99</v>
      </c>
      <c r="K29">
        <f>Table1[[#This Row],[Target_product_price]]/Table1[[#This Row],[product_price_per_oz]]</f>
        <v>0.74916666666666665</v>
      </c>
    </row>
    <row r="30" spans="1:11" x14ac:dyDescent="0.2">
      <c r="A30" t="s">
        <v>86</v>
      </c>
      <c r="B30" t="s">
        <v>87</v>
      </c>
      <c r="C30" t="s">
        <v>88</v>
      </c>
      <c r="D30" t="str">
        <f>SUBSTITUTE(Table1[[#This Row],[Target_product_name]], "oz", " oz")</f>
        <v>Annie's Organic Cheddar Moana Mac and Cheese - 6 oz</v>
      </c>
      <c r="E30" t="str">
        <f t="shared" si="3"/>
        <v>6oz</v>
      </c>
      <c r="F30" t="str">
        <f>LEFT(Table1[[#This Row],[Target_product_quantity]], FIND("o", Table1[[#This Row],[Target_product_quantity]])-1)</f>
        <v>6</v>
      </c>
      <c r="G30" t="str" cm="1">
        <f t="array" ref="G30">_xlfn.TEXTJOIN("", TRUE, IF(ISNUMBER(SEARCH($K$1010:$K$1054, C30)), $K$1010:$K$1054, ""))</f>
        <v>Annie's</v>
      </c>
      <c r="H30" t="str">
        <f t="shared" si="0"/>
        <v>Pasta</v>
      </c>
      <c r="I30" t="str">
        <f t="shared" si="1"/>
        <v>Grain</v>
      </c>
      <c r="J30">
        <v>1.59</v>
      </c>
      <c r="K30">
        <f>Table1[[#This Row],[Target_product_price]]/Table1[[#This Row],[product_price_per_oz]]</f>
        <v>0.26500000000000001</v>
      </c>
    </row>
    <row r="31" spans="1:11" x14ac:dyDescent="0.2">
      <c r="A31" t="s">
        <v>89</v>
      </c>
      <c r="B31" t="s">
        <v>90</v>
      </c>
      <c r="C31" t="s">
        <v>91</v>
      </c>
      <c r="D31" t="str">
        <f>SUBSTITUTE(Table1[[#This Row],[Target_product_name]], "oz", " oz")</f>
        <v>Annie's Organic Chicken Noodle Soup - 14 oz</v>
      </c>
      <c r="E31" t="str">
        <f t="shared" si="3"/>
        <v>14oz</v>
      </c>
      <c r="F31" t="str">
        <f>LEFT(Table1[[#This Row],[Target_product_quantity]], FIND("o", Table1[[#This Row],[Target_product_quantity]])-1)</f>
        <v>14</v>
      </c>
      <c r="G31" t="str" cm="1">
        <f t="array" ref="G31">_xlfn.TEXTJOIN("", TRUE, IF(ISNUMBER(SEARCH($K$1010:$K$1054, C31)), $K$1010:$K$1054, ""))</f>
        <v>Annie's</v>
      </c>
      <c r="H31" t="str">
        <f t="shared" si="0"/>
        <v>Pasta</v>
      </c>
      <c r="I31" t="str">
        <f t="shared" si="1"/>
        <v>Grain</v>
      </c>
      <c r="J31">
        <v>3.99</v>
      </c>
      <c r="K31">
        <f>Table1[[#This Row],[Target_product_price]]/Table1[[#This Row],[product_price_per_oz]]</f>
        <v>0.28500000000000003</v>
      </c>
    </row>
    <row r="32" spans="1:11" x14ac:dyDescent="0.2">
      <c r="A32" t="s">
        <v>92</v>
      </c>
      <c r="B32" t="s">
        <v>93</v>
      </c>
      <c r="C32" t="s">
        <v>94</v>
      </c>
      <c r="D32" t="str">
        <f>SUBSTITUTE(Table1[[#This Row],[Target_product_name]], "oz", " oz")</f>
        <v>Annie's Organic Cinnamon Rolls with Icing - 17.5 oz/5ct</v>
      </c>
      <c r="E32" t="s">
        <v>2992</v>
      </c>
      <c r="F32" t="str">
        <f>LEFT(Table1[[#This Row],[Target_product_quantity]], FIND("o", Table1[[#This Row],[Target_product_quantity]])-1)</f>
        <v>17.5</v>
      </c>
      <c r="G32" t="str" cm="1">
        <f t="array" ref="G32">_xlfn.TEXTJOIN("", TRUE, IF(ISNUMBER(SEARCH($K$1010:$K$1054, C32)), $K$1010:$K$1054, ""))</f>
        <v>Annie's</v>
      </c>
      <c r="H32" t="str">
        <f t="shared" si="0"/>
        <v>Pasta</v>
      </c>
      <c r="I32" t="str">
        <f t="shared" si="1"/>
        <v>Grain</v>
      </c>
      <c r="J32">
        <v>9.19</v>
      </c>
      <c r="K32">
        <f>Table1[[#This Row],[Target_product_price]]/Table1[[#This Row],[product_price_per_oz]]</f>
        <v>0.52514285714285713</v>
      </c>
    </row>
    <row r="33" spans="1:11" x14ac:dyDescent="0.2">
      <c r="A33" t="s">
        <v>95</v>
      </c>
      <c r="B33" t="s">
        <v>96</v>
      </c>
      <c r="C33" t="s">
        <v>97</v>
      </c>
      <c r="D33" t="str">
        <f>SUBSTITUTE(Table1[[#This Row],[Target_product_name]], "oz", " oz")</f>
        <v>Annie's Organic Classic Cheddar Super Mac and Cheese Cups - 11.44 oz/4ct</v>
      </c>
      <c r="E33" t="s">
        <v>2993</v>
      </c>
      <c r="F33" t="str">
        <f>LEFT(Table1[[#This Row],[Target_product_quantity]], FIND("o", Table1[[#This Row],[Target_product_quantity]])-1)</f>
        <v>11.44</v>
      </c>
      <c r="G33" t="str" cm="1">
        <f t="array" ref="G33">_xlfn.TEXTJOIN("", TRUE, IF(ISNUMBER(SEARCH($K$1010:$K$1054, C33)), $K$1010:$K$1054, ""))</f>
        <v>Annie's</v>
      </c>
      <c r="H33" t="str">
        <f t="shared" si="0"/>
        <v>Pasta</v>
      </c>
      <c r="I33" t="str">
        <f t="shared" si="1"/>
        <v>Grain</v>
      </c>
      <c r="J33">
        <v>6.99</v>
      </c>
      <c r="K33">
        <f>Table1[[#This Row],[Target_product_price]]/Table1[[#This Row],[product_price_per_oz]]</f>
        <v>0.61101398601398604</v>
      </c>
    </row>
    <row r="34" spans="1:11" x14ac:dyDescent="0.2">
      <c r="A34" t="s">
        <v>98</v>
      </c>
      <c r="B34" t="s">
        <v>99</v>
      </c>
      <c r="C34" t="s">
        <v>100</v>
      </c>
      <c r="D34" t="str">
        <f>SUBSTITUTE(Table1[[#This Row],[Target_product_name]], "oz", " oz")</f>
        <v>Annie's Organic Creamy Tomato Soup with Bunny Pasta - 14.3 oz</v>
      </c>
      <c r="E34" t="str">
        <f t="shared" si="3"/>
        <v>14.3oz</v>
      </c>
      <c r="F34" t="str">
        <f>LEFT(Table1[[#This Row],[Target_product_quantity]], FIND("o", Table1[[#This Row],[Target_product_quantity]])-1)</f>
        <v>14.3</v>
      </c>
      <c r="G34" t="str" cm="1">
        <f t="array" ref="G34">_xlfn.TEXTJOIN("", TRUE, IF(ISNUMBER(SEARCH($K$1010:$K$1054, C34)), $K$1010:$K$1054, ""))</f>
        <v>Annie's</v>
      </c>
      <c r="H34" t="str">
        <f t="shared" si="0"/>
        <v>Pasta</v>
      </c>
      <c r="I34" t="str">
        <f t="shared" si="1"/>
        <v>Grain</v>
      </c>
      <c r="J34">
        <v>3.99</v>
      </c>
      <c r="K34">
        <f>Table1[[#This Row],[Target_product_price]]/Table1[[#This Row],[product_price_per_oz]]</f>
        <v>0.279020979020979</v>
      </c>
    </row>
    <row r="35" spans="1:11" x14ac:dyDescent="0.2">
      <c r="A35" t="s">
        <v>101</v>
      </c>
      <c r="B35" t="s">
        <v>102</v>
      </c>
      <c r="C35" t="s">
        <v>103</v>
      </c>
      <c r="D35" t="str">
        <f>SUBSTITUTE(Table1[[#This Row],[Target_product_name]], "oz", " oz")</f>
        <v>Annie's Organic Gluten Free Double Chocolate Chip Granola Bars Value Pack - 11.7 oz</v>
      </c>
      <c r="E35" t="str">
        <f t="shared" si="3"/>
        <v>11.7oz</v>
      </c>
      <c r="F35" t="str">
        <f>LEFT(Table1[[#This Row],[Target_product_quantity]], FIND("o", Table1[[#This Row],[Target_product_quantity]])-1)</f>
        <v>11.7</v>
      </c>
      <c r="G35" t="str" cm="1">
        <f t="array" ref="G35">_xlfn.TEXTJOIN("", TRUE, IF(ISNUMBER(SEARCH($K$1010:$K$1054, C35)), $K$1010:$K$1054, ""))</f>
        <v>Annie's</v>
      </c>
      <c r="H35" t="str">
        <f t="shared" si="0"/>
        <v>Pasta</v>
      </c>
      <c r="I35" t="str">
        <f t="shared" si="1"/>
        <v>Grain</v>
      </c>
      <c r="J35">
        <v>7.99</v>
      </c>
      <c r="K35">
        <f>Table1[[#This Row],[Target_product_price]]/Table1[[#This Row],[product_price_per_oz]]</f>
        <v>0.68290598290598292</v>
      </c>
    </row>
    <row r="36" spans="1:11" x14ac:dyDescent="0.2">
      <c r="A36" t="s">
        <v>104</v>
      </c>
      <c r="B36" t="s">
        <v>105</v>
      </c>
      <c r="C36" t="s">
        <v>106</v>
      </c>
      <c r="D36" t="str">
        <f>SUBSTITUTE(Table1[[#This Row],[Target_product_name]], "oz", " oz")</f>
        <v>Annie's Organic Gluten Free Vegan Pasta - 6 oz</v>
      </c>
      <c r="E36" t="str">
        <f t="shared" si="3"/>
        <v>6oz</v>
      </c>
      <c r="F36" t="str">
        <f>LEFT(Table1[[#This Row],[Target_product_quantity]], FIND("o", Table1[[#This Row],[Target_product_quantity]])-1)</f>
        <v>6</v>
      </c>
      <c r="G36" t="str" cm="1">
        <f t="array" ref="G36">_xlfn.TEXTJOIN("", TRUE, IF(ISNUMBER(SEARCH($K$1010:$K$1054, C36)), $K$1010:$K$1054, ""))</f>
        <v>Annie's</v>
      </c>
      <c r="H36" t="str">
        <f t="shared" si="0"/>
        <v>Pasta</v>
      </c>
      <c r="I36" t="str">
        <f t="shared" si="1"/>
        <v>Grain</v>
      </c>
      <c r="J36">
        <v>4.49</v>
      </c>
      <c r="K36">
        <f>Table1[[#This Row],[Target_product_price]]/Table1[[#This Row],[product_price_per_oz]]</f>
        <v>0.74833333333333341</v>
      </c>
    </row>
    <row r="37" spans="1:11" x14ac:dyDescent="0.2">
      <c r="A37" t="s">
        <v>104</v>
      </c>
      <c r="B37" t="s">
        <v>105</v>
      </c>
      <c r="C37" t="s">
        <v>106</v>
      </c>
      <c r="D37" t="str">
        <f>SUBSTITUTE(Table1[[#This Row],[Target_product_name]], "oz", " oz")</f>
        <v>Annie's Organic Gluten Free Vegan Pasta - 6 oz</v>
      </c>
      <c r="E37" t="str">
        <f t="shared" si="3"/>
        <v>6oz</v>
      </c>
      <c r="F37" t="str">
        <f>LEFT(Table1[[#This Row],[Target_product_quantity]], FIND("o", Table1[[#This Row],[Target_product_quantity]])-1)</f>
        <v>6</v>
      </c>
      <c r="G37" t="str" cm="1">
        <f t="array" ref="G37">_xlfn.TEXTJOIN("", TRUE, IF(ISNUMBER(SEARCH($K$1010:$K$1054, C37)), $K$1010:$K$1054, ""))</f>
        <v>Annie's</v>
      </c>
      <c r="H37" t="str">
        <f t="shared" si="0"/>
        <v>Pasta</v>
      </c>
      <c r="I37" t="str">
        <f t="shared" si="1"/>
        <v>Grain</v>
      </c>
      <c r="J37">
        <v>4.49</v>
      </c>
      <c r="K37">
        <f>Table1[[#This Row],[Target_product_price]]/Table1[[#This Row],[product_price_per_oz]]</f>
        <v>0.74833333333333341</v>
      </c>
    </row>
    <row r="38" spans="1:11" x14ac:dyDescent="0.2">
      <c r="A38" t="s">
        <v>107</v>
      </c>
      <c r="B38" t="s">
        <v>108</v>
      </c>
      <c r="C38" t="s">
        <v>109</v>
      </c>
      <c r="D38" t="str">
        <f>SUBSTITUTE(Table1[[#This Row],[Target_product_name]], "oz", " oz")</f>
        <v>Annie's Organic Original All Stars Pasta in Tomato &amp; Cheese Sauce 15 oz</v>
      </c>
      <c r="E38" t="s">
        <v>70</v>
      </c>
      <c r="F38" t="str">
        <f>LEFT(Table1[[#This Row],[Target_product_quantity]], FIND("o", Table1[[#This Row],[Target_product_quantity]])-1)</f>
        <v>15</v>
      </c>
      <c r="G38" t="str" cm="1">
        <f t="array" ref="G38">_xlfn.TEXTJOIN("", TRUE, IF(ISNUMBER(SEARCH($K$1010:$K$1054, C38)), $K$1010:$K$1054, ""))</f>
        <v>Annie's</v>
      </c>
      <c r="H38" t="str">
        <f t="shared" si="0"/>
        <v>Pasta</v>
      </c>
      <c r="I38" t="str">
        <f t="shared" si="1"/>
        <v>Grain</v>
      </c>
      <c r="J38">
        <v>2.59</v>
      </c>
      <c r="K38">
        <f>Table1[[#This Row],[Target_product_price]]/Table1[[#This Row],[product_price_per_oz]]</f>
        <v>0.17266666666666666</v>
      </c>
    </row>
    <row r="39" spans="1:11" x14ac:dyDescent="0.2">
      <c r="A39" t="s">
        <v>110</v>
      </c>
      <c r="B39" t="s">
        <v>111</v>
      </c>
      <c r="C39" t="s">
        <v>112</v>
      </c>
      <c r="D39" t="str">
        <f>SUBSTITUTE(Table1[[#This Row],[Target_product_name]], "oz", " oz")</f>
        <v>Annie's Organic Real Aged Cheddar Protein Super Mac and Cheese Cups - 11.44 oz/4ct</v>
      </c>
      <c r="E39" t="s">
        <v>2994</v>
      </c>
      <c r="F39" t="str">
        <f>LEFT(Table1[[#This Row],[Target_product_quantity]], FIND("o", Table1[[#This Row],[Target_product_quantity]])-1)</f>
        <v>11.4</v>
      </c>
      <c r="G39" t="str" cm="1">
        <f t="array" ref="G39">_xlfn.TEXTJOIN("", TRUE, IF(ISNUMBER(SEARCH($K$1010:$K$1054, C39)), $K$1010:$K$1054, ""))</f>
        <v>Annie's</v>
      </c>
      <c r="H39" t="str">
        <f t="shared" si="0"/>
        <v>Pasta</v>
      </c>
      <c r="I39" t="str">
        <f t="shared" si="1"/>
        <v>Grain</v>
      </c>
      <c r="J39">
        <v>7.99</v>
      </c>
      <c r="K39">
        <f>Table1[[#This Row],[Target_product_price]]/Table1[[#This Row],[product_price_per_oz]]</f>
        <v>0.7008771929824561</v>
      </c>
    </row>
    <row r="40" spans="1:11" x14ac:dyDescent="0.2">
      <c r="A40" t="s">
        <v>113</v>
      </c>
      <c r="B40" t="s">
        <v>114</v>
      </c>
      <c r="C40" t="s">
        <v>115</v>
      </c>
      <c r="D40" t="str">
        <f>SUBSTITUTE(Table1[[#This Row],[Target_product_name]], "oz", " oz")</f>
        <v>Annie's Organic Springtime Yummy Bunnies Cheddar Mac &amp; Cheese - 6 oz</v>
      </c>
      <c r="E40" t="str">
        <f t="shared" ref="E40:E63" si="4">TRIM(RIGHT(C40, LEN(C40) - FIND("-", C40)))</f>
        <v>6oz</v>
      </c>
      <c r="F40" t="str">
        <f>LEFT(Table1[[#This Row],[Target_product_quantity]], FIND("o", Table1[[#This Row],[Target_product_quantity]])-1)</f>
        <v>6</v>
      </c>
      <c r="G40" t="str" cm="1">
        <f t="array" ref="G40">_xlfn.TEXTJOIN("", TRUE, IF(ISNUMBER(SEARCH($K$1010:$K$1054, C40)), $K$1010:$K$1054, ""))</f>
        <v>Annie's</v>
      </c>
      <c r="H40" t="str">
        <f t="shared" si="0"/>
        <v>Pasta</v>
      </c>
      <c r="I40" t="str">
        <f t="shared" si="1"/>
        <v>Grain</v>
      </c>
      <c r="J40">
        <v>1.59</v>
      </c>
      <c r="K40">
        <f>Table1[[#This Row],[Target_product_price]]/Table1[[#This Row],[product_price_per_oz]]</f>
        <v>0.26500000000000001</v>
      </c>
    </row>
    <row r="41" spans="1:11" x14ac:dyDescent="0.2">
      <c r="A41" t="s">
        <v>116</v>
      </c>
      <c r="B41" t="s">
        <v>117</v>
      </c>
      <c r="C41" t="s">
        <v>118</v>
      </c>
      <c r="D41" t="str">
        <f>SUBSTITUTE(Table1[[#This Row],[Target_product_name]], "oz", " oz")</f>
        <v>Annie's Organic Star Pasta and Chicken Soup - 14 oz</v>
      </c>
      <c r="E41" t="str">
        <f t="shared" si="4"/>
        <v>14oz</v>
      </c>
      <c r="F41" t="str">
        <f>LEFT(Table1[[#This Row],[Target_product_quantity]], FIND("o", Table1[[#This Row],[Target_product_quantity]])-1)</f>
        <v>14</v>
      </c>
      <c r="G41" t="str" cm="1">
        <f t="array" ref="G41">_xlfn.TEXTJOIN("", TRUE, IF(ISNUMBER(SEARCH($K$1010:$K$1054, C41)), $K$1010:$K$1054, ""))</f>
        <v>Annie's</v>
      </c>
      <c r="H41" t="str">
        <f t="shared" si="0"/>
        <v>Pasta</v>
      </c>
      <c r="I41" t="str">
        <f t="shared" si="1"/>
        <v>Grain</v>
      </c>
      <c r="J41">
        <v>3.99</v>
      </c>
      <c r="K41">
        <f>Table1[[#This Row],[Target_product_price]]/Table1[[#This Row],[product_price_per_oz]]</f>
        <v>0.28500000000000003</v>
      </c>
    </row>
    <row r="42" spans="1:11" x14ac:dyDescent="0.2">
      <c r="A42" t="s">
        <v>119</v>
      </c>
      <c r="B42" t="s">
        <v>120</v>
      </c>
      <c r="C42" t="s">
        <v>121</v>
      </c>
      <c r="D42" t="str">
        <f>SUBSTITUTE(Table1[[#This Row],[Target_product_name]], "oz", " oz")</f>
        <v>Annie's Organic Super Mac Shells &amp; Real Aged Cheddar - 6 oz</v>
      </c>
      <c r="E42" t="str">
        <f t="shared" si="4"/>
        <v>6oz</v>
      </c>
      <c r="F42" t="str">
        <f>LEFT(Table1[[#This Row],[Target_product_quantity]], FIND("o", Table1[[#This Row],[Target_product_quantity]])-1)</f>
        <v>6</v>
      </c>
      <c r="G42" t="str" cm="1">
        <f t="array" ref="G42">_xlfn.TEXTJOIN("", TRUE, IF(ISNUMBER(SEARCH($K$1010:$K$1054, C42)), $K$1010:$K$1054, ""))</f>
        <v>Annie's</v>
      </c>
      <c r="H42" t="str">
        <f t="shared" si="0"/>
        <v>Pasta</v>
      </c>
      <c r="I42" t="str">
        <f t="shared" si="1"/>
        <v>Grain</v>
      </c>
      <c r="J42">
        <v>2.99</v>
      </c>
      <c r="K42">
        <f>Table1[[#This Row],[Target_product_price]]/Table1[[#This Row],[product_price_per_oz]]</f>
        <v>0.49833333333333335</v>
      </c>
    </row>
    <row r="43" spans="1:11" x14ac:dyDescent="0.2">
      <c r="A43" t="s">
        <v>122</v>
      </c>
      <c r="B43" t="s">
        <v>123</v>
      </c>
      <c r="C43" t="s">
        <v>124</v>
      </c>
      <c r="D43" t="str">
        <f>SUBSTITUTE(Table1[[#This Row],[Target_product_name]], "oz", " oz")</f>
        <v>Annie's Organic Super Mac Shells &amp; White Cheddar Mac and Cheese - 6 oz</v>
      </c>
      <c r="E43" t="str">
        <f t="shared" si="4"/>
        <v>6oz</v>
      </c>
      <c r="F43" t="str">
        <f>LEFT(Table1[[#This Row],[Target_product_quantity]], FIND("o", Table1[[#This Row],[Target_product_quantity]])-1)</f>
        <v>6</v>
      </c>
      <c r="G43" t="str" cm="1">
        <f t="array" ref="G43">_xlfn.TEXTJOIN("", TRUE, IF(ISNUMBER(SEARCH($K$1010:$K$1054, C43)), $K$1010:$K$1054, ""))</f>
        <v>Annie's</v>
      </c>
      <c r="H43" t="str">
        <f t="shared" si="0"/>
        <v>Pasta</v>
      </c>
      <c r="I43" t="str">
        <f t="shared" si="1"/>
        <v>Grain</v>
      </c>
      <c r="J43">
        <v>2.99</v>
      </c>
      <c r="K43">
        <f>Table1[[#This Row],[Target_product_price]]/Table1[[#This Row],[product_price_per_oz]]</f>
        <v>0.49833333333333335</v>
      </c>
    </row>
    <row r="44" spans="1:11" x14ac:dyDescent="0.2">
      <c r="A44" t="s">
        <v>125</v>
      </c>
      <c r="B44" t="s">
        <v>126</v>
      </c>
      <c r="C44" t="s">
        <v>127</v>
      </c>
      <c r="D44" t="str">
        <f>SUBSTITUTE(Table1[[#This Row],[Target_product_name]], "oz", " oz")</f>
        <v>Annie's Organic Vegan Cheddar Mac and Cheese - 6 oz</v>
      </c>
      <c r="E44" t="str">
        <f t="shared" si="4"/>
        <v>6oz</v>
      </c>
      <c r="F44" t="str">
        <f>LEFT(Table1[[#This Row],[Target_product_quantity]], FIND("o", Table1[[#This Row],[Target_product_quantity]])-1)</f>
        <v>6</v>
      </c>
      <c r="G44" t="str" cm="1">
        <f t="array" ref="G44">_xlfn.TEXTJOIN("", TRUE, IF(ISNUMBER(SEARCH($K$1010:$K$1054, C44)), $K$1010:$K$1054, ""))</f>
        <v>Annie's</v>
      </c>
      <c r="H44" t="str">
        <f t="shared" si="0"/>
        <v>Pasta</v>
      </c>
      <c r="I44" t="str">
        <f t="shared" si="1"/>
        <v>Grain</v>
      </c>
      <c r="J44">
        <v>4.49</v>
      </c>
      <c r="K44">
        <f>Table1[[#This Row],[Target_product_price]]/Table1[[#This Row],[product_price_per_oz]]</f>
        <v>0.74833333333333341</v>
      </c>
    </row>
    <row r="45" spans="1:11" x14ac:dyDescent="0.2">
      <c r="A45" t="s">
        <v>128</v>
      </c>
      <c r="B45" t="s">
        <v>129</v>
      </c>
      <c r="C45" t="s">
        <v>130</v>
      </c>
      <c r="D45" t="str">
        <f>SUBSTITUTE(Table1[[#This Row],[Target_product_name]], "oz", " oz")</f>
        <v>Annie's Organic Vegan Mac Shells and Sweet Potato Pumpkin - Case of 12/6  oz</v>
      </c>
      <c r="E45" t="s">
        <v>2995</v>
      </c>
      <c r="F45" t="str">
        <f>LEFT(Table1[[#This Row],[Target_product_quantity]], FIND("o", Table1[[#This Row],[Target_product_quantity]])-1)</f>
        <v>72</v>
      </c>
      <c r="G45" t="str" cm="1">
        <f t="array" ref="G45">_xlfn.TEXTJOIN("", TRUE, IF(ISNUMBER(SEARCH($K$1010:$K$1054, C45)), $K$1010:$K$1054, ""))</f>
        <v>Annie's</v>
      </c>
      <c r="H45" t="str">
        <f t="shared" si="0"/>
        <v>Pasta</v>
      </c>
      <c r="I45" t="str">
        <f t="shared" si="1"/>
        <v>Grain</v>
      </c>
      <c r="J45">
        <v>26.99</v>
      </c>
      <c r="K45">
        <f>Table1[[#This Row],[Target_product_price]]/Table1[[#This Row],[product_price_per_oz]]</f>
        <v>0.37486111111111109</v>
      </c>
    </row>
    <row r="46" spans="1:11" x14ac:dyDescent="0.2">
      <c r="A46" t="s">
        <v>131</v>
      </c>
      <c r="B46" t="s">
        <v>132</v>
      </c>
      <c r="C46" t="s">
        <v>133</v>
      </c>
      <c r="D46" t="str">
        <f>SUBSTITUTE(Table1[[#This Row],[Target_product_name]], "oz", " oz")</f>
        <v>Annie's Organic Yummy Bunnies &amp; Cheddar Mac and Cheese - 6 oz</v>
      </c>
      <c r="E46" t="str">
        <f t="shared" si="4"/>
        <v>6oz</v>
      </c>
      <c r="F46" t="str">
        <f>LEFT(Table1[[#This Row],[Target_product_quantity]], FIND("o", Table1[[#This Row],[Target_product_quantity]])-1)</f>
        <v>6</v>
      </c>
      <c r="G46" t="str" cm="1">
        <f t="array" ref="G46">_xlfn.TEXTJOIN("", TRUE, IF(ISNUMBER(SEARCH($K$1010:$K$1054, C46)), $K$1010:$K$1054, ""))</f>
        <v>Annie's</v>
      </c>
      <c r="H46" t="str">
        <f t="shared" si="0"/>
        <v>Pasta</v>
      </c>
      <c r="I46" t="str">
        <f t="shared" si="1"/>
        <v>Grain</v>
      </c>
      <c r="J46">
        <v>1.59</v>
      </c>
      <c r="K46">
        <f>Table1[[#This Row],[Target_product_price]]/Table1[[#This Row],[product_price_per_oz]]</f>
        <v>0.26500000000000001</v>
      </c>
    </row>
    <row r="47" spans="1:11" x14ac:dyDescent="0.2">
      <c r="A47" t="s">
        <v>134</v>
      </c>
      <c r="B47" t="s">
        <v>135</v>
      </c>
      <c r="C47" t="s">
        <v>136</v>
      </c>
      <c r="D47" t="str">
        <f>SUBSTITUTE(Table1[[#This Row],[Target_product_name]], "oz", " oz")</f>
        <v>Annie's Original Organic Cheesy Ravioli - 15 oz</v>
      </c>
      <c r="E47" t="str">
        <f t="shared" si="4"/>
        <v>15oz</v>
      </c>
      <c r="F47" t="str">
        <f>LEFT(Table1[[#This Row],[Target_product_quantity]], FIND("o", Table1[[#This Row],[Target_product_quantity]])-1)</f>
        <v>15</v>
      </c>
      <c r="G47" t="str" cm="1">
        <f t="array" ref="G47">_xlfn.TEXTJOIN("", TRUE, IF(ISNUMBER(SEARCH($K$1010:$K$1054, C47)), $K$1010:$K$1054, ""))</f>
        <v>Annie's</v>
      </c>
      <c r="H47" t="str">
        <f t="shared" si="0"/>
        <v>Pasta</v>
      </c>
      <c r="I47" t="str">
        <f t="shared" si="1"/>
        <v>Grain</v>
      </c>
      <c r="J47">
        <v>2.59</v>
      </c>
      <c r="K47">
        <f>Table1[[#This Row],[Target_product_price]]/Table1[[#This Row],[product_price_per_oz]]</f>
        <v>0.17266666666666666</v>
      </c>
    </row>
    <row r="48" spans="1:11" x14ac:dyDescent="0.2">
      <c r="A48" t="s">
        <v>137</v>
      </c>
      <c r="B48" t="s">
        <v>138</v>
      </c>
      <c r="C48" t="s">
        <v>139</v>
      </c>
      <c r="D48" t="str">
        <f>SUBSTITUTE(Table1[[#This Row],[Target_product_name]], "oz", " oz")</f>
        <v>Annie's Penne &amp; Four Cheese Mac and Cheese - 5.5 oz</v>
      </c>
      <c r="E48" t="str">
        <f t="shared" si="4"/>
        <v>5.5oz</v>
      </c>
      <c r="F48" t="str">
        <f>LEFT(Table1[[#This Row],[Target_product_quantity]], FIND("o", Table1[[#This Row],[Target_product_quantity]])-1)</f>
        <v>5.5</v>
      </c>
      <c r="G48" t="str" cm="1">
        <f t="array" ref="G48">_xlfn.TEXTJOIN("", TRUE, IF(ISNUMBER(SEARCH($K$1010:$K$1054, C48)), $K$1010:$K$1054, ""))</f>
        <v>Annie's</v>
      </c>
      <c r="H48" t="str">
        <f t="shared" si="0"/>
        <v>Pasta</v>
      </c>
      <c r="I48" t="str">
        <f t="shared" si="1"/>
        <v>Grain</v>
      </c>
      <c r="J48">
        <v>1.59</v>
      </c>
      <c r="K48">
        <f>Table1[[#This Row],[Target_product_price]]/Table1[[#This Row],[product_price_per_oz]]</f>
        <v>0.28909090909090912</v>
      </c>
    </row>
    <row r="49" spans="1:11" x14ac:dyDescent="0.2">
      <c r="A49" t="s">
        <v>140</v>
      </c>
      <c r="B49" t="s">
        <v>141</v>
      </c>
      <c r="C49" t="s">
        <v>142</v>
      </c>
      <c r="D49" t="str">
        <f>SUBSTITUTE(Table1[[#This Row],[Target_product_name]], "oz", " oz")</f>
        <v>Annie's Puppies &amp; Kitties &amp; White Cheddar Mac and Cheese - 6 oz</v>
      </c>
      <c r="E49" t="str">
        <f t="shared" si="4"/>
        <v>6oz</v>
      </c>
      <c r="F49" t="str">
        <f>LEFT(Table1[[#This Row],[Target_product_quantity]], FIND("o", Table1[[#This Row],[Target_product_quantity]])-1)</f>
        <v>6</v>
      </c>
      <c r="G49" t="str" cm="1">
        <f t="array" ref="G49">_xlfn.TEXTJOIN("", TRUE, IF(ISNUMBER(SEARCH($K$1010:$K$1054, C49)), $K$1010:$K$1054, ""))</f>
        <v>Annie's</v>
      </c>
      <c r="H49" t="str">
        <f t="shared" si="0"/>
        <v>Pasta</v>
      </c>
      <c r="I49" t="str">
        <f t="shared" si="1"/>
        <v>Grain</v>
      </c>
      <c r="J49">
        <v>1.59</v>
      </c>
      <c r="K49">
        <f>Table1[[#This Row],[Target_product_price]]/Table1[[#This Row],[product_price_per_oz]]</f>
        <v>0.26500000000000001</v>
      </c>
    </row>
    <row r="50" spans="1:11" x14ac:dyDescent="0.2">
      <c r="A50" t="s">
        <v>140</v>
      </c>
      <c r="B50" t="s">
        <v>141</v>
      </c>
      <c r="C50" t="s">
        <v>142</v>
      </c>
      <c r="D50" t="str">
        <f>SUBSTITUTE(Table1[[#This Row],[Target_product_name]], "oz", " oz")</f>
        <v>Annie's Puppies &amp; Kitties &amp; White Cheddar Mac and Cheese - 6 oz</v>
      </c>
      <c r="E50" t="str">
        <f t="shared" si="4"/>
        <v>6oz</v>
      </c>
      <c r="F50" t="str">
        <f>LEFT(Table1[[#This Row],[Target_product_quantity]], FIND("o", Table1[[#This Row],[Target_product_quantity]])-1)</f>
        <v>6</v>
      </c>
      <c r="G50" t="str" cm="1">
        <f t="array" ref="G50">_xlfn.TEXTJOIN("", TRUE, IF(ISNUMBER(SEARCH($K$1010:$K$1054, C50)), $K$1010:$K$1054, ""))</f>
        <v>Annie's</v>
      </c>
      <c r="H50" t="str">
        <f t="shared" si="0"/>
        <v>Pasta</v>
      </c>
      <c r="I50" t="str">
        <f t="shared" si="1"/>
        <v>Grain</v>
      </c>
      <c r="J50">
        <v>1.59</v>
      </c>
      <c r="K50">
        <f>Table1[[#This Row],[Target_product_price]]/Table1[[#This Row],[product_price_per_oz]]</f>
        <v>0.26500000000000001</v>
      </c>
    </row>
    <row r="51" spans="1:11" x14ac:dyDescent="0.2">
      <c r="A51" t="s">
        <v>143</v>
      </c>
      <c r="B51" t="s">
        <v>144</v>
      </c>
      <c r="C51" t="s">
        <v>145</v>
      </c>
      <c r="D51" t="str">
        <f>SUBSTITUTE(Table1[[#This Row],[Target_product_name]], "oz", " oz")</f>
        <v>Annie's Shells &amp; Real Aged Cheddar Mac and Cheese - 4pk / 24 oz</v>
      </c>
      <c r="E51" t="s">
        <v>1941</v>
      </c>
      <c r="F51" t="str">
        <f>LEFT(Table1[[#This Row],[Target_product_quantity]], FIND("o", Table1[[#This Row],[Target_product_quantity]])-1)</f>
        <v>24</v>
      </c>
      <c r="G51" t="str" cm="1">
        <f t="array" ref="G51">_xlfn.TEXTJOIN("", TRUE, IF(ISNUMBER(SEARCH($K$1010:$K$1054, C51)), $K$1010:$K$1054, ""))</f>
        <v>Annie's</v>
      </c>
      <c r="H51" t="str">
        <f t="shared" si="0"/>
        <v>Pasta</v>
      </c>
      <c r="I51" t="str">
        <f t="shared" si="1"/>
        <v>Grain</v>
      </c>
      <c r="J51">
        <v>5.99</v>
      </c>
      <c r="K51">
        <f>Table1[[#This Row],[Target_product_price]]/Table1[[#This Row],[product_price_per_oz]]</f>
        <v>0.24958333333333335</v>
      </c>
    </row>
    <row r="52" spans="1:11" x14ac:dyDescent="0.2">
      <c r="A52" t="s">
        <v>143</v>
      </c>
      <c r="B52" t="s">
        <v>144</v>
      </c>
      <c r="C52" t="s">
        <v>145</v>
      </c>
      <c r="D52" t="str">
        <f>SUBSTITUTE(Table1[[#This Row],[Target_product_name]], "oz", " oz")</f>
        <v>Annie's Shells &amp; Real Aged Cheddar Mac and Cheese - 4pk / 24 oz</v>
      </c>
      <c r="E52" t="s">
        <v>1941</v>
      </c>
      <c r="F52" t="str">
        <f>LEFT(Table1[[#This Row],[Target_product_quantity]], FIND("o", Table1[[#This Row],[Target_product_quantity]])-1)</f>
        <v>24</v>
      </c>
      <c r="G52" t="str" cm="1">
        <f t="array" ref="G52">_xlfn.TEXTJOIN("", TRUE, IF(ISNUMBER(SEARCH($K$1010:$K$1054, C52)), $K$1010:$K$1054, ""))</f>
        <v>Annie's</v>
      </c>
      <c r="H52" t="str">
        <f t="shared" si="0"/>
        <v>Pasta</v>
      </c>
      <c r="I52" t="str">
        <f t="shared" si="1"/>
        <v>Grain</v>
      </c>
      <c r="J52">
        <v>5.99</v>
      </c>
      <c r="K52">
        <f>Table1[[#This Row],[Target_product_price]]/Table1[[#This Row],[product_price_per_oz]]</f>
        <v>0.24958333333333335</v>
      </c>
    </row>
    <row r="53" spans="1:11" x14ac:dyDescent="0.2">
      <c r="A53" t="s">
        <v>143</v>
      </c>
      <c r="B53" t="s">
        <v>144</v>
      </c>
      <c r="C53" t="s">
        <v>145</v>
      </c>
      <c r="D53" t="str">
        <f>SUBSTITUTE(Table1[[#This Row],[Target_product_name]], "oz", " oz")</f>
        <v>Annie's Shells &amp; Real Aged Cheddar Mac and Cheese - 4pk / 24 oz</v>
      </c>
      <c r="E53" t="s">
        <v>1941</v>
      </c>
      <c r="F53" t="str">
        <f>LEFT(Table1[[#This Row],[Target_product_quantity]], FIND("o", Table1[[#This Row],[Target_product_quantity]])-1)</f>
        <v>24</v>
      </c>
      <c r="G53" t="str" cm="1">
        <f t="array" ref="G53">_xlfn.TEXTJOIN("", TRUE, IF(ISNUMBER(SEARCH($K$1010:$K$1054, C53)), $K$1010:$K$1054, ""))</f>
        <v>Annie's</v>
      </c>
      <c r="H53" t="str">
        <f t="shared" si="0"/>
        <v>Pasta</v>
      </c>
      <c r="I53" t="str">
        <f t="shared" si="1"/>
        <v>Grain</v>
      </c>
      <c r="J53">
        <v>5.99</v>
      </c>
      <c r="K53">
        <f>Table1[[#This Row],[Target_product_price]]/Table1[[#This Row],[product_price_per_oz]]</f>
        <v>0.24958333333333335</v>
      </c>
    </row>
    <row r="54" spans="1:11" x14ac:dyDescent="0.2">
      <c r="A54" t="s">
        <v>146</v>
      </c>
      <c r="B54" t="s">
        <v>147</v>
      </c>
      <c r="C54" t="s">
        <v>148</v>
      </c>
      <c r="D54" t="str">
        <f>SUBSTITUTE(Table1[[#This Row],[Target_product_name]], "oz", " oz")</f>
        <v>Annie's Shells &amp; Real Aged Cheddar Mac and Cheese - 6 oz</v>
      </c>
      <c r="E54" t="str">
        <f t="shared" si="4"/>
        <v>6oz</v>
      </c>
      <c r="F54" t="str">
        <f>LEFT(Table1[[#This Row],[Target_product_quantity]], FIND("o", Table1[[#This Row],[Target_product_quantity]])-1)</f>
        <v>6</v>
      </c>
      <c r="G54" t="str" cm="1">
        <f t="array" ref="G54">_xlfn.TEXTJOIN("", TRUE, IF(ISNUMBER(SEARCH($K$1010:$K$1054, C54)), $K$1010:$K$1054, ""))</f>
        <v>Annie's</v>
      </c>
      <c r="H54" t="str">
        <f t="shared" si="0"/>
        <v>Pasta</v>
      </c>
      <c r="I54" t="str">
        <f t="shared" si="1"/>
        <v>Grain</v>
      </c>
      <c r="J54">
        <v>1.59</v>
      </c>
      <c r="K54">
        <f>Table1[[#This Row],[Target_product_price]]/Table1[[#This Row],[product_price_per_oz]]</f>
        <v>0.26500000000000001</v>
      </c>
    </row>
    <row r="55" spans="1:11" x14ac:dyDescent="0.2">
      <c r="A55" t="s">
        <v>146</v>
      </c>
      <c r="B55" t="s">
        <v>147</v>
      </c>
      <c r="C55" t="s">
        <v>148</v>
      </c>
      <c r="D55" t="str">
        <f>SUBSTITUTE(Table1[[#This Row],[Target_product_name]], "oz", " oz")</f>
        <v>Annie's Shells &amp; Real Aged Cheddar Mac and Cheese - 6 oz</v>
      </c>
      <c r="E55" t="str">
        <f t="shared" si="4"/>
        <v>6oz</v>
      </c>
      <c r="F55" t="str">
        <f>LEFT(Table1[[#This Row],[Target_product_quantity]], FIND("o", Table1[[#This Row],[Target_product_quantity]])-1)</f>
        <v>6</v>
      </c>
      <c r="G55" t="str" cm="1">
        <f t="array" ref="G55">_xlfn.TEXTJOIN("", TRUE, IF(ISNUMBER(SEARCH($K$1010:$K$1054, C55)), $K$1010:$K$1054, ""))</f>
        <v>Annie's</v>
      </c>
      <c r="H55" t="str">
        <f t="shared" si="0"/>
        <v>Pasta</v>
      </c>
      <c r="I55" t="str">
        <f t="shared" si="1"/>
        <v>Grain</v>
      </c>
      <c r="J55">
        <v>1.59</v>
      </c>
      <c r="K55">
        <f>Table1[[#This Row],[Target_product_price]]/Table1[[#This Row],[product_price_per_oz]]</f>
        <v>0.26500000000000001</v>
      </c>
    </row>
    <row r="56" spans="1:11" x14ac:dyDescent="0.2">
      <c r="A56" t="s">
        <v>149</v>
      </c>
      <c r="B56" t="s">
        <v>150</v>
      </c>
      <c r="C56" t="s">
        <v>151</v>
      </c>
      <c r="D56" t="str">
        <f>SUBSTITUTE(Table1[[#This Row],[Target_product_name]], "oz", " oz")</f>
        <v>Annie's Shells &amp; White Cheddar Macaroni &amp; Cheese Family Size - Case of 6/10.5  oz</v>
      </c>
      <c r="E56" t="s">
        <v>2014</v>
      </c>
      <c r="F56" t="str">
        <f>LEFT(Table1[[#This Row],[Target_product_quantity]], FIND("o", Table1[[#This Row],[Target_product_quantity]])-1)</f>
        <v>63</v>
      </c>
      <c r="G56" t="str" cm="1">
        <f t="array" ref="G56">_xlfn.TEXTJOIN("", TRUE, IF(ISNUMBER(SEARCH($K$1010:$K$1054, C56)), $K$1010:$K$1054, ""))</f>
        <v>Annie's</v>
      </c>
      <c r="H56" t="str">
        <f t="shared" si="0"/>
        <v>Pasta</v>
      </c>
      <c r="I56" t="str">
        <f t="shared" si="1"/>
        <v>Grain</v>
      </c>
      <c r="J56">
        <v>27.99</v>
      </c>
      <c r="K56">
        <f>Table1[[#This Row],[Target_product_price]]/Table1[[#This Row],[product_price_per_oz]]</f>
        <v>0.44428571428571428</v>
      </c>
    </row>
    <row r="57" spans="1:11" x14ac:dyDescent="0.2">
      <c r="A57" t="s">
        <v>152</v>
      </c>
      <c r="B57" t="s">
        <v>153</v>
      </c>
      <c r="C57" t="s">
        <v>154</v>
      </c>
      <c r="D57" t="str">
        <f>SUBSTITUTE(Table1[[#This Row],[Target_product_name]], "oz", " oz")</f>
        <v>Annie's Snack Variety Pack - 10.8 oz/12ct</v>
      </c>
      <c r="E57" t="s">
        <v>2996</v>
      </c>
      <c r="F57" t="str">
        <f>LEFT(Table1[[#This Row],[Target_product_quantity]], FIND("o", Table1[[#This Row],[Target_product_quantity]])-1)</f>
        <v>10.8</v>
      </c>
      <c r="G57" t="str" cm="1">
        <f t="array" ref="G57">_xlfn.TEXTJOIN("", TRUE, IF(ISNUMBER(SEARCH($K$1010:$K$1054, C57)), $K$1010:$K$1054, ""))</f>
        <v>Annie's</v>
      </c>
      <c r="H57" t="str">
        <f t="shared" si="0"/>
        <v>Pasta</v>
      </c>
      <c r="I57" t="str">
        <f t="shared" si="1"/>
        <v>Grain</v>
      </c>
      <c r="J57">
        <v>8.99</v>
      </c>
      <c r="K57">
        <f>Table1[[#This Row],[Target_product_price]]/Table1[[#This Row],[product_price_per_oz]]</f>
        <v>0.83240740740740737</v>
      </c>
    </row>
    <row r="58" spans="1:11" x14ac:dyDescent="0.2">
      <c r="A58" t="s">
        <v>155</v>
      </c>
      <c r="B58" t="s">
        <v>156</v>
      </c>
      <c r="C58" t="s">
        <v>157</v>
      </c>
      <c r="D58" t="str">
        <f>SUBSTITUTE(Table1[[#This Row],[Target_product_name]], "oz", " oz")</f>
        <v>Annie's Spidey Shapes &amp; Cheddar Mac and Cheese - 6 oz</v>
      </c>
      <c r="E58" t="str">
        <f t="shared" si="4"/>
        <v>6oz</v>
      </c>
      <c r="F58" t="str">
        <f>LEFT(Table1[[#This Row],[Target_product_quantity]], FIND("o", Table1[[#This Row],[Target_product_quantity]])-1)</f>
        <v>6</v>
      </c>
      <c r="G58" t="str" cm="1">
        <f t="array" ref="G58">_xlfn.TEXTJOIN("", TRUE, IF(ISNUMBER(SEARCH($K$1010:$K$1054, C58)), $K$1010:$K$1054, ""))</f>
        <v>Annie's</v>
      </c>
      <c r="H58" t="str">
        <f t="shared" si="0"/>
        <v>Pasta</v>
      </c>
      <c r="I58" t="str">
        <f t="shared" si="1"/>
        <v>Grain</v>
      </c>
      <c r="J58">
        <v>1.59</v>
      </c>
      <c r="K58">
        <f>Table1[[#This Row],[Target_product_price]]/Table1[[#This Row],[product_price_per_oz]]</f>
        <v>0.26500000000000001</v>
      </c>
    </row>
    <row r="59" spans="1:11" x14ac:dyDescent="0.2">
      <c r="A59" t="s">
        <v>155</v>
      </c>
      <c r="B59" t="s">
        <v>156</v>
      </c>
      <c r="C59" t="s">
        <v>157</v>
      </c>
      <c r="D59" t="str">
        <f>SUBSTITUTE(Table1[[#This Row],[Target_product_name]], "oz", " oz")</f>
        <v>Annie's Spidey Shapes &amp; Cheddar Mac and Cheese - 6 oz</v>
      </c>
      <c r="E59" t="str">
        <f t="shared" si="4"/>
        <v>6oz</v>
      </c>
      <c r="F59" t="str">
        <f>LEFT(Table1[[#This Row],[Target_product_quantity]], FIND("o", Table1[[#This Row],[Target_product_quantity]])-1)</f>
        <v>6</v>
      </c>
      <c r="G59" t="str" cm="1">
        <f t="array" ref="G59">_xlfn.TEXTJOIN("", TRUE, IF(ISNUMBER(SEARCH($K$1010:$K$1054, C59)), $K$1010:$K$1054, ""))</f>
        <v>Annie's</v>
      </c>
      <c r="H59" t="str">
        <f t="shared" si="0"/>
        <v>Pasta</v>
      </c>
      <c r="I59" t="str">
        <f t="shared" si="1"/>
        <v>Grain</v>
      </c>
      <c r="J59">
        <v>1.59</v>
      </c>
      <c r="K59">
        <f>Table1[[#This Row],[Target_product_price]]/Table1[[#This Row],[product_price_per_oz]]</f>
        <v>0.26500000000000001</v>
      </c>
    </row>
    <row r="60" spans="1:11" x14ac:dyDescent="0.2">
      <c r="A60" t="s">
        <v>158</v>
      </c>
      <c r="B60" t="s">
        <v>159</v>
      </c>
      <c r="C60" t="s">
        <v>160</v>
      </c>
      <c r="D60" t="str">
        <f>SUBSTITUTE(Table1[[#This Row],[Target_product_name]], "oz", " oz")</f>
        <v>Annie's Spidey Shapes &amp; Cheddar Mac and Cheese Microwavable Cups - 8.04 oz / 4pk</v>
      </c>
      <c r="E60" t="s">
        <v>2990</v>
      </c>
      <c r="F60" t="str">
        <f>LEFT(Table1[[#This Row],[Target_product_quantity]], FIND("o", Table1[[#This Row],[Target_product_quantity]])-1)</f>
        <v>8.04</v>
      </c>
      <c r="G60" t="str" cm="1">
        <f t="array" ref="G60">_xlfn.TEXTJOIN("", TRUE, IF(ISNUMBER(SEARCH($K$1010:$K$1054, C60)), $K$1010:$K$1054, ""))</f>
        <v>Annie's</v>
      </c>
      <c r="H60" t="str">
        <f t="shared" si="0"/>
        <v>Pasta</v>
      </c>
      <c r="I60" t="str">
        <f t="shared" si="1"/>
        <v>Grain</v>
      </c>
      <c r="J60">
        <v>6.29</v>
      </c>
      <c r="K60">
        <f>Table1[[#This Row],[Target_product_price]]/Table1[[#This Row],[product_price_per_oz]]</f>
        <v>0.78233830845771157</v>
      </c>
    </row>
    <row r="61" spans="1:11" x14ac:dyDescent="0.2">
      <c r="A61" t="s">
        <v>158</v>
      </c>
      <c r="B61" t="s">
        <v>159</v>
      </c>
      <c r="C61" t="s">
        <v>160</v>
      </c>
      <c r="D61" t="str">
        <f>SUBSTITUTE(Table1[[#This Row],[Target_product_name]], "oz", " oz")</f>
        <v>Annie's Spidey Shapes &amp; Cheddar Mac and Cheese Microwavable Cups - 8.04 oz / 4pk</v>
      </c>
      <c r="E61" t="s">
        <v>2990</v>
      </c>
      <c r="F61" t="str">
        <f>LEFT(Table1[[#This Row],[Target_product_quantity]], FIND("o", Table1[[#This Row],[Target_product_quantity]])-1)</f>
        <v>8.04</v>
      </c>
      <c r="G61" t="str" cm="1">
        <f t="array" ref="G61">_xlfn.TEXTJOIN("", TRUE, IF(ISNUMBER(SEARCH($K$1010:$K$1054, C61)), $K$1010:$K$1054, ""))</f>
        <v>Annie's</v>
      </c>
      <c r="H61" t="str">
        <f t="shared" si="0"/>
        <v>Pasta</v>
      </c>
      <c r="I61" t="str">
        <f t="shared" si="1"/>
        <v>Grain</v>
      </c>
      <c r="J61">
        <v>6.29</v>
      </c>
      <c r="K61">
        <f>Table1[[#This Row],[Target_product_price]]/Table1[[#This Row],[product_price_per_oz]]</f>
        <v>0.78233830845771157</v>
      </c>
    </row>
    <row r="62" spans="1:11" x14ac:dyDescent="0.2">
      <c r="A62" t="s">
        <v>161</v>
      </c>
      <c r="B62" t="s">
        <v>162</v>
      </c>
      <c r="C62" t="s">
        <v>163</v>
      </c>
      <c r="D62" t="str">
        <f>SUBSTITUTE(Table1[[#This Row],[Target_product_name]], "oz", " oz")</f>
        <v>Annie's Spirals with Butter &amp; Parmesan Mac and Cheese - 5.25 oz</v>
      </c>
      <c r="E62" t="str">
        <f t="shared" si="4"/>
        <v>5.25oz</v>
      </c>
      <c r="F62" t="str">
        <f>LEFT(Table1[[#This Row],[Target_product_quantity]], FIND("o", Table1[[#This Row],[Target_product_quantity]])-1)</f>
        <v>5.25</v>
      </c>
      <c r="G62" t="str" cm="1">
        <f t="array" ref="G62">_xlfn.TEXTJOIN("", TRUE, IF(ISNUMBER(SEARCH($K$1010:$K$1054, C62)), $K$1010:$K$1054, ""))</f>
        <v>Annie's</v>
      </c>
      <c r="H62" t="str">
        <f t="shared" si="0"/>
        <v>Pasta</v>
      </c>
      <c r="I62" t="str">
        <f t="shared" si="1"/>
        <v>Grain</v>
      </c>
      <c r="J62">
        <v>1.59</v>
      </c>
      <c r="K62">
        <f>Table1[[#This Row],[Target_product_price]]/Table1[[#This Row],[product_price_per_oz]]</f>
        <v>0.30285714285714288</v>
      </c>
    </row>
    <row r="63" spans="1:11" x14ac:dyDescent="0.2">
      <c r="A63" t="s">
        <v>164</v>
      </c>
      <c r="B63" t="s">
        <v>165</v>
      </c>
      <c r="C63" t="s">
        <v>166</v>
      </c>
      <c r="D63" t="str">
        <f>SUBSTITUTE(Table1[[#This Row],[Target_product_name]], "oz", " oz")</f>
        <v>Annie's Super Mac Shapes &amp; Real Aged Cheddar Mac and Cheese - 6 oz</v>
      </c>
      <c r="E63" t="str">
        <f t="shared" si="4"/>
        <v>6oz</v>
      </c>
      <c r="F63" t="str">
        <f>LEFT(Table1[[#This Row],[Target_product_quantity]], FIND("o", Table1[[#This Row],[Target_product_quantity]])-1)</f>
        <v>6</v>
      </c>
      <c r="G63" t="str" cm="1">
        <f t="array" ref="G63">_xlfn.TEXTJOIN("", TRUE, IF(ISNUMBER(SEARCH($K$1010:$K$1054, C63)), $K$1010:$K$1054, ""))</f>
        <v>Annie's</v>
      </c>
      <c r="H63" t="str">
        <f t="shared" si="0"/>
        <v>Pasta</v>
      </c>
      <c r="I63" t="str">
        <f t="shared" si="1"/>
        <v>Grain</v>
      </c>
      <c r="J63">
        <v>2.99</v>
      </c>
      <c r="K63">
        <f>Table1[[#This Row],[Target_product_price]]/Table1[[#This Row],[product_price_per_oz]]</f>
        <v>0.49833333333333335</v>
      </c>
    </row>
    <row r="64" spans="1:11" x14ac:dyDescent="0.2">
      <c r="A64" t="s">
        <v>167</v>
      </c>
      <c r="B64" t="s">
        <v>168</v>
      </c>
      <c r="C64" t="s">
        <v>169</v>
      </c>
      <c r="D64" t="str">
        <f>SUBSTITUTE(Table1[[#This Row],[Target_product_name]], "oz", " oz")</f>
        <v>Annie's Vegan Cheddar Flavor Mac and Cheese - 24 oz/4ct</v>
      </c>
      <c r="E64" t="s">
        <v>1941</v>
      </c>
      <c r="F64" t="str">
        <f>LEFT(Table1[[#This Row],[Target_product_quantity]], FIND("o", Table1[[#This Row],[Target_product_quantity]])-1)</f>
        <v>24</v>
      </c>
      <c r="G64" t="str" cm="1">
        <f t="array" ref="G64">_xlfn.TEXTJOIN("", TRUE, IF(ISNUMBER(SEARCH($K$1010:$K$1054, C64)), $K$1010:$K$1054, ""))</f>
        <v>Annie's</v>
      </c>
      <c r="H64" t="str">
        <f t="shared" si="0"/>
        <v>Pasta</v>
      </c>
      <c r="I64" t="str">
        <f t="shared" si="1"/>
        <v>Grain</v>
      </c>
      <c r="J64">
        <v>8.99</v>
      </c>
      <c r="K64">
        <f>Table1[[#This Row],[Target_product_price]]/Table1[[#This Row],[product_price_per_oz]]</f>
        <v>0.37458333333333332</v>
      </c>
    </row>
    <row r="65" spans="1:11" x14ac:dyDescent="0.2">
      <c r="A65" t="s">
        <v>170</v>
      </c>
      <c r="B65" t="s">
        <v>171</v>
      </c>
      <c r="C65" t="s">
        <v>172</v>
      </c>
      <c r="D65" t="str">
        <f>SUBSTITUTE(Table1[[#This Row],[Target_product_name]], "oz", " oz")</f>
        <v>Arizona Arnold Palmer Half &amp; Half Iced Tea &amp; Lemonade - 12pk/16 fl  oz Bottles</v>
      </c>
      <c r="E65" t="s">
        <v>725</v>
      </c>
      <c r="F65" t="str">
        <f>LEFT(Table1[[#This Row],[Target_product_quantity]], FIND("o", Table1[[#This Row],[Target_product_quantity]])-1)</f>
        <v>192</v>
      </c>
      <c r="G65" t="str" cm="1">
        <f t="array" ref="G65">_xlfn.TEXTJOIN("", TRUE, IF(ISNUMBER(SEARCH($K$1010:$K$1054, C65)), $K$1010:$K$1054, ""))</f>
        <v>Arizona</v>
      </c>
      <c r="H65" t="str">
        <f t="shared" si="0"/>
        <v>Beverages</v>
      </c>
      <c r="I65" t="str">
        <f t="shared" si="1"/>
        <v>Beverages</v>
      </c>
      <c r="J65">
        <v>7.99</v>
      </c>
      <c r="K65">
        <f>Table1[[#This Row],[Target_product_price]]/Table1[[#This Row],[product_price_per_oz]]</f>
        <v>4.1614583333333337E-2</v>
      </c>
    </row>
    <row r="66" spans="1:11" x14ac:dyDescent="0.2">
      <c r="A66" t="s">
        <v>173</v>
      </c>
      <c r="B66" t="s">
        <v>174</v>
      </c>
      <c r="C66" t="s">
        <v>175</v>
      </c>
      <c r="D66" t="str">
        <f>SUBSTITUTE(Table1[[#This Row],[Target_product_name]], "oz", " oz")</f>
        <v>Arizona Arnold Palmer Half and Half - Big Can, 22 Fl Oz (Pack of 12)</v>
      </c>
      <c r="E66" t="s">
        <v>2639</v>
      </c>
      <c r="F66" t="str">
        <f>LEFT(Table1[[#This Row],[Target_product_quantity]], FIND("o", Table1[[#This Row],[Target_product_quantity]])-1)</f>
        <v>264</v>
      </c>
      <c r="G66" t="str" cm="1">
        <f t="array" ref="G66">_xlfn.TEXTJOIN("", TRUE, IF(ISNUMBER(SEARCH($K$1010:$K$1054, C66)), $K$1010:$K$1054, ""))</f>
        <v>Arizona</v>
      </c>
      <c r="H66" t="str">
        <f t="shared" ref="H66:H129" si="5">IF(OR(G66="Mission",G66="Nature's Own",G66="Sara Lee"),"Bread",
IF(OR(G66="Del Monte",G66="Dole",G66="Mott's"),"Canned Fruit",
IF(OR(G66="Goya",G66="Hunt's",G66="Birds Eye"),"Canned Vegetables",
IF(OR(G66="Fairlife",G66="Horizon Organic",G66="Lactaid",G66="Ben &amp; Jerry's"),"Milk",
IF(OR(G66="BelGioioso",G66="Kraft",G66="Philadelphia"),"Cheese",
IF(OR(G66="Chobani",G66="Oikos",G66="Light + Fit"),"Yogurt",
IF(OR(G66="Barilla",G66="Annie's",G66="Rao's Homemade"),"Pasta",
IF(OR(G66="Hershey's",G66="Lay's",G66="Totino's",G66="Cheerios",G66="Jif",G66="Skippy",G66="Nature Valley",G66="Oreo",G66="DiGiorno",G66="Eggo"),"Prepared Food",
IF(OR(G66="Ben's Original",G66="Lundberg",G66="Quaker"),"Rice",
IF(OR(G66="Bush's",G66="Hillshire Farm",G66="Oscar Mayer",G66="SPAM"),"Protein",
IF(OR(G66="Starbucks",G66="Sparkling Ice",G66="Coca-Cola",G66="San Pellegrino",G66="Gatorade",G66="Arizona"),"Beverages",
"Other")))))))))))</f>
        <v>Beverages</v>
      </c>
      <c r="I66" t="str">
        <f t="shared" ref="I66:I129" si="6">IF(OR(H66="Bread",H66="Rice",H66="Pasta"), "Grain",
IF(OR(H66="Milk",H66="Cheese",H66="Yogurt"), "Dairy",
IF(OR(H66="Canned Fruit",H66="Canned Vegetables"), "Fruit &amp; Vegetables",
IF(H66="Prepared Food", "Prepared Food",
IF(H66="Protein", "Protein",
IF(H66="Beverages", "Beverages",
"Other"))))))</f>
        <v>Beverages</v>
      </c>
      <c r="J66">
        <v>39.99</v>
      </c>
      <c r="K66">
        <f>Table1[[#This Row],[Target_product_price]]/Table1[[#This Row],[product_price_per_oz]]</f>
        <v>0.15147727272727274</v>
      </c>
    </row>
    <row r="67" spans="1:11" x14ac:dyDescent="0.2">
      <c r="A67" t="s">
        <v>176</v>
      </c>
      <c r="B67" t="s">
        <v>177</v>
      </c>
      <c r="C67" t="s">
        <v>178</v>
      </c>
      <c r="D67" t="str">
        <f>SUBSTITUTE(Table1[[#This Row],[Target_product_name]], "oz", " oz")</f>
        <v>Arizona Arnold Palmer Iced Tea Lemonade - 16 fl  oz</v>
      </c>
      <c r="E67" t="s">
        <v>372</v>
      </c>
      <c r="F67" t="str">
        <f>LEFT(Table1[[#This Row],[Target_product_quantity]], FIND("o", Table1[[#This Row],[Target_product_quantity]])-1)</f>
        <v>16</v>
      </c>
      <c r="G67" t="str" cm="1">
        <f t="array" ref="G67">_xlfn.TEXTJOIN("", TRUE, IF(ISNUMBER(SEARCH($K$1010:$K$1054, C67)), $K$1010:$K$1054, ""))</f>
        <v>Arizona</v>
      </c>
      <c r="H67" t="str">
        <f t="shared" si="5"/>
        <v>Beverages</v>
      </c>
      <c r="I67" t="str">
        <f t="shared" si="6"/>
        <v>Beverages</v>
      </c>
      <c r="J67">
        <v>0.99</v>
      </c>
      <c r="K67">
        <f>Table1[[#This Row],[Target_product_price]]/Table1[[#This Row],[product_price_per_oz]]</f>
        <v>6.1874999999999999E-2</v>
      </c>
    </row>
    <row r="68" spans="1:11" x14ac:dyDescent="0.2">
      <c r="A68" t="s">
        <v>179</v>
      </c>
      <c r="B68" t="s">
        <v>180</v>
      </c>
      <c r="C68" t="s">
        <v>181</v>
      </c>
      <c r="D68" t="str">
        <f>SUBSTITUTE(Table1[[#This Row],[Target_product_name]], "oz", " oz")</f>
        <v>Arizona Arnold Palmer Lite Half Iced Tea &amp; Half Lemonade - 128 fl  oz Jug</v>
      </c>
      <c r="E68" t="s">
        <v>2045</v>
      </c>
      <c r="F68" t="str">
        <f>LEFT(Table1[[#This Row],[Target_product_quantity]], FIND("o", Table1[[#This Row],[Target_product_quantity]])-1)</f>
        <v>128</v>
      </c>
      <c r="G68" t="str" cm="1">
        <f t="array" ref="G68">_xlfn.TEXTJOIN("", TRUE, IF(ISNUMBER(SEARCH($K$1010:$K$1054, C68)), $K$1010:$K$1054, ""))</f>
        <v>Arizona</v>
      </c>
      <c r="H68" t="str">
        <f t="shared" si="5"/>
        <v>Beverages</v>
      </c>
      <c r="I68" t="str">
        <f t="shared" si="6"/>
        <v>Beverages</v>
      </c>
      <c r="J68">
        <v>3.89</v>
      </c>
      <c r="K68">
        <f>Table1[[#This Row],[Target_product_price]]/Table1[[#This Row],[product_price_per_oz]]</f>
        <v>3.0390625000000001E-2</v>
      </c>
    </row>
    <row r="69" spans="1:11" x14ac:dyDescent="0.2">
      <c r="A69" t="s">
        <v>182</v>
      </c>
      <c r="B69" t="s">
        <v>183</v>
      </c>
      <c r="C69" t="s">
        <v>184</v>
      </c>
      <c r="D69" t="str">
        <f>SUBSTITUTE(Table1[[#This Row],[Target_product_name]], "oz", " oz")</f>
        <v>Arizona Green Tea - 16.9 fl  oz</v>
      </c>
      <c r="E69" t="s">
        <v>2997</v>
      </c>
      <c r="F69" t="str">
        <f>LEFT(Table1[[#This Row],[Target_product_quantity]], FIND("o", Table1[[#This Row],[Target_product_quantity]])-1)</f>
        <v>16.9</v>
      </c>
      <c r="G69" t="str" cm="1">
        <f t="array" ref="G69">_xlfn.TEXTJOIN("", TRUE, IF(ISNUMBER(SEARCH($K$1010:$K$1054, C69)), $K$1010:$K$1054, ""))</f>
        <v>Arizona</v>
      </c>
      <c r="H69" t="str">
        <f t="shared" si="5"/>
        <v>Beverages</v>
      </c>
      <c r="I69" t="str">
        <f t="shared" si="6"/>
        <v>Beverages</v>
      </c>
      <c r="J69">
        <v>0.99</v>
      </c>
      <c r="K69">
        <f>Table1[[#This Row],[Target_product_price]]/Table1[[#This Row],[product_price_per_oz]]</f>
        <v>5.8579881656804736E-2</v>
      </c>
    </row>
    <row r="70" spans="1:11" x14ac:dyDescent="0.2">
      <c r="A70" t="s">
        <v>185</v>
      </c>
      <c r="B70" t="s">
        <v>186</v>
      </c>
      <c r="C70" t="s">
        <v>187</v>
      </c>
      <c r="D70" t="str">
        <f>SUBSTITUTE(Table1[[#This Row],[Target_product_name]], "oz", " oz")</f>
        <v>Arizona Green Tea Ginseng and Honey - 24pk/16 fl  oz Bottles</v>
      </c>
      <c r="E70" t="s">
        <v>2998</v>
      </c>
      <c r="F70" t="str">
        <f>LEFT(Table1[[#This Row],[Target_product_quantity]], FIND("o", Table1[[#This Row],[Target_product_quantity]])-1)</f>
        <v>384</v>
      </c>
      <c r="G70" t="str" cm="1">
        <f t="array" ref="G70">_xlfn.TEXTJOIN("", TRUE, IF(ISNUMBER(SEARCH($K$1010:$K$1054, C70)), $K$1010:$K$1054, ""))</f>
        <v>Arizona</v>
      </c>
      <c r="H70" t="str">
        <f t="shared" si="5"/>
        <v>Beverages</v>
      </c>
      <c r="I70" t="str">
        <f t="shared" si="6"/>
        <v>Beverages</v>
      </c>
      <c r="J70">
        <v>31.99</v>
      </c>
      <c r="K70">
        <f>Table1[[#This Row],[Target_product_price]]/Table1[[#This Row],[product_price_per_oz]]</f>
        <v>8.3307291666666658E-2</v>
      </c>
    </row>
    <row r="71" spans="1:11" x14ac:dyDescent="0.2">
      <c r="A71" t="s">
        <v>188</v>
      </c>
      <c r="B71" t="s">
        <v>189</v>
      </c>
      <c r="C71" t="s">
        <v>190</v>
      </c>
      <c r="D71" t="s">
        <v>2045</v>
      </c>
      <c r="E71" t="s">
        <v>2045</v>
      </c>
      <c r="F71" t="str">
        <f>LEFT(Table1[[#This Row],[Target_product_quantity]], FIND("o", Table1[[#This Row],[Target_product_quantity]])-1)</f>
        <v>128</v>
      </c>
      <c r="G71" t="str" cm="1">
        <f t="array" ref="G71">_xlfn.TEXTJOIN("", TRUE, IF(ISNUMBER(SEARCH($K$1010:$K$1054, C71)), $K$1010:$K$1054, ""))</f>
        <v>Arizona</v>
      </c>
      <c r="H71" t="str">
        <f t="shared" si="5"/>
        <v>Beverages</v>
      </c>
      <c r="I71" t="str">
        <f t="shared" si="6"/>
        <v>Beverages</v>
      </c>
      <c r="J71">
        <v>3.89</v>
      </c>
      <c r="K71">
        <f>Table1[[#This Row],[Target_product_price]]/Table1[[#This Row],[product_price_per_oz]]</f>
        <v>3.0390625000000001E-2</v>
      </c>
    </row>
    <row r="72" spans="1:11" x14ac:dyDescent="0.2">
      <c r="A72" t="s">
        <v>191</v>
      </c>
      <c r="B72" t="s">
        <v>192</v>
      </c>
      <c r="C72" t="s">
        <v>193</v>
      </c>
      <c r="D72" t="str">
        <f>SUBSTITUTE(Table1[[#This Row],[Target_product_name]], "oz", " oz")</f>
        <v>Arizona Green Tea with Ginseng and Honey - 12pk/16 fl  oz Bottles</v>
      </c>
      <c r="E72" t="s">
        <v>725</v>
      </c>
      <c r="F72" t="str">
        <f>LEFT(Table1[[#This Row],[Target_product_quantity]], FIND("o", Table1[[#This Row],[Target_product_quantity]])-1)</f>
        <v>192</v>
      </c>
      <c r="G72" t="str" cm="1">
        <f t="array" ref="G72">_xlfn.TEXTJOIN("", TRUE, IF(ISNUMBER(SEARCH($K$1010:$K$1054, C72)), $K$1010:$K$1054, ""))</f>
        <v>Arizona</v>
      </c>
      <c r="H72" t="str">
        <f t="shared" si="5"/>
        <v>Beverages</v>
      </c>
      <c r="I72" t="str">
        <f t="shared" si="6"/>
        <v>Beverages</v>
      </c>
      <c r="J72">
        <v>7.99</v>
      </c>
      <c r="K72">
        <f>Table1[[#This Row],[Target_product_price]]/Table1[[#This Row],[product_price_per_oz]]</f>
        <v>4.1614583333333337E-2</v>
      </c>
    </row>
    <row r="73" spans="1:11" x14ac:dyDescent="0.2">
      <c r="A73" t="s">
        <v>194</v>
      </c>
      <c r="B73" t="s">
        <v>195</v>
      </c>
      <c r="C73" t="s">
        <v>196</v>
      </c>
      <c r="D73" t="str">
        <f>SUBSTITUTE(Table1[[#This Row],[Target_product_name]], "oz", " oz")</f>
        <v>Arizona Juice Variety Pack - 24pk/20 fl  oz Bottles</v>
      </c>
      <c r="E73" t="s">
        <v>2999</v>
      </c>
      <c r="F73" t="str">
        <f>LEFT(Table1[[#This Row],[Target_product_quantity]], FIND("o", Table1[[#This Row],[Target_product_quantity]])-1)</f>
        <v>480</v>
      </c>
      <c r="G73" t="str" cm="1">
        <f t="array" ref="G73">_xlfn.TEXTJOIN("", TRUE, IF(ISNUMBER(SEARCH($K$1010:$K$1054, C73)), $K$1010:$K$1054, ""))</f>
        <v>Arizona</v>
      </c>
      <c r="H73" t="str">
        <f t="shared" si="5"/>
        <v>Beverages</v>
      </c>
      <c r="I73" t="str">
        <f t="shared" si="6"/>
        <v>Beverages</v>
      </c>
      <c r="J73">
        <v>40.99</v>
      </c>
      <c r="K73">
        <f>Table1[[#This Row],[Target_product_price]]/Table1[[#This Row],[product_price_per_oz]]</f>
        <v>8.5395833333333337E-2</v>
      </c>
    </row>
    <row r="74" spans="1:11" x14ac:dyDescent="0.2">
      <c r="A74" t="s">
        <v>197</v>
      </c>
      <c r="B74" t="s">
        <v>198</v>
      </c>
      <c r="C74" t="s">
        <v>199</v>
      </c>
      <c r="D74" t="s">
        <v>2997</v>
      </c>
      <c r="E74" t="s">
        <v>2997</v>
      </c>
      <c r="F74" t="str">
        <f>LEFT(Table1[[#This Row],[Target_product_quantity]], FIND("o", Table1[[#This Row],[Target_product_quantity]])-1)</f>
        <v>16.9</v>
      </c>
      <c r="G74" t="str" cm="1">
        <f t="array" ref="G74">_xlfn.TEXTJOIN("", TRUE, IF(ISNUMBER(SEARCH($K$1010:$K$1054, C74)), $K$1010:$K$1054, ""))</f>
        <v>Arizona</v>
      </c>
      <c r="H74" t="str">
        <f t="shared" si="5"/>
        <v>Beverages</v>
      </c>
      <c r="I74" t="str">
        <f t="shared" si="6"/>
        <v>Beverages</v>
      </c>
      <c r="J74">
        <v>0.99</v>
      </c>
      <c r="K74">
        <f>Table1[[#This Row],[Target_product_price]]/Table1[[#This Row],[product_price_per_oz]]</f>
        <v>5.8579881656804736E-2</v>
      </c>
    </row>
    <row r="75" spans="1:11" x14ac:dyDescent="0.2">
      <c r="A75" t="s">
        <v>200</v>
      </c>
      <c r="B75" t="s">
        <v>201</v>
      </c>
      <c r="C75" t="s">
        <v>202</v>
      </c>
      <c r="D75" t="str">
        <f>SUBSTITUTE(Table1[[#This Row],[Target_product_name]], "oz", " oz")</f>
        <v>Arizona X Fallout Georgia Peach Green Tea - 22 Fl Oz Can (Pack of 12)</v>
      </c>
      <c r="E75" t="s">
        <v>2639</v>
      </c>
      <c r="F75" t="str">
        <f>LEFT(Table1[[#This Row],[Target_product_quantity]], FIND("o", Table1[[#This Row],[Target_product_quantity]])-1)</f>
        <v>264</v>
      </c>
      <c r="G75" t="str" cm="1">
        <f t="array" ref="G75">_xlfn.TEXTJOIN("", TRUE, IF(ISNUMBER(SEARCH($K$1010:$K$1054, C75)), $K$1010:$K$1054, ""))</f>
        <v>Arizona</v>
      </c>
      <c r="H75" t="str">
        <f t="shared" si="5"/>
        <v>Beverages</v>
      </c>
      <c r="I75" t="str">
        <f t="shared" si="6"/>
        <v>Beverages</v>
      </c>
      <c r="J75">
        <v>61.99</v>
      </c>
      <c r="K75">
        <f>Table1[[#This Row],[Target_product_price]]/Table1[[#This Row],[product_price_per_oz]]</f>
        <v>0.23481060606060608</v>
      </c>
    </row>
    <row r="76" spans="1:11" x14ac:dyDescent="0.2">
      <c r="A76" t="s">
        <v>203</v>
      </c>
      <c r="B76" t="s">
        <v>204</v>
      </c>
      <c r="C76" t="s">
        <v>205</v>
      </c>
      <c r="D76" t="str">
        <f>SUBSTITUTE(Table1[[#This Row],[Target_product_name]], "oz", " oz")</f>
        <v>Arizona X Fallout Green Tea Variety Energy Drinks - 22 Fl Oz Can (Pack of 12)</v>
      </c>
      <c r="E76" t="s">
        <v>2639</v>
      </c>
      <c r="F76" t="str">
        <f>LEFT(Table1[[#This Row],[Target_product_quantity]], FIND("o", Table1[[#This Row],[Target_product_quantity]])-1)</f>
        <v>264</v>
      </c>
      <c r="G76" t="str" cm="1">
        <f t="array" ref="G76">_xlfn.TEXTJOIN("", TRUE, IF(ISNUMBER(SEARCH($K$1010:$K$1054, C76)), $K$1010:$K$1054, ""))</f>
        <v>Arizona</v>
      </c>
      <c r="H76" t="str">
        <f t="shared" si="5"/>
        <v>Beverages</v>
      </c>
      <c r="I76" t="str">
        <f t="shared" si="6"/>
        <v>Beverages</v>
      </c>
      <c r="J76">
        <v>64.989999999999995</v>
      </c>
      <c r="K76">
        <f>Table1[[#This Row],[Target_product_price]]/Table1[[#This Row],[product_price_per_oz]]</f>
        <v>0.24617424242424241</v>
      </c>
    </row>
    <row r="77" spans="1:11" x14ac:dyDescent="0.2">
      <c r="A77" t="s">
        <v>206</v>
      </c>
      <c r="B77" t="s">
        <v>207</v>
      </c>
      <c r="C77" t="s">
        <v>208</v>
      </c>
      <c r="D77" t="str">
        <f>SUBSTITUTE(Table1[[#This Row],[Target_product_name]], "oz", " oz")</f>
        <v>Arizona X Fallout Red Apple Green Tea Energy Drink - 22 Fl Oz Can (Pack of 12)</v>
      </c>
      <c r="E77" t="s">
        <v>2639</v>
      </c>
      <c r="F77" t="str">
        <f>LEFT(Table1[[#This Row],[Target_product_quantity]], FIND("o", Table1[[#This Row],[Target_product_quantity]])-1)</f>
        <v>264</v>
      </c>
      <c r="G77" t="str" cm="1">
        <f t="array" ref="G77">_xlfn.TEXTJOIN("", TRUE, IF(ISNUMBER(SEARCH($K$1010:$K$1054, C77)), $K$1010:$K$1054, ""))</f>
        <v>Arizona</v>
      </c>
      <c r="H77" t="str">
        <f t="shared" si="5"/>
        <v>Beverages</v>
      </c>
      <c r="I77" t="str">
        <f t="shared" si="6"/>
        <v>Beverages</v>
      </c>
      <c r="J77">
        <v>61.99</v>
      </c>
      <c r="K77">
        <f>Table1[[#This Row],[Target_product_price]]/Table1[[#This Row],[product_price_per_oz]]</f>
        <v>0.23481060606060608</v>
      </c>
    </row>
    <row r="78" spans="1:11" x14ac:dyDescent="0.2">
      <c r="A78" t="s">
        <v>209</v>
      </c>
      <c r="B78" t="s">
        <v>210</v>
      </c>
      <c r="C78" t="s">
        <v>211</v>
      </c>
      <c r="D78" t="str">
        <f>SUBSTITUTE(Table1[[#This Row],[Target_product_name]], "oz", " oz")</f>
        <v>Barilla Campanelle Pasta - 16 oz</v>
      </c>
      <c r="E78" t="str">
        <f t="shared" ref="E78:E105" si="7">TRIM(RIGHT(C78, LEN(C78) - FIND("-", C78)))</f>
        <v>16oz</v>
      </c>
      <c r="F78" t="str">
        <f>LEFT(Table1[[#This Row],[Target_product_quantity]], FIND("o", Table1[[#This Row],[Target_product_quantity]])-1)</f>
        <v>16</v>
      </c>
      <c r="G78" t="str" cm="1">
        <f t="array" ref="G78">_xlfn.TEXTJOIN("", TRUE, IF(ISNUMBER(SEARCH($K$1010:$K$1054, C78)), $K$1010:$K$1054, ""))</f>
        <v>Barilla</v>
      </c>
      <c r="H78" t="str">
        <f t="shared" si="5"/>
        <v>Pasta</v>
      </c>
      <c r="I78" t="str">
        <f t="shared" si="6"/>
        <v>Grain</v>
      </c>
      <c r="J78" s="4">
        <v>1.89</v>
      </c>
      <c r="K78">
        <f>Table1[[#This Row],[Target_product_price]]/Table1[[#This Row],[product_price_per_oz]]</f>
        <v>0.11812499999999999</v>
      </c>
    </row>
    <row r="79" spans="1:11" x14ac:dyDescent="0.2">
      <c r="A79" t="s">
        <v>212</v>
      </c>
      <c r="B79" t="s">
        <v>213</v>
      </c>
      <c r="C79" t="s">
        <v>214</v>
      </c>
      <c r="D79" t="str">
        <f>SUBSTITUTE(Table1[[#This Row],[Target_product_name]], "oz", " oz")</f>
        <v>Barilla Ditalini Pasta - 16 oz</v>
      </c>
      <c r="E79" t="str">
        <f t="shared" si="7"/>
        <v>16oz</v>
      </c>
      <c r="F79" t="str">
        <f>LEFT(Table1[[#This Row],[Target_product_quantity]], FIND("o", Table1[[#This Row],[Target_product_quantity]])-1)</f>
        <v>16</v>
      </c>
      <c r="G79" t="str" cm="1">
        <f t="array" ref="G79">_xlfn.TEXTJOIN("", TRUE, IF(ISNUMBER(SEARCH($K$1010:$K$1054, C79)), $K$1010:$K$1054, ""))</f>
        <v>Barilla</v>
      </c>
      <c r="H79" t="str">
        <f t="shared" si="5"/>
        <v>Pasta</v>
      </c>
      <c r="I79" t="str">
        <f t="shared" si="6"/>
        <v>Grain</v>
      </c>
      <c r="J79" s="4">
        <v>1.89</v>
      </c>
      <c r="K79">
        <f>Table1[[#This Row],[Target_product_price]]/Table1[[#This Row],[product_price_per_oz]]</f>
        <v>0.11812499999999999</v>
      </c>
    </row>
    <row r="80" spans="1:11" x14ac:dyDescent="0.2">
      <c r="A80" t="s">
        <v>215</v>
      </c>
      <c r="B80" t="s">
        <v>216</v>
      </c>
      <c r="C80" t="s">
        <v>217</v>
      </c>
      <c r="D80" t="str">
        <f>SUBSTITUTE(Table1[[#This Row],[Target_product_name]], "oz", " oz")</f>
        <v>Barilla Elbows Macaroni Pasta - 16 oz</v>
      </c>
      <c r="E80" t="str">
        <f t="shared" si="7"/>
        <v>16oz</v>
      </c>
      <c r="F80" t="str">
        <f>LEFT(Table1[[#This Row],[Target_product_quantity]], FIND("o", Table1[[#This Row],[Target_product_quantity]])-1)</f>
        <v>16</v>
      </c>
      <c r="G80" t="str" cm="1">
        <f t="array" ref="G80">_xlfn.TEXTJOIN("", TRUE, IF(ISNUMBER(SEARCH($K$1010:$K$1054, C80)), $K$1010:$K$1054, ""))</f>
        <v>Barilla</v>
      </c>
      <c r="H80" t="str">
        <f t="shared" si="5"/>
        <v>Pasta</v>
      </c>
      <c r="I80" t="str">
        <f t="shared" si="6"/>
        <v>Grain</v>
      </c>
      <c r="J80" s="4">
        <v>1.89</v>
      </c>
      <c r="K80">
        <f>Table1[[#This Row],[Target_product_price]]/Table1[[#This Row],[product_price_per_oz]]</f>
        <v>0.11812499999999999</v>
      </c>
    </row>
    <row r="81" spans="1:11" x14ac:dyDescent="0.2">
      <c r="A81" t="s">
        <v>218</v>
      </c>
      <c r="B81" t="s">
        <v>219</v>
      </c>
      <c r="C81" t="s">
        <v>220</v>
      </c>
      <c r="D81" t="str">
        <f>SUBSTITUTE(Table1[[#This Row],[Target_product_name]], "oz", " oz")</f>
        <v>Barilla Fettuccine Pasta - 16 oz</v>
      </c>
      <c r="E81" t="str">
        <f t="shared" si="7"/>
        <v>16oz</v>
      </c>
      <c r="F81" t="str">
        <f>LEFT(Table1[[#This Row],[Target_product_quantity]], FIND("o", Table1[[#This Row],[Target_product_quantity]])-1)</f>
        <v>16</v>
      </c>
      <c r="G81" t="str" cm="1">
        <f t="array" ref="G81">_xlfn.TEXTJOIN("", TRUE, IF(ISNUMBER(SEARCH($K$1010:$K$1054, C81)), $K$1010:$K$1054, ""))</f>
        <v>Barilla</v>
      </c>
      <c r="H81" t="str">
        <f t="shared" si="5"/>
        <v>Pasta</v>
      </c>
      <c r="I81" t="str">
        <f t="shared" si="6"/>
        <v>Grain</v>
      </c>
      <c r="J81" s="4">
        <v>1.89</v>
      </c>
      <c r="K81">
        <f>Table1[[#This Row],[Target_product_price]]/Table1[[#This Row],[product_price_per_oz]]</f>
        <v>0.11812499999999999</v>
      </c>
    </row>
    <row r="82" spans="1:11" x14ac:dyDescent="0.2">
      <c r="A82" t="s">
        <v>221</v>
      </c>
      <c r="B82" t="s">
        <v>222</v>
      </c>
      <c r="C82" t="s">
        <v>223</v>
      </c>
      <c r="D82" t="str">
        <f>SUBSTITUTE(Table1[[#This Row],[Target_product_name]], "oz", " oz")</f>
        <v>Barilla Gluten Free Elbows Pasta - 12 oz</v>
      </c>
      <c r="E82" t="str">
        <f t="shared" si="7"/>
        <v>12oz</v>
      </c>
      <c r="F82" t="str">
        <f>LEFT(Table1[[#This Row],[Target_product_quantity]], FIND("o", Table1[[#This Row],[Target_product_quantity]])-1)</f>
        <v>12</v>
      </c>
      <c r="G82" t="str" cm="1">
        <f t="array" ref="G82">_xlfn.TEXTJOIN("", TRUE, IF(ISNUMBER(SEARCH($K$1010:$K$1054, C82)), $K$1010:$K$1054, ""))</f>
        <v>Barilla</v>
      </c>
      <c r="H82" t="str">
        <f t="shared" si="5"/>
        <v>Pasta</v>
      </c>
      <c r="I82" t="str">
        <f t="shared" si="6"/>
        <v>Grain</v>
      </c>
      <c r="J82" s="4">
        <v>2.89</v>
      </c>
      <c r="K82">
        <f>Table1[[#This Row],[Target_product_price]]/Table1[[#This Row],[product_price_per_oz]]</f>
        <v>0.24083333333333334</v>
      </c>
    </row>
    <row r="83" spans="1:11" x14ac:dyDescent="0.2">
      <c r="A83" t="s">
        <v>224</v>
      </c>
      <c r="B83" t="s">
        <v>225</v>
      </c>
      <c r="C83" t="s">
        <v>226</v>
      </c>
      <c r="D83" t="str">
        <f>SUBSTITUTE(Table1[[#This Row],[Target_product_name]], "oz", " oz")</f>
        <v>Barilla Gluten Free Fettuccine Pasta - 12 oz</v>
      </c>
      <c r="E83" t="str">
        <f t="shared" si="7"/>
        <v>12oz</v>
      </c>
      <c r="F83" t="str">
        <f>LEFT(Table1[[#This Row],[Target_product_quantity]], FIND("o", Table1[[#This Row],[Target_product_quantity]])-1)</f>
        <v>12</v>
      </c>
      <c r="G83" t="str" cm="1">
        <f t="array" ref="G83">_xlfn.TEXTJOIN("", TRUE, IF(ISNUMBER(SEARCH($K$1010:$K$1054, C83)), $K$1010:$K$1054, ""))</f>
        <v>Barilla</v>
      </c>
      <c r="H83" t="str">
        <f t="shared" si="5"/>
        <v>Pasta</v>
      </c>
      <c r="I83" t="str">
        <f t="shared" si="6"/>
        <v>Grain</v>
      </c>
      <c r="J83" s="4">
        <v>3.49</v>
      </c>
      <c r="K83">
        <f>Table1[[#This Row],[Target_product_price]]/Table1[[#This Row],[product_price_per_oz]]</f>
        <v>0.29083333333333333</v>
      </c>
    </row>
    <row r="84" spans="1:11" x14ac:dyDescent="0.2">
      <c r="A84" t="s">
        <v>227</v>
      </c>
      <c r="B84" t="s">
        <v>228</v>
      </c>
      <c r="C84" t="s">
        <v>229</v>
      </c>
      <c r="D84" t="str">
        <f>SUBSTITUTE(Table1[[#This Row],[Target_product_name]], "oz", " oz")</f>
        <v>Barilla Gluten Free Oven Ready Lasagna Pasta - 10 oz</v>
      </c>
      <c r="E84" t="str">
        <f t="shared" si="7"/>
        <v>10oz</v>
      </c>
      <c r="F84" t="str">
        <f>LEFT(Table1[[#This Row],[Target_product_quantity]], FIND("o", Table1[[#This Row],[Target_product_quantity]])-1)</f>
        <v>10</v>
      </c>
      <c r="G84" t="str" cm="1">
        <f t="array" ref="G84">_xlfn.TEXTJOIN("", TRUE, IF(ISNUMBER(SEARCH($K$1010:$K$1054, C84)), $K$1010:$K$1054, ""))</f>
        <v>Barilla</v>
      </c>
      <c r="H84" t="str">
        <f t="shared" si="5"/>
        <v>Pasta</v>
      </c>
      <c r="I84" t="str">
        <f t="shared" si="6"/>
        <v>Grain</v>
      </c>
      <c r="J84" s="4">
        <v>4.1900000000000004</v>
      </c>
      <c r="K84">
        <f>Table1[[#This Row],[Target_product_price]]/Table1[[#This Row],[product_price_per_oz]]</f>
        <v>0.41900000000000004</v>
      </c>
    </row>
    <row r="85" spans="1:11" x14ac:dyDescent="0.2">
      <c r="A85" t="s">
        <v>230</v>
      </c>
      <c r="B85" t="s">
        <v>231</v>
      </c>
      <c r="C85" t="s">
        <v>232</v>
      </c>
      <c r="D85" t="str">
        <f>SUBSTITUTE(Table1[[#This Row],[Target_product_name]], "oz", " oz")</f>
        <v>Barilla Gluten Free Penne Pasta - 12 oz</v>
      </c>
      <c r="E85" t="str">
        <f t="shared" si="7"/>
        <v>12oz</v>
      </c>
      <c r="F85" t="str">
        <f>LEFT(Table1[[#This Row],[Target_product_quantity]], FIND("o", Table1[[#This Row],[Target_product_quantity]])-1)</f>
        <v>12</v>
      </c>
      <c r="G85" t="str" cm="1">
        <f t="array" ref="G85">_xlfn.TEXTJOIN("", TRUE, IF(ISNUMBER(SEARCH($K$1010:$K$1054, C85)), $K$1010:$K$1054, ""))</f>
        <v>Barilla</v>
      </c>
      <c r="H85" t="str">
        <f t="shared" si="5"/>
        <v>Pasta</v>
      </c>
      <c r="I85" t="str">
        <f t="shared" si="6"/>
        <v>Grain</v>
      </c>
      <c r="J85" s="4">
        <v>2.79</v>
      </c>
      <c r="K85">
        <f>Table1[[#This Row],[Target_product_price]]/Table1[[#This Row],[product_price_per_oz]]</f>
        <v>0.23250000000000001</v>
      </c>
    </row>
    <row r="86" spans="1:11" x14ac:dyDescent="0.2">
      <c r="A86" t="s">
        <v>233</v>
      </c>
      <c r="B86" t="s">
        <v>234</v>
      </c>
      <c r="C86" t="s">
        <v>235</v>
      </c>
      <c r="D86" t="str">
        <f>SUBSTITUTE(Table1[[#This Row],[Target_product_name]], "oz", " oz")</f>
        <v>Barilla Gluten Free Spaghetti Pasta - 12 oz</v>
      </c>
      <c r="E86" t="str">
        <f t="shared" si="7"/>
        <v>12oz</v>
      </c>
      <c r="F86" t="str">
        <f>LEFT(Table1[[#This Row],[Target_product_quantity]], FIND("o", Table1[[#This Row],[Target_product_quantity]])-1)</f>
        <v>12</v>
      </c>
      <c r="G86" t="str" cm="1">
        <f t="array" ref="G86">_xlfn.TEXTJOIN("", TRUE, IF(ISNUMBER(SEARCH($K$1010:$K$1054, C86)), $K$1010:$K$1054, ""))</f>
        <v>Barilla</v>
      </c>
      <c r="H86" t="str">
        <f t="shared" si="5"/>
        <v>Pasta</v>
      </c>
      <c r="I86" t="str">
        <f t="shared" si="6"/>
        <v>Grain</v>
      </c>
      <c r="J86" s="4">
        <v>2.99</v>
      </c>
      <c r="K86">
        <f>Table1[[#This Row],[Target_product_price]]/Table1[[#This Row],[product_price_per_oz]]</f>
        <v>0.24916666666666668</v>
      </c>
    </row>
    <row r="87" spans="1:11" x14ac:dyDescent="0.2">
      <c r="A87" t="s">
        <v>236</v>
      </c>
      <c r="B87" t="s">
        <v>237</v>
      </c>
      <c r="C87" t="s">
        <v>238</v>
      </c>
      <c r="D87" t="str">
        <f>SUBSTITUTE(Table1[[#This Row],[Target_product_name]], "oz", " oz")</f>
        <v>Barilla Medium Shells Pasta - 16 oz</v>
      </c>
      <c r="E87" t="str">
        <f t="shared" si="7"/>
        <v>16oz</v>
      </c>
      <c r="F87" t="str">
        <f>LEFT(Table1[[#This Row],[Target_product_quantity]], FIND("o", Table1[[#This Row],[Target_product_quantity]])-1)</f>
        <v>16</v>
      </c>
      <c r="G87" t="str" cm="1">
        <f t="array" ref="G87">_xlfn.TEXTJOIN("", TRUE, IF(ISNUMBER(SEARCH($K$1010:$K$1054, C87)), $K$1010:$K$1054, ""))</f>
        <v>Barilla</v>
      </c>
      <c r="H87" t="str">
        <f t="shared" si="5"/>
        <v>Pasta</v>
      </c>
      <c r="I87" t="str">
        <f t="shared" si="6"/>
        <v>Grain</v>
      </c>
      <c r="J87" s="4">
        <v>1.89</v>
      </c>
      <c r="K87">
        <f>Table1[[#This Row],[Target_product_price]]/Table1[[#This Row],[product_price_per_oz]]</f>
        <v>0.11812499999999999</v>
      </c>
    </row>
    <row r="88" spans="1:11" x14ac:dyDescent="0.2">
      <c r="A88" t="s">
        <v>239</v>
      </c>
      <c r="B88" t="s">
        <v>240</v>
      </c>
      <c r="C88" t="s">
        <v>241</v>
      </c>
      <c r="D88" t="str">
        <f>SUBSTITUTE(Table1[[#This Row],[Target_product_name]], "oz", " oz")</f>
        <v>Barilla Oven Ready Lasagna Pasta - 9 oz</v>
      </c>
      <c r="E88" t="str">
        <f t="shared" si="7"/>
        <v>9oz</v>
      </c>
      <c r="F88" t="str">
        <f>LEFT(Table1[[#This Row],[Target_product_quantity]], FIND("o", Table1[[#This Row],[Target_product_quantity]])-1)</f>
        <v>9</v>
      </c>
      <c r="G88" t="str" cm="1">
        <f t="array" ref="G88">_xlfn.TEXTJOIN("", TRUE, IF(ISNUMBER(SEARCH($K$1010:$K$1054, C88)), $K$1010:$K$1054, ""))</f>
        <v>Barilla</v>
      </c>
      <c r="H88" t="str">
        <f t="shared" si="5"/>
        <v>Pasta</v>
      </c>
      <c r="I88" t="str">
        <f t="shared" si="6"/>
        <v>Grain</v>
      </c>
      <c r="J88" s="4">
        <v>3.29</v>
      </c>
      <c r="K88">
        <f>Table1[[#This Row],[Target_product_price]]/Table1[[#This Row],[product_price_per_oz]]</f>
        <v>0.36555555555555558</v>
      </c>
    </row>
    <row r="89" spans="1:11" x14ac:dyDescent="0.2">
      <c r="A89" t="s">
        <v>242</v>
      </c>
      <c r="B89" t="s">
        <v>243</v>
      </c>
      <c r="C89" t="s">
        <v>244</v>
      </c>
      <c r="D89" t="str">
        <f>SUBSTITUTE(Table1[[#This Row],[Target_product_name]], "oz", " oz")</f>
        <v>Barilla Penne &amp; Spaghetti Variety Pack - 128 oz/8pk</v>
      </c>
      <c r="E89" t="s">
        <v>3000</v>
      </c>
      <c r="F89" t="str">
        <f>LEFT(Table1[[#This Row],[Target_product_quantity]], FIND("o", Table1[[#This Row],[Target_product_quantity]])-1)</f>
        <v>1024</v>
      </c>
      <c r="G89" t="str" cm="1">
        <f t="array" ref="G89">_xlfn.TEXTJOIN("", TRUE, IF(ISNUMBER(SEARCH($K$1010:$K$1054, C89)), $K$1010:$K$1054, ""))</f>
        <v>Barilla</v>
      </c>
      <c r="H89" t="str">
        <f t="shared" si="5"/>
        <v>Pasta</v>
      </c>
      <c r="I89" t="str">
        <f t="shared" si="6"/>
        <v>Grain</v>
      </c>
      <c r="J89" s="4">
        <v>15.99</v>
      </c>
      <c r="K89">
        <f>Table1[[#This Row],[Target_product_price]]/Table1[[#This Row],[product_price_per_oz]]</f>
        <v>1.5615234375E-2</v>
      </c>
    </row>
    <row r="90" spans="1:11" x14ac:dyDescent="0.2">
      <c r="A90" t="s">
        <v>245</v>
      </c>
      <c r="B90" t="s">
        <v>246</v>
      </c>
      <c r="C90" t="s">
        <v>247</v>
      </c>
      <c r="D90" t="str">
        <f>SUBSTITUTE(Table1[[#This Row],[Target_product_name]], "oz", " oz")</f>
        <v>Barilla Penne Pasta - 16 oz</v>
      </c>
      <c r="E90" t="str">
        <f t="shared" si="7"/>
        <v>16oz</v>
      </c>
      <c r="F90" t="str">
        <f>LEFT(Table1[[#This Row],[Target_product_quantity]], FIND("o", Table1[[#This Row],[Target_product_quantity]])-1)</f>
        <v>16</v>
      </c>
      <c r="G90" t="str" cm="1">
        <f t="array" ref="G90">_xlfn.TEXTJOIN("", TRUE, IF(ISNUMBER(SEARCH($K$1010:$K$1054, C90)), $K$1010:$K$1054, ""))</f>
        <v>Barilla</v>
      </c>
      <c r="H90" t="str">
        <f t="shared" si="5"/>
        <v>Pasta</v>
      </c>
      <c r="I90" t="str">
        <f t="shared" si="6"/>
        <v>Grain</v>
      </c>
      <c r="J90" s="4">
        <v>1.89</v>
      </c>
      <c r="K90">
        <f>Table1[[#This Row],[Target_product_price]]/Table1[[#This Row],[product_price_per_oz]]</f>
        <v>0.11812499999999999</v>
      </c>
    </row>
    <row r="91" spans="1:11" x14ac:dyDescent="0.2">
      <c r="A91" t="s">
        <v>248</v>
      </c>
      <c r="B91" t="s">
        <v>249</v>
      </c>
      <c r="C91" t="s">
        <v>250</v>
      </c>
      <c r="D91" t="str">
        <f>SUBSTITUTE(Table1[[#This Row],[Target_product_name]], "oz", " oz")</f>
        <v>Barilla Protein+ Multigrain Cellentani Pasta - 14.5 oz</v>
      </c>
      <c r="E91" t="str">
        <f t="shared" si="7"/>
        <v>14.5oz</v>
      </c>
      <c r="F91" t="str">
        <f>LEFT(Table1[[#This Row],[Target_product_quantity]], FIND("o", Table1[[#This Row],[Target_product_quantity]])-1)</f>
        <v>14.5</v>
      </c>
      <c r="G91" t="str" cm="1">
        <f t="array" ref="G91">_xlfn.TEXTJOIN("", TRUE, IF(ISNUMBER(SEARCH($K$1010:$K$1054, C91)), $K$1010:$K$1054, ""))</f>
        <v>Barilla</v>
      </c>
      <c r="H91" t="str">
        <f t="shared" si="5"/>
        <v>Pasta</v>
      </c>
      <c r="I91" t="str">
        <f t="shared" si="6"/>
        <v>Grain</v>
      </c>
      <c r="J91" s="4">
        <v>2.69</v>
      </c>
      <c r="K91">
        <f>Table1[[#This Row],[Target_product_price]]/Table1[[#This Row],[product_price_per_oz]]</f>
        <v>0.18551724137931033</v>
      </c>
    </row>
    <row r="92" spans="1:11" x14ac:dyDescent="0.2">
      <c r="A92" t="s">
        <v>251</v>
      </c>
      <c r="B92" t="s">
        <v>252</v>
      </c>
      <c r="C92" t="s">
        <v>253</v>
      </c>
      <c r="D92" t="str">
        <f>SUBSTITUTE(Table1[[#This Row],[Target_product_name]], "oz", " oz")</f>
        <v>Barilla ProteinPLUS Multigrain Penne Pasta - 14.5 oz</v>
      </c>
      <c r="E92" t="str">
        <f t="shared" si="7"/>
        <v>14.5oz</v>
      </c>
      <c r="F92" t="str">
        <f>LEFT(Table1[[#This Row],[Target_product_quantity]], FIND("o", Table1[[#This Row],[Target_product_quantity]])-1)</f>
        <v>14.5</v>
      </c>
      <c r="G92" t="str" cm="1">
        <f t="array" ref="G92">_xlfn.TEXTJOIN("", TRUE, IF(ISNUMBER(SEARCH($K$1010:$K$1054, C92)), $K$1010:$K$1054, ""))</f>
        <v>Barilla</v>
      </c>
      <c r="H92" t="str">
        <f t="shared" si="5"/>
        <v>Pasta</v>
      </c>
      <c r="I92" t="str">
        <f t="shared" si="6"/>
        <v>Grain</v>
      </c>
      <c r="J92" s="4">
        <v>2.79</v>
      </c>
      <c r="K92">
        <f>Table1[[#This Row],[Target_product_price]]/Table1[[#This Row],[product_price_per_oz]]</f>
        <v>0.19241379310344828</v>
      </c>
    </row>
    <row r="93" spans="1:11" x14ac:dyDescent="0.2">
      <c r="A93" t="s">
        <v>254</v>
      </c>
      <c r="B93" t="s">
        <v>255</v>
      </c>
      <c r="C93" t="s">
        <v>256</v>
      </c>
      <c r="D93" t="str">
        <f>SUBSTITUTE(Table1[[#This Row],[Target_product_name]], "oz", " oz")</f>
        <v>Barilla ProteinPLUS Multigrain Spaghetti Pasta - 14.5 oz</v>
      </c>
      <c r="E93" t="str">
        <f t="shared" si="7"/>
        <v>14.5oz</v>
      </c>
      <c r="F93" t="str">
        <f>LEFT(Table1[[#This Row],[Target_product_quantity]], FIND("o", Table1[[#This Row],[Target_product_quantity]])-1)</f>
        <v>14.5</v>
      </c>
      <c r="G93" t="str" cm="1">
        <f t="array" ref="G93">_xlfn.TEXTJOIN("", TRUE, IF(ISNUMBER(SEARCH($K$1010:$K$1054, C93)), $K$1010:$K$1054, ""))</f>
        <v>Barilla</v>
      </c>
      <c r="H93" t="str">
        <f t="shared" si="5"/>
        <v>Pasta</v>
      </c>
      <c r="I93" t="str">
        <f t="shared" si="6"/>
        <v>Grain</v>
      </c>
      <c r="J93" s="4">
        <v>2.79</v>
      </c>
      <c r="K93">
        <f>Table1[[#This Row],[Target_product_price]]/Table1[[#This Row],[product_price_per_oz]]</f>
        <v>0.19241379310344828</v>
      </c>
    </row>
    <row r="94" spans="1:11" x14ac:dyDescent="0.2">
      <c r="A94" t="s">
        <v>257</v>
      </c>
      <c r="B94" t="s">
        <v>258</v>
      </c>
      <c r="C94" t="s">
        <v>259</v>
      </c>
      <c r="D94" t="str">
        <f>SUBSTITUTE(Table1[[#This Row],[Target_product_name]], "oz", " oz")</f>
        <v>Barilla Ready Pasta Penne - 7 oz</v>
      </c>
      <c r="E94" t="str">
        <f t="shared" si="7"/>
        <v>7oz</v>
      </c>
      <c r="F94" t="str">
        <f>LEFT(Table1[[#This Row],[Target_product_quantity]], FIND("o", Table1[[#This Row],[Target_product_quantity]])-1)</f>
        <v>7</v>
      </c>
      <c r="G94" t="str" cm="1">
        <f t="array" ref="G94">_xlfn.TEXTJOIN("", TRUE, IF(ISNUMBER(SEARCH($K$1010:$K$1054, C94)), $K$1010:$K$1054, ""))</f>
        <v>Barilla</v>
      </c>
      <c r="H94" t="str">
        <f t="shared" si="5"/>
        <v>Pasta</v>
      </c>
      <c r="I94" t="str">
        <f t="shared" si="6"/>
        <v>Grain</v>
      </c>
      <c r="J94" s="4">
        <v>2.29</v>
      </c>
      <c r="K94">
        <f>Table1[[#This Row],[Target_product_price]]/Table1[[#This Row],[product_price_per_oz]]</f>
        <v>0.32714285714285712</v>
      </c>
    </row>
    <row r="95" spans="1:11" x14ac:dyDescent="0.2">
      <c r="A95" t="s">
        <v>260</v>
      </c>
      <c r="B95" t="s">
        <v>261</v>
      </c>
      <c r="C95" t="s">
        <v>262</v>
      </c>
      <c r="D95" t="str">
        <f>SUBSTITUTE(Table1[[#This Row],[Target_product_name]], "oz", " oz")</f>
        <v>Barilla Ready Pasta Rotini - 7 oz</v>
      </c>
      <c r="E95" t="str">
        <f t="shared" si="7"/>
        <v>7oz</v>
      </c>
      <c r="F95" t="str">
        <f>LEFT(Table1[[#This Row],[Target_product_quantity]], FIND("o", Table1[[#This Row],[Target_product_quantity]])-1)</f>
        <v>7</v>
      </c>
      <c r="G95" t="str" cm="1">
        <f t="array" ref="G95">_xlfn.TEXTJOIN("", TRUE, IF(ISNUMBER(SEARCH($K$1010:$K$1054, C95)), $K$1010:$K$1054, ""))</f>
        <v>Barilla</v>
      </c>
      <c r="H95" t="str">
        <f t="shared" si="5"/>
        <v>Pasta</v>
      </c>
      <c r="I95" t="str">
        <f t="shared" si="6"/>
        <v>Grain</v>
      </c>
      <c r="J95" s="4">
        <v>2.29</v>
      </c>
      <c r="K95">
        <f>Table1[[#This Row],[Target_product_price]]/Table1[[#This Row],[product_price_per_oz]]</f>
        <v>0.32714285714285712</v>
      </c>
    </row>
    <row r="96" spans="1:11" x14ac:dyDescent="0.2">
      <c r="A96" t="s">
        <v>263</v>
      </c>
      <c r="B96" t="s">
        <v>264</v>
      </c>
      <c r="C96" t="s">
        <v>265</v>
      </c>
      <c r="D96" t="str">
        <f>SUBSTITUTE(Table1[[#This Row],[Target_product_name]], "oz", " oz")</f>
        <v>Barilla Rigatoni Pasta - 16 oz</v>
      </c>
      <c r="E96" t="str">
        <f t="shared" si="7"/>
        <v>16oz</v>
      </c>
      <c r="F96" t="str">
        <f>LEFT(Table1[[#This Row],[Target_product_quantity]], FIND("o", Table1[[#This Row],[Target_product_quantity]])-1)</f>
        <v>16</v>
      </c>
      <c r="G96" t="str" cm="1">
        <f t="array" ref="G96">_xlfn.TEXTJOIN("", TRUE, IF(ISNUMBER(SEARCH($K$1010:$K$1054, C96)), $K$1010:$K$1054, ""))</f>
        <v>Barilla</v>
      </c>
      <c r="H96" t="str">
        <f t="shared" si="5"/>
        <v>Pasta</v>
      </c>
      <c r="I96" t="str">
        <f t="shared" si="6"/>
        <v>Grain</v>
      </c>
      <c r="J96" s="4">
        <v>1.89</v>
      </c>
      <c r="K96">
        <f>Table1[[#This Row],[Target_product_price]]/Table1[[#This Row],[product_price_per_oz]]</f>
        <v>0.11812499999999999</v>
      </c>
    </row>
    <row r="97" spans="1:11" x14ac:dyDescent="0.2">
      <c r="A97" t="s">
        <v>266</v>
      </c>
      <c r="B97" t="s">
        <v>267</v>
      </c>
      <c r="C97" t="s">
        <v>268</v>
      </c>
      <c r="D97" t="str">
        <f>SUBSTITUTE(Table1[[#This Row],[Target_product_name]], "oz", " oz")</f>
        <v>Barilla Rotini Pasta - 16 oz</v>
      </c>
      <c r="E97" t="str">
        <f t="shared" si="7"/>
        <v>16oz</v>
      </c>
      <c r="F97" t="str">
        <f>LEFT(Table1[[#This Row],[Target_product_quantity]], FIND("o", Table1[[#This Row],[Target_product_quantity]])-1)</f>
        <v>16</v>
      </c>
      <c r="G97" t="str" cm="1">
        <f t="array" ref="G97">_xlfn.TEXTJOIN("", TRUE, IF(ISNUMBER(SEARCH($K$1010:$K$1054, C97)), $K$1010:$K$1054, ""))</f>
        <v>Barilla</v>
      </c>
      <c r="H97" t="str">
        <f t="shared" si="5"/>
        <v>Pasta</v>
      </c>
      <c r="I97" t="str">
        <f t="shared" si="6"/>
        <v>Grain</v>
      </c>
      <c r="J97" s="4">
        <v>1.89</v>
      </c>
      <c r="K97">
        <f>Table1[[#This Row],[Target_product_price]]/Table1[[#This Row],[product_price_per_oz]]</f>
        <v>0.11812499999999999</v>
      </c>
    </row>
    <row r="98" spans="1:11" x14ac:dyDescent="0.2">
      <c r="A98" t="s">
        <v>269</v>
      </c>
      <c r="B98" t="s">
        <v>270</v>
      </c>
      <c r="C98" t="s">
        <v>271</v>
      </c>
      <c r="D98" t="str">
        <f>SUBSTITUTE(Table1[[#This Row],[Target_product_name]], "oz", " oz")</f>
        <v>Barilla Spaghetti Pasta  - 16 oz</v>
      </c>
      <c r="E98" t="str">
        <f t="shared" si="7"/>
        <v>16oz</v>
      </c>
      <c r="F98" t="str">
        <f>LEFT(Table1[[#This Row],[Target_product_quantity]], FIND("o", Table1[[#This Row],[Target_product_quantity]])-1)</f>
        <v>16</v>
      </c>
      <c r="G98" t="str" cm="1">
        <f t="array" ref="G98">_xlfn.TEXTJOIN("", TRUE, IF(ISNUMBER(SEARCH($K$1010:$K$1054, C98)), $K$1010:$K$1054, ""))</f>
        <v>Barilla</v>
      </c>
      <c r="H98" t="str">
        <f t="shared" si="5"/>
        <v>Pasta</v>
      </c>
      <c r="I98" t="str">
        <f t="shared" si="6"/>
        <v>Grain</v>
      </c>
      <c r="J98" s="4">
        <v>1.89</v>
      </c>
      <c r="K98">
        <f>Table1[[#This Row],[Target_product_price]]/Table1[[#This Row],[product_price_per_oz]]</f>
        <v>0.11812499999999999</v>
      </c>
    </row>
    <row r="99" spans="1:11" x14ac:dyDescent="0.2">
      <c r="A99" t="s">
        <v>272</v>
      </c>
      <c r="B99" t="s">
        <v>273</v>
      </c>
      <c r="C99" t="s">
        <v>274</v>
      </c>
      <c r="D99" t="str">
        <f>SUBSTITUTE(Table1[[#This Row],[Target_product_name]], "oz", " oz")</f>
        <v>Barilla Thin Spaghetti Pasta - 16 oz</v>
      </c>
      <c r="E99" t="str">
        <f t="shared" si="7"/>
        <v>16oz</v>
      </c>
      <c r="F99" t="str">
        <f>LEFT(Table1[[#This Row],[Target_product_quantity]], FIND("o", Table1[[#This Row],[Target_product_quantity]])-1)</f>
        <v>16</v>
      </c>
      <c r="G99" t="str" cm="1">
        <f t="array" ref="G99">_xlfn.TEXTJOIN("", TRUE, IF(ISNUMBER(SEARCH($K$1010:$K$1054, C99)), $K$1010:$K$1054, ""))</f>
        <v>Barilla</v>
      </c>
      <c r="H99" t="str">
        <f t="shared" si="5"/>
        <v>Pasta</v>
      </c>
      <c r="I99" t="str">
        <f t="shared" si="6"/>
        <v>Grain</v>
      </c>
      <c r="J99" s="4">
        <v>1.89</v>
      </c>
      <c r="K99">
        <f>Table1[[#This Row],[Target_product_price]]/Table1[[#This Row],[product_price_per_oz]]</f>
        <v>0.11812499999999999</v>
      </c>
    </row>
    <row r="100" spans="1:11" x14ac:dyDescent="0.2">
      <c r="A100" t="s">
        <v>275</v>
      </c>
      <c r="B100" t="s">
        <v>276</v>
      </c>
      <c r="C100" t="s">
        <v>277</v>
      </c>
      <c r="D100" t="str">
        <f>SUBSTITUTE(Table1[[#This Row],[Target_product_name]], "oz", " oz")</f>
        <v>Barilla Wavy Lasagna Pasta - 16 oz</v>
      </c>
      <c r="E100" t="str">
        <f t="shared" si="7"/>
        <v>16oz</v>
      </c>
      <c r="F100" t="str">
        <f>LEFT(Table1[[#This Row],[Target_product_quantity]], FIND("o", Table1[[#This Row],[Target_product_quantity]])-1)</f>
        <v>16</v>
      </c>
      <c r="G100" t="str" cm="1">
        <f t="array" ref="G100">_xlfn.TEXTJOIN("", TRUE, IF(ISNUMBER(SEARCH($K$1010:$K$1054, C100)), $K$1010:$K$1054, ""))</f>
        <v>Barilla</v>
      </c>
      <c r="H100" t="str">
        <f t="shared" si="5"/>
        <v>Pasta</v>
      </c>
      <c r="I100" t="str">
        <f t="shared" si="6"/>
        <v>Grain</v>
      </c>
      <c r="J100" s="4">
        <v>3.29</v>
      </c>
      <c r="K100">
        <f>Table1[[#This Row],[Target_product_price]]/Table1[[#This Row],[product_price_per_oz]]</f>
        <v>0.205625</v>
      </c>
    </row>
    <row r="101" spans="1:11" x14ac:dyDescent="0.2">
      <c r="A101" t="s">
        <v>278</v>
      </c>
      <c r="B101" t="s">
        <v>279</v>
      </c>
      <c r="C101" t="s">
        <v>280</v>
      </c>
      <c r="D101" t="str">
        <f>SUBSTITUTE(Table1[[#This Row],[Target_product_name]], "oz", " oz")</f>
        <v>BelGioioso Burrata Cheese - 8 oz</v>
      </c>
      <c r="E101" t="str">
        <f t="shared" si="7"/>
        <v>8oz</v>
      </c>
      <c r="F101" t="str">
        <f>LEFT(Table1[[#This Row],[Target_product_quantity]], FIND("o", Table1[[#This Row],[Target_product_quantity]])-1)</f>
        <v>8</v>
      </c>
      <c r="G101" t="str" cm="1">
        <f t="array" ref="G101">_xlfn.TEXTJOIN("", TRUE, IF(ISNUMBER(SEARCH($K$1010:$K$1054, C101)), $K$1010:$K$1054, ""))</f>
        <v>BelGioioso</v>
      </c>
      <c r="H101" t="str">
        <f t="shared" si="5"/>
        <v>Cheese</v>
      </c>
      <c r="I101" t="str">
        <f t="shared" si="6"/>
        <v>Dairy</v>
      </c>
      <c r="J101" s="4">
        <v>5.49</v>
      </c>
      <c r="K101">
        <f>Table1[[#This Row],[Target_product_price]]/Table1[[#This Row],[product_price_per_oz]]</f>
        <v>0.68625000000000003</v>
      </c>
    </row>
    <row r="102" spans="1:11" x14ac:dyDescent="0.2">
      <c r="A102" t="s">
        <v>281</v>
      </c>
      <c r="B102" t="s">
        <v>282</v>
      </c>
      <c r="C102" t="s">
        <v>283</v>
      </c>
      <c r="D102" t="str">
        <f>SUBSTITUTE(Table1[[#This Row],[Target_product_name]], "oz", " oz")</f>
        <v>BelGioioso Fresh M ozzarella All Natural Cheese - 8 oz</v>
      </c>
      <c r="E102" t="str">
        <f t="shared" si="7"/>
        <v>8oz</v>
      </c>
      <c r="F102" t="str">
        <f>LEFT(Table1[[#This Row],[Target_product_quantity]], FIND("o", Table1[[#This Row],[Target_product_quantity]])-1)</f>
        <v>8</v>
      </c>
      <c r="G102" t="str" cm="1">
        <f t="array" ref="G102">_xlfn.TEXTJOIN("", TRUE, IF(ISNUMBER(SEARCH($K$1010:$K$1054, C102)), $K$1010:$K$1054, ""))</f>
        <v>BelGioioso</v>
      </c>
      <c r="H102" t="str">
        <f t="shared" si="5"/>
        <v>Cheese</v>
      </c>
      <c r="I102" t="str">
        <f t="shared" si="6"/>
        <v>Dairy</v>
      </c>
      <c r="J102" s="4">
        <v>4.3899999999999997</v>
      </c>
      <c r="K102">
        <f>Table1[[#This Row],[Target_product_price]]/Table1[[#This Row],[product_price_per_oz]]</f>
        <v>0.54874999999999996</v>
      </c>
    </row>
    <row r="103" spans="1:11" x14ac:dyDescent="0.2">
      <c r="A103" t="s">
        <v>284</v>
      </c>
      <c r="B103" t="s">
        <v>285</v>
      </c>
      <c r="C103" t="s">
        <v>286</v>
      </c>
      <c r="D103" t="str">
        <f>SUBSTITUTE(Table1[[#This Row],[Target_product_name]], "oz", " oz")</f>
        <v>BelGioioso Fresh M ozzarella Cheese Prosciutto &amp; Basil Roll - 8 oz</v>
      </c>
      <c r="E103" t="str">
        <f t="shared" si="7"/>
        <v>8oz</v>
      </c>
      <c r="F103" t="str">
        <f>LEFT(Table1[[#This Row],[Target_product_quantity]], FIND("o", Table1[[#This Row],[Target_product_quantity]])-1)</f>
        <v>8</v>
      </c>
      <c r="G103" t="str" cm="1">
        <f t="array" ref="G103">_xlfn.TEXTJOIN("", TRUE, IF(ISNUMBER(SEARCH($K$1010:$K$1054, C103)), $K$1010:$K$1054, ""))</f>
        <v>BelGioioso</v>
      </c>
      <c r="H103" t="str">
        <f t="shared" si="5"/>
        <v>Cheese</v>
      </c>
      <c r="I103" t="str">
        <f t="shared" si="6"/>
        <v>Dairy</v>
      </c>
      <c r="J103" s="4">
        <v>5.99</v>
      </c>
      <c r="K103">
        <f>Table1[[#This Row],[Target_product_price]]/Table1[[#This Row],[product_price_per_oz]]</f>
        <v>0.74875000000000003</v>
      </c>
    </row>
    <row r="104" spans="1:11" x14ac:dyDescent="0.2">
      <c r="A104" t="s">
        <v>287</v>
      </c>
      <c r="B104" t="s">
        <v>288</v>
      </c>
      <c r="C104" t="s">
        <v>289</v>
      </c>
      <c r="D104" t="str">
        <f>SUBSTITUTE(Table1[[#This Row],[Target_product_name]], "oz", " oz")</f>
        <v>BelGioioso Fresh M ozzarella Cheese Sliced Log - 16 oz</v>
      </c>
      <c r="E104" t="str">
        <f t="shared" si="7"/>
        <v>16oz</v>
      </c>
      <c r="F104" t="str">
        <f>LEFT(Table1[[#This Row],[Target_product_quantity]], FIND("o", Table1[[#This Row],[Target_product_quantity]])-1)</f>
        <v>16</v>
      </c>
      <c r="G104" t="str" cm="1">
        <f t="array" ref="G104">_xlfn.TEXTJOIN("", TRUE, IF(ISNUMBER(SEARCH($K$1010:$K$1054, C104)), $K$1010:$K$1054, ""))</f>
        <v>BelGioioso</v>
      </c>
      <c r="H104" t="str">
        <f t="shared" si="5"/>
        <v>Cheese</v>
      </c>
      <c r="I104" t="str">
        <f t="shared" si="6"/>
        <v>Dairy</v>
      </c>
      <c r="J104" s="4">
        <v>8.49</v>
      </c>
      <c r="K104">
        <f>Table1[[#This Row],[Target_product_price]]/Table1[[#This Row],[product_price_per_oz]]</f>
        <v>0.53062500000000001</v>
      </c>
    </row>
    <row r="105" spans="1:11" x14ac:dyDescent="0.2">
      <c r="A105" t="s">
        <v>290</v>
      </c>
      <c r="B105" t="s">
        <v>291</v>
      </c>
      <c r="C105" t="s">
        <v>292</v>
      </c>
      <c r="D105" t="str">
        <f>SUBSTITUTE(Table1[[#This Row],[Target_product_name]], "oz", " oz")</f>
        <v>BelGioioso Fresh M ozzarella Ciliegine Cheese - 8 oz</v>
      </c>
      <c r="E105" t="str">
        <f t="shared" si="7"/>
        <v>8oz</v>
      </c>
      <c r="F105" t="str">
        <f>LEFT(Table1[[#This Row],[Target_product_quantity]], FIND("o", Table1[[#This Row],[Target_product_quantity]])-1)</f>
        <v>8</v>
      </c>
      <c r="G105" t="str" cm="1">
        <f t="array" ref="G105">_xlfn.TEXTJOIN("", TRUE, IF(ISNUMBER(SEARCH($K$1010:$K$1054, C105)), $K$1010:$K$1054, ""))</f>
        <v>BelGioioso</v>
      </c>
      <c r="H105" t="str">
        <f t="shared" si="5"/>
        <v>Cheese</v>
      </c>
      <c r="I105" t="str">
        <f t="shared" si="6"/>
        <v>Dairy</v>
      </c>
      <c r="J105" s="4">
        <v>4.79</v>
      </c>
      <c r="K105">
        <f>Table1[[#This Row],[Target_product_price]]/Table1[[#This Row],[product_price_per_oz]]</f>
        <v>0.59875</v>
      </c>
    </row>
    <row r="106" spans="1:11" x14ac:dyDescent="0.2">
      <c r="A106" t="s">
        <v>293</v>
      </c>
      <c r="B106" t="s">
        <v>294</v>
      </c>
      <c r="C106" t="s">
        <v>295</v>
      </c>
      <c r="D106" t="str">
        <f>SUBSTITUTE(Table1[[#This Row],[Target_product_name]], "oz", " oz")</f>
        <v>BelGioioso Fresh M ozzarella Pearl Cheese - 8 oz</v>
      </c>
      <c r="E106" t="str">
        <f t="shared" ref="E106:E129" si="8">TRIM(RIGHT(C106, LEN(C106) - FIND("-", C106)))</f>
        <v>8oz</v>
      </c>
      <c r="F106" t="str">
        <f>LEFT(Table1[[#This Row],[Target_product_quantity]], FIND("o", Table1[[#This Row],[Target_product_quantity]])-1)</f>
        <v>8</v>
      </c>
      <c r="G106" t="str" cm="1">
        <f t="array" ref="G106">_xlfn.TEXTJOIN("", TRUE, IF(ISNUMBER(SEARCH($K$1010:$K$1054, C106)), $K$1010:$K$1054, ""))</f>
        <v>BelGioioso</v>
      </c>
      <c r="H106" t="str">
        <f t="shared" si="5"/>
        <v>Cheese</v>
      </c>
      <c r="I106" t="str">
        <f t="shared" si="6"/>
        <v>Dairy</v>
      </c>
      <c r="J106" s="4">
        <v>4.3899999999999997</v>
      </c>
      <c r="K106">
        <f>Table1[[#This Row],[Target_product_price]]/Table1[[#This Row],[product_price_per_oz]]</f>
        <v>0.54874999999999996</v>
      </c>
    </row>
    <row r="107" spans="1:11" x14ac:dyDescent="0.2">
      <c r="A107" t="s">
        <v>296</v>
      </c>
      <c r="B107" t="s">
        <v>297</v>
      </c>
      <c r="C107" t="s">
        <v>298</v>
      </c>
      <c r="D107" t="str">
        <f>SUBSTITUTE(Table1[[#This Row],[Target_product_name]], "oz", " oz")</f>
        <v>BelGioioso Fresh M ozzarella Sliced Cheese - 8 oz</v>
      </c>
      <c r="E107" t="str">
        <f t="shared" si="8"/>
        <v>8oz</v>
      </c>
      <c r="F107" t="str">
        <f>LEFT(Table1[[#This Row],[Target_product_quantity]], FIND("o", Table1[[#This Row],[Target_product_quantity]])-1)</f>
        <v>8</v>
      </c>
      <c r="G107" t="str" cm="1">
        <f t="array" ref="G107">_xlfn.TEXTJOIN("", TRUE, IF(ISNUMBER(SEARCH($K$1010:$K$1054, C107)), $K$1010:$K$1054, ""))</f>
        <v>BelGioioso</v>
      </c>
      <c r="H107" t="str">
        <f t="shared" si="5"/>
        <v>Cheese</v>
      </c>
      <c r="I107" t="str">
        <f t="shared" si="6"/>
        <v>Dairy</v>
      </c>
      <c r="J107" s="4">
        <v>4.3899999999999997</v>
      </c>
      <c r="K107">
        <f>Table1[[#This Row],[Target_product_price]]/Table1[[#This Row],[product_price_per_oz]]</f>
        <v>0.54874999999999996</v>
      </c>
    </row>
    <row r="108" spans="1:11" x14ac:dyDescent="0.2">
      <c r="A108" t="s">
        <v>299</v>
      </c>
      <c r="B108" t="s">
        <v>300</v>
      </c>
      <c r="C108" t="s">
        <v>301</v>
      </c>
      <c r="D108" t="str">
        <f>SUBSTITUTE(Table1[[#This Row],[Target_product_name]], "oz", " oz")</f>
        <v>BelGioioso Fresh M ozzarella Snacking Cheese - 6 oz</v>
      </c>
      <c r="E108" t="str">
        <f t="shared" si="8"/>
        <v>6oz</v>
      </c>
      <c r="F108" t="str">
        <f>LEFT(Table1[[#This Row],[Target_product_quantity]], FIND("o", Table1[[#This Row],[Target_product_quantity]])-1)</f>
        <v>6</v>
      </c>
      <c r="G108" t="str" cm="1">
        <f t="array" ref="G108">_xlfn.TEXTJOIN("", TRUE, IF(ISNUMBER(SEARCH($K$1010:$K$1054, C108)), $K$1010:$K$1054, ""))</f>
        <v>BelGioioso</v>
      </c>
      <c r="H108" t="str">
        <f t="shared" si="5"/>
        <v>Cheese</v>
      </c>
      <c r="I108" t="str">
        <f t="shared" si="6"/>
        <v>Dairy</v>
      </c>
      <c r="J108" s="4">
        <v>3.99</v>
      </c>
      <c r="K108">
        <f>Table1[[#This Row],[Target_product_price]]/Table1[[#This Row],[product_price_per_oz]]</f>
        <v>0.66500000000000004</v>
      </c>
    </row>
    <row r="109" spans="1:11" x14ac:dyDescent="0.2">
      <c r="A109" t="s">
        <v>302</v>
      </c>
      <c r="B109" t="s">
        <v>303</v>
      </c>
      <c r="C109" t="s">
        <v>304</v>
      </c>
      <c r="D109" t="str">
        <f>SUBSTITUTE(Table1[[#This Row],[Target_product_name]], "oz", " oz")</f>
        <v>BelGioioso Parmesan Cheese Wedge - 8 oz</v>
      </c>
      <c r="E109" t="str">
        <f t="shared" si="8"/>
        <v>8oz</v>
      </c>
      <c r="F109" t="str">
        <f>LEFT(Table1[[#This Row],[Target_product_quantity]], FIND("o", Table1[[#This Row],[Target_product_quantity]])-1)</f>
        <v>8</v>
      </c>
      <c r="G109" t="str" cm="1">
        <f t="array" ref="G109">_xlfn.TEXTJOIN("", TRUE, IF(ISNUMBER(SEARCH($K$1010:$K$1054, C109)), $K$1010:$K$1054, ""))</f>
        <v>BelGioioso</v>
      </c>
      <c r="H109" t="str">
        <f t="shared" si="5"/>
        <v>Cheese</v>
      </c>
      <c r="I109" t="str">
        <f t="shared" si="6"/>
        <v>Dairy</v>
      </c>
      <c r="J109" s="4">
        <v>5.29</v>
      </c>
      <c r="K109">
        <f>Table1[[#This Row],[Target_product_price]]/Table1[[#This Row],[product_price_per_oz]]</f>
        <v>0.66125</v>
      </c>
    </row>
    <row r="110" spans="1:11" x14ac:dyDescent="0.2">
      <c r="A110" t="s">
        <v>305</v>
      </c>
      <c r="B110" t="s">
        <v>306</v>
      </c>
      <c r="C110" t="s">
        <v>307</v>
      </c>
      <c r="D110" t="str">
        <f>SUBSTITUTE(Table1[[#This Row],[Target_product_name]], "oz", " oz")</f>
        <v>BelGioioso Shredded Parmesan Cheese - 5 oz</v>
      </c>
      <c r="E110" t="str">
        <f t="shared" si="8"/>
        <v>5oz</v>
      </c>
      <c r="F110" t="str">
        <f>LEFT(Table1[[#This Row],[Target_product_quantity]], FIND("o", Table1[[#This Row],[Target_product_quantity]])-1)</f>
        <v>5</v>
      </c>
      <c r="G110" t="str" cm="1">
        <f t="array" ref="G110">_xlfn.TEXTJOIN("", TRUE, IF(ISNUMBER(SEARCH($K$1010:$K$1054, C110)), $K$1010:$K$1054, ""))</f>
        <v>BelGioioso</v>
      </c>
      <c r="H110" t="str">
        <f t="shared" si="5"/>
        <v>Cheese</v>
      </c>
      <c r="I110" t="str">
        <f t="shared" si="6"/>
        <v>Dairy</v>
      </c>
      <c r="J110" s="4">
        <v>4.1900000000000004</v>
      </c>
      <c r="K110">
        <f>Table1[[#This Row],[Target_product_price]]/Table1[[#This Row],[product_price_per_oz]]</f>
        <v>0.83800000000000008</v>
      </c>
    </row>
    <row r="111" spans="1:11" x14ac:dyDescent="0.2">
      <c r="A111" t="s">
        <v>308</v>
      </c>
      <c r="B111" t="s">
        <v>309</v>
      </c>
      <c r="C111" t="s">
        <v>310</v>
      </c>
      <c r="D111" t="str">
        <f>SUBSTITUTE(Table1[[#This Row],[Target_product_name]], "oz", " oz")</f>
        <v>BelGioioso Sliced Fresh M ozzarella Low Moisture Cheese - 1lb</v>
      </c>
      <c r="E111" t="s">
        <v>372</v>
      </c>
      <c r="F111" t="str">
        <f>LEFT(Table1[[#This Row],[Target_product_quantity]], FIND("o", Table1[[#This Row],[Target_product_quantity]])-1)</f>
        <v>16</v>
      </c>
      <c r="G111" t="str" cm="1">
        <f t="array" ref="G111">_xlfn.TEXTJOIN("", TRUE, IF(ISNUMBER(SEARCH($K$1010:$K$1054, C111)), $K$1010:$K$1054, ""))</f>
        <v>BelGioioso</v>
      </c>
      <c r="H111" t="str">
        <f t="shared" si="5"/>
        <v>Cheese</v>
      </c>
      <c r="I111" t="str">
        <f t="shared" si="6"/>
        <v>Dairy</v>
      </c>
      <c r="J111" s="4">
        <v>8.49</v>
      </c>
      <c r="K111">
        <f>Table1[[#This Row],[Target_product_price]]/Table1[[#This Row],[product_price_per_oz]]</f>
        <v>0.53062500000000001</v>
      </c>
    </row>
    <row r="112" spans="1:11" x14ac:dyDescent="0.2">
      <c r="A112" t="s">
        <v>311</v>
      </c>
      <c r="B112" t="s">
        <v>312</v>
      </c>
      <c r="C112" t="s">
        <v>313</v>
      </c>
      <c r="D112" t="str">
        <f>SUBSTITUTE(Table1[[#This Row],[Target_product_name]], "oz", " oz")</f>
        <v>Ben &amp; Jerry's Americone Dream Vanilla Ice Cream - 16 oz</v>
      </c>
      <c r="E112" t="str">
        <f t="shared" si="8"/>
        <v>16oz</v>
      </c>
      <c r="F112" t="str">
        <f>LEFT(Table1[[#This Row],[Target_product_quantity]], FIND("o", Table1[[#This Row],[Target_product_quantity]])-1)</f>
        <v>16</v>
      </c>
      <c r="G112" s="5" t="str" cm="1">
        <f t="array" ref="G112">_xlfn.TEXTJOIN("", TRUE, IF(ISNUMBER(SEARCH($K$1010:$K$1054, C112)), $K$1010:$K$1054, ""))</f>
        <v>Ben &amp; Jerry's</v>
      </c>
      <c r="H112" t="str">
        <f t="shared" si="5"/>
        <v>Milk</v>
      </c>
      <c r="I112" t="str">
        <f t="shared" si="6"/>
        <v>Dairy</v>
      </c>
      <c r="J112">
        <v>4.99</v>
      </c>
      <c r="K112">
        <f>Table1[[#This Row],[Target_product_price]]/Table1[[#This Row],[product_price_per_oz]]</f>
        <v>0.31187500000000001</v>
      </c>
    </row>
    <row r="113" spans="1:11" x14ac:dyDescent="0.2">
      <c r="A113" t="s">
        <v>314</v>
      </c>
      <c r="B113" t="s">
        <v>315</v>
      </c>
      <c r="C113" t="s">
        <v>316</v>
      </c>
      <c r="D113" t="str">
        <f>SUBSTITUTE(Table1[[#This Row],[Target_product_name]], "oz", " oz")</f>
        <v>Ben &amp; Jerry's Brownie Batter Core Chocolate &amp; Vanilla Ice Cream - 16 oz</v>
      </c>
      <c r="E113" t="str">
        <f t="shared" si="8"/>
        <v>16oz</v>
      </c>
      <c r="F113" t="str">
        <f>LEFT(Table1[[#This Row],[Target_product_quantity]], FIND("o", Table1[[#This Row],[Target_product_quantity]])-1)</f>
        <v>16</v>
      </c>
      <c r="G113" s="5" t="str" cm="1">
        <f t="array" ref="G113">_xlfn.TEXTJOIN("", TRUE, IF(ISNUMBER(SEARCH($K$1010:$K$1054, C113)), $K$1010:$K$1054, ""))</f>
        <v>Ben &amp; Jerry's</v>
      </c>
      <c r="H113" t="str">
        <f t="shared" si="5"/>
        <v>Milk</v>
      </c>
      <c r="I113" t="str">
        <f t="shared" si="6"/>
        <v>Dairy</v>
      </c>
      <c r="J113">
        <v>4.99</v>
      </c>
      <c r="K113">
        <f>Table1[[#This Row],[Target_product_price]]/Table1[[#This Row],[product_price_per_oz]]</f>
        <v>0.31187500000000001</v>
      </c>
    </row>
    <row r="114" spans="1:11" x14ac:dyDescent="0.2">
      <c r="A114" t="s">
        <v>317</v>
      </c>
      <c r="B114" t="s">
        <v>318</v>
      </c>
      <c r="C114" t="s">
        <v>319</v>
      </c>
      <c r="D114" t="str">
        <f>SUBSTITUTE(Table1[[#This Row],[Target_product_name]], "oz", " oz")</f>
        <v>Ben &amp; Jerry's Cherry Garcia Ice Cream - 16 oz</v>
      </c>
      <c r="E114" t="str">
        <f t="shared" si="8"/>
        <v>16oz</v>
      </c>
      <c r="F114" t="str">
        <f>LEFT(Table1[[#This Row],[Target_product_quantity]], FIND("o", Table1[[#This Row],[Target_product_quantity]])-1)</f>
        <v>16</v>
      </c>
      <c r="G114" s="5" t="str" cm="1">
        <f t="array" ref="G114">_xlfn.TEXTJOIN("", TRUE, IF(ISNUMBER(SEARCH($K$1010:$K$1054, C114)), $K$1010:$K$1054, ""))</f>
        <v>Ben &amp; Jerry's</v>
      </c>
      <c r="H114" t="str">
        <f t="shared" si="5"/>
        <v>Milk</v>
      </c>
      <c r="I114" t="str">
        <f t="shared" si="6"/>
        <v>Dairy</v>
      </c>
      <c r="J114">
        <v>4.99</v>
      </c>
      <c r="K114">
        <f>Table1[[#This Row],[Target_product_price]]/Table1[[#This Row],[product_price_per_oz]]</f>
        <v>0.31187500000000001</v>
      </c>
    </row>
    <row r="115" spans="1:11" x14ac:dyDescent="0.2">
      <c r="A115" t="s">
        <v>320</v>
      </c>
      <c r="B115" t="s">
        <v>321</v>
      </c>
      <c r="C115" t="s">
        <v>322</v>
      </c>
      <c r="D115" t="str">
        <f>SUBSTITUTE(Table1[[#This Row],[Target_product_name]], "oz", " oz")</f>
        <v>Ben &amp; Jerry's Churray for Churros Cinnamon Ice Cream - 16 oz</v>
      </c>
      <c r="E115" t="str">
        <f t="shared" si="8"/>
        <v>16oz</v>
      </c>
      <c r="F115" t="str">
        <f>LEFT(Table1[[#This Row],[Target_product_quantity]], FIND("o", Table1[[#This Row],[Target_product_quantity]])-1)</f>
        <v>16</v>
      </c>
      <c r="G115" t="str" cm="1">
        <f t="array" ref="G115">_xlfn.TEXTJOIN("", TRUE, IF(ISNUMBER(SEARCH($K$1010:$K$1054, C115)), $K$1010:$K$1054, ""))</f>
        <v>Ben &amp; Jerry's</v>
      </c>
      <c r="H115" t="str">
        <f t="shared" si="5"/>
        <v>Milk</v>
      </c>
      <c r="I115" t="str">
        <f t="shared" si="6"/>
        <v>Dairy</v>
      </c>
      <c r="J115">
        <v>4.99</v>
      </c>
      <c r="K115">
        <f>Table1[[#This Row],[Target_product_price]]/Table1[[#This Row],[product_price_per_oz]]</f>
        <v>0.31187500000000001</v>
      </c>
    </row>
    <row r="116" spans="1:11" x14ac:dyDescent="0.2">
      <c r="A116" t="s">
        <v>323</v>
      </c>
      <c r="B116" t="s">
        <v>324</v>
      </c>
      <c r="C116" t="s">
        <v>325</v>
      </c>
      <c r="D116" t="str">
        <f>SUBSTITUTE(Table1[[#This Row],[Target_product_name]], "oz", " oz")</f>
        <v>Ben &amp; Jerry's Cookie Core Chocolate Chip Cookie Ice Cream - 1pt</v>
      </c>
      <c r="E116" t="s">
        <v>372</v>
      </c>
      <c r="F116" t="str">
        <f>LEFT(Table1[[#This Row],[Target_product_quantity]], FIND("o", Table1[[#This Row],[Target_product_quantity]])-1)</f>
        <v>16</v>
      </c>
      <c r="G116" t="str" cm="1">
        <f t="array" ref="G116">_xlfn.TEXTJOIN("", TRUE, IF(ISNUMBER(SEARCH($K$1010:$K$1054, C116)), $K$1010:$K$1054, ""))</f>
        <v>Ben &amp; Jerry's</v>
      </c>
      <c r="H116" t="str">
        <f t="shared" si="5"/>
        <v>Milk</v>
      </c>
      <c r="I116" t="str">
        <f t="shared" si="6"/>
        <v>Dairy</v>
      </c>
      <c r="J116">
        <v>4.99</v>
      </c>
      <c r="K116">
        <f>Table1[[#This Row],[Target_product_price]]/Table1[[#This Row],[product_price_per_oz]]</f>
        <v>0.31187500000000001</v>
      </c>
    </row>
    <row r="117" spans="1:11" x14ac:dyDescent="0.2">
      <c r="A117" t="s">
        <v>326</v>
      </c>
      <c r="B117" t="s">
        <v>327</v>
      </c>
      <c r="C117" t="s">
        <v>328</v>
      </c>
      <c r="D117" t="str">
        <f>SUBSTITUTE(Table1[[#This Row],[Target_product_name]], "oz", " oz")</f>
        <v>Ben &amp; Jerry's Dulce Delish Fr ozen Sundae - 14.44 fl  oz</v>
      </c>
      <c r="E117" t="s">
        <v>2177</v>
      </c>
      <c r="F117" t="str">
        <f>LEFT(Table1[[#This Row],[Target_product_quantity]], FIND("o", Table1[[#This Row],[Target_product_quantity]])-1)</f>
        <v>14.4</v>
      </c>
      <c r="G117" s="5" t="str" cm="1">
        <f t="array" ref="G117">_xlfn.TEXTJOIN("", TRUE, IF(ISNUMBER(SEARCH($K$1010:$K$1054, C117)), $K$1010:$K$1054, ""))</f>
        <v>Ben &amp; Jerry's</v>
      </c>
      <c r="H117" t="str">
        <f t="shared" si="5"/>
        <v>Milk</v>
      </c>
      <c r="I117" t="str">
        <f t="shared" si="6"/>
        <v>Dairy</v>
      </c>
      <c r="J117">
        <v>4.99</v>
      </c>
      <c r="K117">
        <f>Table1[[#This Row],[Target_product_price]]/Table1[[#This Row],[product_price_per_oz]]</f>
        <v>0.34652777777777777</v>
      </c>
    </row>
    <row r="118" spans="1:11" x14ac:dyDescent="0.2">
      <c r="A118" t="s">
        <v>329</v>
      </c>
      <c r="B118" t="s">
        <v>330</v>
      </c>
      <c r="C118" t="s">
        <v>331</v>
      </c>
      <c r="D118" t="str">
        <f>SUBSTITUTE(Table1[[#This Row],[Target_product_name]], "oz", " oz")</f>
        <v>Ben &amp; Jerry's Fr ozen Chocolate Fudge Swirl - 28 oz</v>
      </c>
      <c r="E118" t="str">
        <f t="shared" si="8"/>
        <v>28oz</v>
      </c>
      <c r="F118" t="str">
        <f>LEFT(Table1[[#This Row],[Target_product_quantity]], FIND("o", Table1[[#This Row],[Target_product_quantity]])-1)</f>
        <v>28</v>
      </c>
      <c r="G118" t="str" cm="1">
        <f t="array" ref="G118">_xlfn.TEXTJOIN("", TRUE, IF(ISNUMBER(SEARCH($K$1010:$K$1054, C118)), $K$1010:$K$1054, ""))</f>
        <v>Ben &amp; Jerry's</v>
      </c>
      <c r="H118" t="str">
        <f t="shared" si="5"/>
        <v>Milk</v>
      </c>
      <c r="I118" t="str">
        <f t="shared" si="6"/>
        <v>Dairy</v>
      </c>
      <c r="J118">
        <v>8.69</v>
      </c>
      <c r="K118">
        <f>Table1[[#This Row],[Target_product_price]]/Table1[[#This Row],[product_price_per_oz]]</f>
        <v>0.31035714285714283</v>
      </c>
    </row>
    <row r="119" spans="1:11" x14ac:dyDescent="0.2">
      <c r="A119" t="s">
        <v>332</v>
      </c>
      <c r="B119" t="s">
        <v>333</v>
      </c>
      <c r="C119" t="s">
        <v>334</v>
      </c>
      <c r="D119" t="str">
        <f>SUBSTITUTE(Table1[[#This Row],[Target_product_name]], "oz", " oz")</f>
        <v>Ben &amp; Jerry's Fr ozen Vanila Fudge Brownie - 28 oz</v>
      </c>
      <c r="E119" t="str">
        <f t="shared" si="8"/>
        <v>28oz</v>
      </c>
      <c r="F119" t="str">
        <f>LEFT(Table1[[#This Row],[Target_product_quantity]], FIND("o", Table1[[#This Row],[Target_product_quantity]])-1)</f>
        <v>28</v>
      </c>
      <c r="G119" t="str" cm="1">
        <f t="array" ref="G119">_xlfn.TEXTJOIN("", TRUE, IF(ISNUMBER(SEARCH($K$1010:$K$1054, C119)), $K$1010:$K$1054, ""))</f>
        <v>Ben &amp; Jerry's</v>
      </c>
      <c r="H119" t="str">
        <f t="shared" si="5"/>
        <v>Milk</v>
      </c>
      <c r="I119" t="str">
        <f t="shared" si="6"/>
        <v>Dairy</v>
      </c>
      <c r="J119">
        <v>8.69</v>
      </c>
      <c r="K119">
        <f>Table1[[#This Row],[Target_product_price]]/Table1[[#This Row],[product_price_per_oz]]</f>
        <v>0.31035714285714283</v>
      </c>
    </row>
    <row r="120" spans="1:11" x14ac:dyDescent="0.2">
      <c r="A120" t="s">
        <v>335</v>
      </c>
      <c r="B120" t="s">
        <v>336</v>
      </c>
      <c r="C120" t="s">
        <v>337</v>
      </c>
      <c r="D120" t="str">
        <f>SUBSTITUTE(Table1[[#This Row],[Target_product_name]], "oz", " oz")</f>
        <v>Ben &amp; Jerry's Half Baked Chocolate &amp; Vanilla Ice Cream - 16 oz</v>
      </c>
      <c r="E120" t="str">
        <f t="shared" si="8"/>
        <v>16oz</v>
      </c>
      <c r="F120" t="str">
        <f>LEFT(Table1[[#This Row],[Target_product_quantity]], FIND("o", Table1[[#This Row],[Target_product_quantity]])-1)</f>
        <v>16</v>
      </c>
      <c r="G120" s="5" t="str" cm="1">
        <f t="array" ref="G120">_xlfn.TEXTJOIN("", TRUE, IF(ISNUMBER(SEARCH($K$1010:$K$1054, C120)), $K$1010:$K$1054, ""))</f>
        <v>Ben &amp; Jerry's</v>
      </c>
      <c r="H120" t="str">
        <f t="shared" si="5"/>
        <v>Milk</v>
      </c>
      <c r="I120" t="str">
        <f t="shared" si="6"/>
        <v>Dairy</v>
      </c>
      <c r="J120">
        <v>4.99</v>
      </c>
      <c r="K120">
        <f>Table1[[#This Row],[Target_product_price]]/Table1[[#This Row],[product_price_per_oz]]</f>
        <v>0.31187500000000001</v>
      </c>
    </row>
    <row r="121" spans="1:11" x14ac:dyDescent="0.2">
      <c r="A121" t="s">
        <v>338</v>
      </c>
      <c r="B121" t="s">
        <v>339</v>
      </c>
      <c r="C121" t="s">
        <v>340</v>
      </c>
      <c r="D121" t="str">
        <f>SUBSTITUTE(Table1[[#This Row],[Target_product_name]], "oz", " oz")</f>
        <v>Ben &amp; Jerry's Ice Cream Chocolate Chip Cookie Dough - 16 oz</v>
      </c>
      <c r="E121" t="str">
        <f t="shared" si="8"/>
        <v>16oz</v>
      </c>
      <c r="F121" t="str">
        <f>LEFT(Table1[[#This Row],[Target_product_quantity]], FIND("o", Table1[[#This Row],[Target_product_quantity]])-1)</f>
        <v>16</v>
      </c>
      <c r="G121" s="5" t="str" cm="1">
        <f t="array" ref="G121">_xlfn.TEXTJOIN("", TRUE, IF(ISNUMBER(SEARCH($K$1010:$K$1054, C121)), $K$1010:$K$1054, ""))</f>
        <v>Ben &amp; Jerry's</v>
      </c>
      <c r="H121" t="str">
        <f t="shared" si="5"/>
        <v>Milk</v>
      </c>
      <c r="I121" t="str">
        <f t="shared" si="6"/>
        <v>Dairy</v>
      </c>
      <c r="J121">
        <v>4.99</v>
      </c>
      <c r="K121">
        <f>Table1[[#This Row],[Target_product_price]]/Table1[[#This Row],[product_price_per_oz]]</f>
        <v>0.31187500000000001</v>
      </c>
    </row>
    <row r="122" spans="1:11" ht="17" customHeight="1" x14ac:dyDescent="0.2">
      <c r="A122" t="s">
        <v>341</v>
      </c>
      <c r="B122" t="s">
        <v>342</v>
      </c>
      <c r="C122" t="s">
        <v>343</v>
      </c>
      <c r="D122" t="str">
        <f>SUBSTITUTE(Table1[[#This Row],[Target_product_name]], "oz", " oz")</f>
        <v>Ben &amp; Jerry's Ice Cream Chocolate Fudge Brownie - 16 oz</v>
      </c>
      <c r="E122" t="str">
        <f t="shared" si="8"/>
        <v>16oz</v>
      </c>
      <c r="F122" t="str">
        <f>LEFT(Table1[[#This Row],[Target_product_quantity]], FIND("o", Table1[[#This Row],[Target_product_quantity]])-1)</f>
        <v>16</v>
      </c>
      <c r="G122" s="5" t="str" cm="1">
        <f t="array" ref="G122">_xlfn.TEXTJOIN("", TRUE, IF(ISNUMBER(SEARCH($K$1010:$K$1054, C122)), $K$1010:$K$1054, ""))</f>
        <v>Ben &amp; Jerry's</v>
      </c>
      <c r="H122" t="str">
        <f t="shared" si="5"/>
        <v>Milk</v>
      </c>
      <c r="I122" t="str">
        <f t="shared" si="6"/>
        <v>Dairy</v>
      </c>
      <c r="J122">
        <v>4.99</v>
      </c>
      <c r="K122">
        <f>Table1[[#This Row],[Target_product_price]]/Table1[[#This Row],[product_price_per_oz]]</f>
        <v>0.31187500000000001</v>
      </c>
    </row>
    <row r="123" spans="1:11" x14ac:dyDescent="0.2">
      <c r="A123" t="s">
        <v>344</v>
      </c>
      <c r="B123" t="s">
        <v>345</v>
      </c>
      <c r="C123" t="s">
        <v>346</v>
      </c>
      <c r="D123" t="str">
        <f>SUBSTITUTE(Table1[[#This Row],[Target_product_name]], "oz", " oz")</f>
        <v>Ben &amp; Jerry's Ice Glampfire Trail Mix Fr ozen Dessert - 16 oz</v>
      </c>
      <c r="E123" t="str">
        <f t="shared" si="8"/>
        <v>16oz</v>
      </c>
      <c r="F123" t="str">
        <f>LEFT(Table1[[#This Row],[Target_product_quantity]], FIND("o", Table1[[#This Row],[Target_product_quantity]])-1)</f>
        <v>16</v>
      </c>
      <c r="G123" t="str" cm="1">
        <f t="array" ref="G123">_xlfn.TEXTJOIN("", TRUE, IF(ISNUMBER(SEARCH($K$1010:$K$1054, C123)), $K$1010:$K$1054, ""))</f>
        <v>Ben &amp; Jerry's</v>
      </c>
      <c r="H123" t="str">
        <f t="shared" si="5"/>
        <v>Milk</v>
      </c>
      <c r="I123" t="str">
        <f t="shared" si="6"/>
        <v>Dairy</v>
      </c>
      <c r="J123">
        <v>4.99</v>
      </c>
      <c r="K123">
        <f>Table1[[#This Row],[Target_product_price]]/Table1[[#This Row],[product_price_per_oz]]</f>
        <v>0.31187500000000001</v>
      </c>
    </row>
    <row r="124" spans="1:11" x14ac:dyDescent="0.2">
      <c r="A124" t="s">
        <v>347</v>
      </c>
      <c r="B124" t="s">
        <v>348</v>
      </c>
      <c r="C124" t="s">
        <v>349</v>
      </c>
      <c r="D124" t="str">
        <f>SUBSTITUTE(Table1[[#This Row],[Target_product_name]], "oz", " oz")</f>
        <v>Ben &amp; Jerry's Lights Caramel Action Ice Cream - 16 oz</v>
      </c>
      <c r="E124" t="str">
        <f t="shared" si="8"/>
        <v>16oz</v>
      </c>
      <c r="F124" t="str">
        <f>LEFT(Table1[[#This Row],[Target_product_quantity]], FIND("o", Table1[[#This Row],[Target_product_quantity]])-1)</f>
        <v>16</v>
      </c>
      <c r="G124" t="str" cm="1">
        <f t="array" ref="G124">_xlfn.TEXTJOIN("", TRUE, IF(ISNUMBER(SEARCH($K$1010:$K$1054, C124)), $K$1010:$K$1054, ""))</f>
        <v>Ben &amp; Jerry's</v>
      </c>
      <c r="H124" t="str">
        <f t="shared" si="5"/>
        <v>Milk</v>
      </c>
      <c r="I124" t="str">
        <f t="shared" si="6"/>
        <v>Dairy</v>
      </c>
      <c r="J124">
        <v>4.99</v>
      </c>
      <c r="K124">
        <f>Table1[[#This Row],[Target_product_price]]/Table1[[#This Row],[product_price_per_oz]]</f>
        <v>0.31187500000000001</v>
      </c>
    </row>
    <row r="125" spans="1:11" x14ac:dyDescent="0.2">
      <c r="A125" t="s">
        <v>350</v>
      </c>
      <c r="B125" t="s">
        <v>351</v>
      </c>
      <c r="C125" t="s">
        <v>352</v>
      </c>
      <c r="D125" t="str">
        <f>SUBSTITUTE(Table1[[#This Row],[Target_product_name]], "oz", " oz")</f>
        <v>Ben &amp; Jerry's Milk and Cookies Vanilla Ice Cream - 16 oz</v>
      </c>
      <c r="E125" t="str">
        <f t="shared" si="8"/>
        <v>16oz</v>
      </c>
      <c r="F125" t="str">
        <f>LEFT(Table1[[#This Row],[Target_product_quantity]], FIND("o", Table1[[#This Row],[Target_product_quantity]])-1)</f>
        <v>16</v>
      </c>
      <c r="G125" s="5" t="str" cm="1">
        <f t="array" ref="G125">_xlfn.TEXTJOIN("", TRUE, IF(ISNUMBER(SEARCH($K$1010:$K$1054, C125)), $K$1010:$K$1054, ""))</f>
        <v>Ben &amp; Jerry's</v>
      </c>
      <c r="H125" t="str">
        <f t="shared" si="5"/>
        <v>Milk</v>
      </c>
      <c r="I125" t="str">
        <f t="shared" si="6"/>
        <v>Dairy</v>
      </c>
      <c r="J125">
        <v>4.99</v>
      </c>
      <c r="K125">
        <f>Table1[[#This Row],[Target_product_price]]/Table1[[#This Row],[product_price_per_oz]]</f>
        <v>0.31187500000000001</v>
      </c>
    </row>
    <row r="126" spans="1:11" x14ac:dyDescent="0.2">
      <c r="A126" t="s">
        <v>353</v>
      </c>
      <c r="B126" t="s">
        <v>354</v>
      </c>
      <c r="C126" t="s">
        <v>355</v>
      </c>
      <c r="D126" t="str">
        <f>SUBSTITUTE(Table1[[#This Row],[Target_product_name]], "oz", " oz")</f>
        <v>Ben &amp; Jerry's Mint Chocolate Cookie Ice Cream - 16 oz</v>
      </c>
      <c r="E126" t="str">
        <f t="shared" si="8"/>
        <v>16oz</v>
      </c>
      <c r="F126" t="str">
        <f>LEFT(Table1[[#This Row],[Target_product_quantity]], FIND("o", Table1[[#This Row],[Target_product_quantity]])-1)</f>
        <v>16</v>
      </c>
      <c r="G126" t="str" cm="1">
        <f t="array" ref="G126">_xlfn.TEXTJOIN("", TRUE, IF(ISNUMBER(SEARCH($K$1010:$K$1054, C126)), $K$1010:$K$1054, ""))</f>
        <v>Ben &amp; Jerry's</v>
      </c>
      <c r="H126" t="str">
        <f t="shared" si="5"/>
        <v>Milk</v>
      </c>
      <c r="I126" t="str">
        <f t="shared" si="6"/>
        <v>Dairy</v>
      </c>
      <c r="J126">
        <v>4.99</v>
      </c>
      <c r="K126">
        <f>Table1[[#This Row],[Target_product_price]]/Table1[[#This Row],[product_price_per_oz]]</f>
        <v>0.31187500000000001</v>
      </c>
    </row>
    <row r="127" spans="1:11" x14ac:dyDescent="0.2">
      <c r="A127" t="s">
        <v>356</v>
      </c>
      <c r="B127" t="s">
        <v>357</v>
      </c>
      <c r="C127" t="s">
        <v>358</v>
      </c>
      <c r="D127" t="str">
        <f>SUBSTITUTE(Table1[[#This Row],[Target_product_name]], "oz", " oz")</f>
        <v>Ben &amp; Jerry's Minter Wonderland Dark Chocolate Mint Ice Cream - 16 oz</v>
      </c>
      <c r="E127" t="str">
        <f t="shared" si="8"/>
        <v>16oz</v>
      </c>
      <c r="F127" t="str">
        <f>LEFT(Table1[[#This Row],[Target_product_quantity]], FIND("o", Table1[[#This Row],[Target_product_quantity]])-1)</f>
        <v>16</v>
      </c>
      <c r="G127" t="str" cm="1">
        <f t="array" ref="G127">_xlfn.TEXTJOIN("", TRUE, IF(ISNUMBER(SEARCH($K$1010:$K$1054, C127)), $K$1010:$K$1054, ""))</f>
        <v>Ben &amp; Jerry's</v>
      </c>
      <c r="H127" t="str">
        <f t="shared" si="5"/>
        <v>Milk</v>
      </c>
      <c r="I127" t="str">
        <f t="shared" si="6"/>
        <v>Dairy</v>
      </c>
      <c r="J127">
        <v>4.99</v>
      </c>
      <c r="K127">
        <f>Table1[[#This Row],[Target_product_price]]/Table1[[#This Row],[product_price_per_oz]]</f>
        <v>0.31187500000000001</v>
      </c>
    </row>
    <row r="128" spans="1:11" x14ac:dyDescent="0.2">
      <c r="A128" t="s">
        <v>359</v>
      </c>
      <c r="B128" t="s">
        <v>360</v>
      </c>
      <c r="C128" t="s">
        <v>361</v>
      </c>
      <c r="D128" t="str">
        <f>SUBSTITUTE(Table1[[#This Row],[Target_product_name]], "oz", " oz")</f>
        <v>Ben &amp; Jerry's Mousse Pie Chocolate Ice Cream - 16 oz</v>
      </c>
      <c r="E128" t="str">
        <f t="shared" si="8"/>
        <v>16oz</v>
      </c>
      <c r="F128" t="str">
        <f>LEFT(Table1[[#This Row],[Target_product_quantity]], FIND("o", Table1[[#This Row],[Target_product_quantity]])-1)</f>
        <v>16</v>
      </c>
      <c r="G128" t="str" cm="1">
        <f t="array" ref="G128">_xlfn.TEXTJOIN("", TRUE, IF(ISNUMBER(SEARCH($K$1010:$K$1054, C128)), $K$1010:$K$1054, ""))</f>
        <v>Ben &amp; Jerry's</v>
      </c>
      <c r="H128" t="str">
        <f t="shared" si="5"/>
        <v>Milk</v>
      </c>
      <c r="I128" t="str">
        <f t="shared" si="6"/>
        <v>Dairy</v>
      </c>
      <c r="J128">
        <v>4.99</v>
      </c>
      <c r="K128">
        <f>Table1[[#This Row],[Target_product_price]]/Table1[[#This Row],[product_price_per_oz]]</f>
        <v>0.31187500000000001</v>
      </c>
    </row>
    <row r="129" spans="1:11" x14ac:dyDescent="0.2">
      <c r="A129" t="s">
        <v>362</v>
      </c>
      <c r="B129" t="s">
        <v>363</v>
      </c>
      <c r="C129" t="s">
        <v>364</v>
      </c>
      <c r="D129" t="str">
        <f>SUBSTITUTE(Table1[[#This Row],[Target_product_name]], "oz", " oz")</f>
        <v>Ben &amp; Jerry's Netflix &amp; Chilled Peanut Butter Ice Cream - 16 oz</v>
      </c>
      <c r="E129" t="str">
        <f t="shared" si="8"/>
        <v>16oz</v>
      </c>
      <c r="F129" t="str">
        <f>LEFT(Table1[[#This Row],[Target_product_quantity]], FIND("o", Table1[[#This Row],[Target_product_quantity]])-1)</f>
        <v>16</v>
      </c>
      <c r="G129" t="str" cm="1">
        <f t="array" ref="G129">_xlfn.TEXTJOIN("", TRUE, IF(ISNUMBER(SEARCH($K$1010:$K$1054, C129)), $K$1010:$K$1054, ""))</f>
        <v>Ben &amp; Jerry's</v>
      </c>
      <c r="H129" t="str">
        <f t="shared" si="5"/>
        <v>Milk</v>
      </c>
      <c r="I129" t="str">
        <f t="shared" si="6"/>
        <v>Dairy</v>
      </c>
      <c r="J129">
        <v>4.99</v>
      </c>
      <c r="K129">
        <f>Table1[[#This Row],[Target_product_price]]/Table1[[#This Row],[product_price_per_oz]]</f>
        <v>0.31187500000000001</v>
      </c>
    </row>
    <row r="130" spans="1:11" x14ac:dyDescent="0.2">
      <c r="A130" t="s">
        <v>365</v>
      </c>
      <c r="B130" t="s">
        <v>366</v>
      </c>
      <c r="C130" t="s">
        <v>367</v>
      </c>
      <c r="D130" t="str">
        <f>SUBSTITUTE(Table1[[#This Row],[Target_product_name]], "oz", " oz")</f>
        <v>Ben &amp; Jerry's Non-Dairy Cherry Garcia Fr ozen Dessert Certified Vegan - 1 Pint</v>
      </c>
      <c r="E130" t="s">
        <v>368</v>
      </c>
      <c r="F130" t="str">
        <f>LEFT(Table1[[#This Row],[Target_product_quantity]], FIND("o", Table1[[#This Row],[Target_product_quantity]])-1)</f>
        <v>19</v>
      </c>
      <c r="G130" t="str" cm="1">
        <f t="array" ref="G130">_xlfn.TEXTJOIN("", TRUE, IF(ISNUMBER(SEARCH($K$1010:$K$1054, C130)), $K$1010:$K$1054, ""))</f>
        <v>Ben &amp; Jerry's</v>
      </c>
      <c r="H130" t="str">
        <f t="shared" ref="H130:H193" si="9">IF(OR(G130="Mission",G130="Nature's Own",G130="Sara Lee"),"Bread",
IF(OR(G130="Del Monte",G130="Dole",G130="Mott's"),"Canned Fruit",
IF(OR(G130="Goya",G130="Hunt's",G130="Birds Eye"),"Canned Vegetables",
IF(OR(G130="Fairlife",G130="Horizon Organic",G130="Lactaid",G130="Ben &amp; Jerry's"),"Milk",
IF(OR(G130="BelGioioso",G130="Kraft",G130="Philadelphia"),"Cheese",
IF(OR(G130="Chobani",G130="Oikos",G130="Light + Fit"),"Yogurt",
IF(OR(G130="Barilla",G130="Annie's",G130="Rao's Homemade"),"Pasta",
IF(OR(G130="Hershey's",G130="Lay's",G130="Totino's",G130="Cheerios",G130="Jif",G130="Skippy",G130="Nature Valley",G130="Oreo",G130="DiGiorno",G130="Eggo"),"Prepared Food",
IF(OR(G130="Ben's Original",G130="Lundberg",G130="Quaker"),"Rice",
IF(OR(G130="Bush's",G130="Hillshire Farm",G130="Oscar Mayer",G130="SPAM"),"Protein",
IF(OR(G130="Starbucks",G130="Sparkling Ice",G130="Coca-Cola",G130="San Pellegrino",G130="Gatorade",G130="Arizona"),"Beverages",
"Other")))))))))))</f>
        <v>Milk</v>
      </c>
      <c r="I130" t="str">
        <f t="shared" ref="I130:I193" si="10">IF(OR(H130="Bread",H130="Rice",H130="Pasta"), "Grain",
IF(OR(H130="Milk",H130="Cheese",H130="Yogurt"), "Dairy",
IF(OR(H130="Canned Fruit",H130="Canned Vegetables"), "Fruit &amp; Vegetables",
IF(H130="Prepared Food", "Prepared Food",
IF(H130="Protein", "Protein",
IF(H130="Beverages", "Beverages",
"Other"))))))</f>
        <v>Dairy</v>
      </c>
      <c r="J130">
        <v>4.99</v>
      </c>
      <c r="K130">
        <f>Table1[[#This Row],[Target_product_price]]/Table1[[#This Row],[product_price_per_oz]]</f>
        <v>0.26263157894736844</v>
      </c>
    </row>
    <row r="131" spans="1:11" x14ac:dyDescent="0.2">
      <c r="A131" t="s">
        <v>369</v>
      </c>
      <c r="B131" t="s">
        <v>370</v>
      </c>
      <c r="C131" t="s">
        <v>371</v>
      </c>
      <c r="D131" t="str">
        <f>SUBSTITUTE(Table1[[#This Row],[Target_product_name]], "oz", " oz")</f>
        <v>Ben &amp; Jerry's Non-Dairy Chocolate Chip Cookie Dough Fr ozen Dessert - 16 oz</v>
      </c>
      <c r="E131" t="s">
        <v>372</v>
      </c>
      <c r="F131" t="str">
        <f>LEFT(Table1[[#This Row],[Target_product_quantity]], FIND("o", Table1[[#This Row],[Target_product_quantity]])-1)</f>
        <v>16</v>
      </c>
      <c r="G131" t="str" cm="1">
        <f t="array" ref="G131">_xlfn.TEXTJOIN("", TRUE, IF(ISNUMBER(SEARCH($K$1010:$K$1054, C131)), $K$1010:$K$1054, ""))</f>
        <v>Ben &amp; Jerry's</v>
      </c>
      <c r="H131" t="str">
        <f t="shared" si="9"/>
        <v>Milk</v>
      </c>
      <c r="I131" t="str">
        <f t="shared" si="10"/>
        <v>Dairy</v>
      </c>
      <c r="J131">
        <v>4.99</v>
      </c>
      <c r="K131">
        <f>Table1[[#This Row],[Target_product_price]]/Table1[[#This Row],[product_price_per_oz]]</f>
        <v>0.31187500000000001</v>
      </c>
    </row>
    <row r="132" spans="1:11" x14ac:dyDescent="0.2">
      <c r="A132" t="s">
        <v>373</v>
      </c>
      <c r="B132" t="s">
        <v>374</v>
      </c>
      <c r="C132" t="s">
        <v>375</v>
      </c>
      <c r="D132" t="str">
        <f>SUBSTITUTE(Table1[[#This Row],[Target_product_name]], "oz", " oz")</f>
        <v>Ben &amp; Jerry's Non-Dairy Karamel Sutra Chocolate &amp; Caramel Fr ozen Dessert - 16 oz</v>
      </c>
      <c r="E132" t="s">
        <v>372</v>
      </c>
      <c r="F132" t="str">
        <f>LEFT(Table1[[#This Row],[Target_product_quantity]], FIND("o", Table1[[#This Row],[Target_product_quantity]])-1)</f>
        <v>16</v>
      </c>
      <c r="G132" t="str" cm="1">
        <f t="array" ref="G132">_xlfn.TEXTJOIN("", TRUE, IF(ISNUMBER(SEARCH($K$1010:$K$1054, C132)), $K$1010:$K$1054, ""))</f>
        <v>Ben &amp; Jerry's</v>
      </c>
      <c r="H132" t="str">
        <f t="shared" si="9"/>
        <v>Milk</v>
      </c>
      <c r="I132" t="str">
        <f t="shared" si="10"/>
        <v>Dairy</v>
      </c>
      <c r="J132">
        <v>4.99</v>
      </c>
      <c r="K132">
        <f>Table1[[#This Row],[Target_product_price]]/Table1[[#This Row],[product_price_per_oz]]</f>
        <v>0.31187500000000001</v>
      </c>
    </row>
    <row r="133" spans="1:11" x14ac:dyDescent="0.2">
      <c r="A133" t="s">
        <v>376</v>
      </c>
      <c r="B133" t="s">
        <v>377</v>
      </c>
      <c r="C133" t="s">
        <v>378</v>
      </c>
      <c r="D133" t="str">
        <f>SUBSTITUTE(Table1[[#This Row],[Target_product_name]], "oz", " oz")</f>
        <v>Ben &amp; Jerry's Non-Dairy Milk &amp; Cookies Vanilla Fr ozen Dessert - 16 oz</v>
      </c>
      <c r="E133" t="s">
        <v>372</v>
      </c>
      <c r="F133" t="str">
        <f>LEFT(Table1[[#This Row],[Target_product_quantity]], FIND("o", Table1[[#This Row],[Target_product_quantity]])-1)</f>
        <v>16</v>
      </c>
      <c r="G133" t="str" cm="1">
        <f t="array" ref="G133">_xlfn.TEXTJOIN("", TRUE, IF(ISNUMBER(SEARCH($K$1010:$K$1054, C133)), $K$1010:$K$1054, ""))</f>
        <v>Ben &amp; Jerry's</v>
      </c>
      <c r="H133" t="str">
        <f t="shared" si="9"/>
        <v>Milk</v>
      </c>
      <c r="I133" t="str">
        <f t="shared" si="10"/>
        <v>Dairy</v>
      </c>
      <c r="J133">
        <v>4.99</v>
      </c>
      <c r="K133">
        <f>Table1[[#This Row],[Target_product_price]]/Table1[[#This Row],[product_price_per_oz]]</f>
        <v>0.31187500000000001</v>
      </c>
    </row>
    <row r="134" spans="1:11" x14ac:dyDescent="0.2">
      <c r="A134" t="s">
        <v>379</v>
      </c>
      <c r="B134" t="s">
        <v>380</v>
      </c>
      <c r="C134" t="s">
        <v>381</v>
      </c>
      <c r="D134" t="str">
        <f>SUBSTITUTE(Table1[[#This Row],[Target_product_name]], "oz", " oz")</f>
        <v>Ben &amp; Jerry's Non-Dairy Phish Food Chocolate Fr ozen Dessert - 16 oz</v>
      </c>
      <c r="E134" t="s">
        <v>372</v>
      </c>
      <c r="F134" t="str">
        <f>LEFT(Table1[[#This Row],[Target_product_quantity]], FIND("o", Table1[[#This Row],[Target_product_quantity]])-1)</f>
        <v>16</v>
      </c>
      <c r="G134" t="str" cm="1">
        <f t="array" ref="G134">_xlfn.TEXTJOIN("", TRUE, IF(ISNUMBER(SEARCH($K$1010:$K$1054, C134)), $K$1010:$K$1054, ""))</f>
        <v>Ben &amp; Jerry's</v>
      </c>
      <c r="H134" t="str">
        <f t="shared" si="9"/>
        <v>Milk</v>
      </c>
      <c r="I134" t="str">
        <f t="shared" si="10"/>
        <v>Dairy</v>
      </c>
      <c r="J134">
        <v>4.99</v>
      </c>
      <c r="K134">
        <f>Table1[[#This Row],[Target_product_price]]/Table1[[#This Row],[product_price_per_oz]]</f>
        <v>0.31187500000000001</v>
      </c>
    </row>
    <row r="135" spans="1:11" x14ac:dyDescent="0.2">
      <c r="A135" t="s">
        <v>382</v>
      </c>
      <c r="B135" t="s">
        <v>383</v>
      </c>
      <c r="C135" t="s">
        <v>384</v>
      </c>
      <c r="D135" t="str">
        <f>SUBSTITUTE(Table1[[#This Row],[Target_product_name]], "oz", " oz")</f>
        <v>Ben &amp; Jerry's Non-Dairy Strawberry Cheesecake Fr ozen Dessert Certified Vegan - 1 Pint</v>
      </c>
      <c r="E135" t="s">
        <v>368</v>
      </c>
      <c r="F135" t="str">
        <f>LEFT(Table1[[#This Row],[Target_product_quantity]], FIND("o", Table1[[#This Row],[Target_product_quantity]])-1)</f>
        <v>19</v>
      </c>
      <c r="G135" t="str" cm="1">
        <f t="array" ref="G135">_xlfn.TEXTJOIN("", TRUE, IF(ISNUMBER(SEARCH($K$1010:$K$1054, C135)), $K$1010:$K$1054, ""))</f>
        <v>Ben &amp; Jerry's</v>
      </c>
      <c r="H135" t="str">
        <f t="shared" si="9"/>
        <v>Milk</v>
      </c>
      <c r="I135" t="str">
        <f t="shared" si="10"/>
        <v>Dairy</v>
      </c>
      <c r="J135">
        <v>4.99</v>
      </c>
      <c r="K135">
        <f>Table1[[#This Row],[Target_product_price]]/Table1[[#This Row],[product_price_per_oz]]</f>
        <v>0.26263157894736844</v>
      </c>
    </row>
    <row r="136" spans="1:11" x14ac:dyDescent="0.2">
      <c r="A136" t="s">
        <v>385</v>
      </c>
      <c r="B136" t="s">
        <v>386</v>
      </c>
      <c r="C136" t="s">
        <v>387</v>
      </c>
      <c r="D136" t="str">
        <f>SUBSTITUTE(Table1[[#This Row],[Target_product_name]], "oz", " oz")</f>
        <v>Ben &amp; Jerry's Non-Dairy The Tonight Dough Chocolate &amp; Caramel Fr ozen Dessert - 16 oz</v>
      </c>
      <c r="E136" t="s">
        <v>372</v>
      </c>
      <c r="F136" t="str">
        <f>LEFT(Table1[[#This Row],[Target_product_quantity]], FIND("o", Table1[[#This Row],[Target_product_quantity]])-1)</f>
        <v>16</v>
      </c>
      <c r="G136" t="str" cm="1">
        <f t="array" ref="G136">_xlfn.TEXTJOIN("", TRUE, IF(ISNUMBER(SEARCH($K$1010:$K$1054, C136)), $K$1010:$K$1054, ""))</f>
        <v>Ben &amp; Jerry's</v>
      </c>
      <c r="H136" t="str">
        <f t="shared" si="9"/>
        <v>Milk</v>
      </c>
      <c r="I136" t="str">
        <f t="shared" si="10"/>
        <v>Dairy</v>
      </c>
      <c r="J136">
        <v>4.99</v>
      </c>
      <c r="K136">
        <f>Table1[[#This Row],[Target_product_price]]/Table1[[#This Row],[product_price_per_oz]]</f>
        <v>0.31187500000000001</v>
      </c>
    </row>
    <row r="137" spans="1:11" x14ac:dyDescent="0.2">
      <c r="A137" t="s">
        <v>388</v>
      </c>
      <c r="B137" t="s">
        <v>389</v>
      </c>
      <c r="C137" t="s">
        <v>390</v>
      </c>
      <c r="D137" t="str">
        <f>SUBSTITUTE(Table1[[#This Row],[Target_product_name]], "oz", " oz")</f>
        <v>Ben &amp; Jerry's Oat Of This Swirled Brown Sugar Ice Cream - 16 oz</v>
      </c>
      <c r="E137" t="str">
        <f>TRIM(RIGHT(C137, LEN(C137) - FIND("-", C137)))</f>
        <v>16oz</v>
      </c>
      <c r="F137" t="str">
        <f>LEFT(Table1[[#This Row],[Target_product_quantity]], FIND("o", Table1[[#This Row],[Target_product_quantity]])-1)</f>
        <v>16</v>
      </c>
      <c r="G137" s="5" t="str" cm="1">
        <f t="array" ref="G137">_xlfn.TEXTJOIN("", TRUE, IF(ISNUMBER(SEARCH($K$1010:$K$1054, C137)), $K$1010:$K$1054, ""))</f>
        <v>Ben &amp; Jerry's</v>
      </c>
      <c r="H137" t="str">
        <f t="shared" si="9"/>
        <v>Milk</v>
      </c>
      <c r="I137" t="str">
        <f t="shared" si="10"/>
        <v>Dairy</v>
      </c>
      <c r="J137">
        <v>4.99</v>
      </c>
      <c r="K137">
        <f>Table1[[#This Row],[Target_product_price]]/Table1[[#This Row],[product_price_per_oz]]</f>
        <v>0.31187500000000001</v>
      </c>
    </row>
    <row r="138" spans="1:11" x14ac:dyDescent="0.2">
      <c r="A138" t="s">
        <v>391</v>
      </c>
      <c r="B138" t="s">
        <v>392</v>
      </c>
      <c r="C138" t="s">
        <v>393</v>
      </c>
      <c r="D138" t="str">
        <f>SUBSTITUTE(Table1[[#This Row],[Target_product_name]], "oz", " oz")</f>
        <v>Ben &amp; Jerry's Peanut Butter Half Baked Chocolate &amp; Peanut Butter Ice Cream - 16 oz</v>
      </c>
      <c r="E138" t="str">
        <f>TRIM(RIGHT(C138, LEN(C138) - FIND("-", C138)))</f>
        <v>16oz</v>
      </c>
      <c r="F138" t="str">
        <f>LEFT(Table1[[#This Row],[Target_product_quantity]], FIND("o", Table1[[#This Row],[Target_product_quantity]])-1)</f>
        <v>16</v>
      </c>
      <c r="G138" t="str" cm="1">
        <f t="array" ref="G138">_xlfn.TEXTJOIN("", TRUE, IF(ISNUMBER(SEARCH($K$1010:$K$1054, C138)), $K$1010:$K$1054, ""))</f>
        <v>Ben &amp; Jerry's</v>
      </c>
      <c r="H138" t="str">
        <f t="shared" si="9"/>
        <v>Milk</v>
      </c>
      <c r="I138" t="str">
        <f t="shared" si="10"/>
        <v>Dairy</v>
      </c>
      <c r="J138">
        <v>4.99</v>
      </c>
      <c r="K138">
        <f>Table1[[#This Row],[Target_product_price]]/Table1[[#This Row],[product_price_per_oz]]</f>
        <v>0.31187500000000001</v>
      </c>
    </row>
    <row r="139" spans="1:11" x14ac:dyDescent="0.2">
      <c r="A139" t="s">
        <v>394</v>
      </c>
      <c r="B139" t="s">
        <v>395</v>
      </c>
      <c r="C139" t="s">
        <v>396</v>
      </c>
      <c r="D139" t="str">
        <f>SUBSTITUTE(Table1[[#This Row],[Target_product_name]], "oz", " oz")</f>
        <v>Ben &amp; Jerry's Peanut Butter S'more Marshmallow Ice Cream Non-GMO - 1 Pint</v>
      </c>
      <c r="E139" t="s">
        <v>368</v>
      </c>
      <c r="F139" t="str">
        <f>LEFT(Table1[[#This Row],[Target_product_quantity]], FIND("o", Table1[[#This Row],[Target_product_quantity]])-1)</f>
        <v>19</v>
      </c>
      <c r="G139" t="str" cm="1">
        <f t="array" ref="G139">_xlfn.TEXTJOIN("", TRUE, IF(ISNUMBER(SEARCH($K$1010:$K$1054, C139)), $K$1010:$K$1054, ""))</f>
        <v>Ben &amp; Jerry's</v>
      </c>
      <c r="H139" t="str">
        <f t="shared" si="9"/>
        <v>Milk</v>
      </c>
      <c r="I139" t="str">
        <f t="shared" si="10"/>
        <v>Dairy</v>
      </c>
      <c r="J139">
        <v>4.99</v>
      </c>
      <c r="K139">
        <f>Table1[[#This Row],[Target_product_price]]/Table1[[#This Row],[product_price_per_oz]]</f>
        <v>0.26263157894736844</v>
      </c>
    </row>
    <row r="140" spans="1:11" x14ac:dyDescent="0.2">
      <c r="A140" t="s">
        <v>397</v>
      </c>
      <c r="B140" t="s">
        <v>398</v>
      </c>
      <c r="C140" t="s">
        <v>399</v>
      </c>
      <c r="D140" t="str">
        <f>SUBSTITUTE(Table1[[#This Row],[Target_product_name]], "oz", " oz")</f>
        <v>Ben &amp; Jerry's Peanut Butter World Chocolate Ice Cream - 16 oz</v>
      </c>
      <c r="E140" t="str">
        <f t="shared" ref="E140:E168" si="11">TRIM(RIGHT(C140, LEN(C140) - FIND("-", C140)))</f>
        <v>16oz</v>
      </c>
      <c r="F140" t="str">
        <f>LEFT(Table1[[#This Row],[Target_product_quantity]], FIND("o", Table1[[#This Row],[Target_product_quantity]])-1)</f>
        <v>16</v>
      </c>
      <c r="G140" s="5" t="str" cm="1">
        <f t="array" ref="G140">_xlfn.TEXTJOIN("", TRUE, IF(ISNUMBER(SEARCH($K$1010:$K$1054, C140)), $K$1010:$K$1054, ""))</f>
        <v>Ben &amp; Jerry's</v>
      </c>
      <c r="H140" t="str">
        <f t="shared" si="9"/>
        <v>Milk</v>
      </c>
      <c r="I140" t="str">
        <f t="shared" si="10"/>
        <v>Dairy</v>
      </c>
      <c r="J140">
        <v>4.99</v>
      </c>
      <c r="K140">
        <f>Table1[[#This Row],[Target_product_price]]/Table1[[#This Row],[product_price_per_oz]]</f>
        <v>0.31187500000000001</v>
      </c>
    </row>
    <row r="141" spans="1:11" x14ac:dyDescent="0.2">
      <c r="A141" t="s">
        <v>400</v>
      </c>
      <c r="B141" t="s">
        <v>401</v>
      </c>
      <c r="C141" t="s">
        <v>402</v>
      </c>
      <c r="D141" t="str">
        <f>SUBSTITUTE(Table1[[#This Row],[Target_product_name]], "oz", " oz")</f>
        <v>Ben &amp; Jerry's Phish Food Chocolate Ice Cream - 16 oz</v>
      </c>
      <c r="E141" t="str">
        <f t="shared" si="11"/>
        <v>16oz</v>
      </c>
      <c r="F141" t="str">
        <f>LEFT(Table1[[#This Row],[Target_product_quantity]], FIND("o", Table1[[#This Row],[Target_product_quantity]])-1)</f>
        <v>16</v>
      </c>
      <c r="G141" s="5" t="str" cm="1">
        <f t="array" ref="G141">_xlfn.TEXTJOIN("", TRUE, IF(ISNUMBER(SEARCH($K$1010:$K$1054, C141)), $K$1010:$K$1054, ""))</f>
        <v>Ben &amp; Jerry's</v>
      </c>
      <c r="H141" t="str">
        <f t="shared" si="9"/>
        <v>Milk</v>
      </c>
      <c r="I141" t="str">
        <f t="shared" si="10"/>
        <v>Dairy</v>
      </c>
      <c r="J141">
        <v>4.99</v>
      </c>
      <c r="K141">
        <f>Table1[[#This Row],[Target_product_price]]/Table1[[#This Row],[product_price_per_oz]]</f>
        <v>0.31187500000000001</v>
      </c>
    </row>
    <row r="142" spans="1:11" x14ac:dyDescent="0.2">
      <c r="A142" t="s">
        <v>403</v>
      </c>
      <c r="B142" t="s">
        <v>404</v>
      </c>
      <c r="C142" t="s">
        <v>405</v>
      </c>
      <c r="D142" t="str">
        <f>SUBSTITUTE(Table1[[#This Row],[Target_product_name]], "oz", " oz")</f>
        <v>Ben &amp; Jerry's Pistachio Pistachio Ice Cream - 16 oz</v>
      </c>
      <c r="E142" t="str">
        <f t="shared" si="11"/>
        <v>16oz</v>
      </c>
      <c r="F142" t="str">
        <f>LEFT(Table1[[#This Row],[Target_product_quantity]], FIND("o", Table1[[#This Row],[Target_product_quantity]])-1)</f>
        <v>16</v>
      </c>
      <c r="G142" t="str" cm="1">
        <f t="array" ref="G142">_xlfn.TEXTJOIN("", TRUE, IF(ISNUMBER(SEARCH($K$1010:$K$1054, C142)), $K$1010:$K$1054, ""))</f>
        <v>Ben &amp; Jerry's</v>
      </c>
      <c r="H142" t="str">
        <f t="shared" si="9"/>
        <v>Milk</v>
      </c>
      <c r="I142" t="str">
        <f t="shared" si="10"/>
        <v>Dairy</v>
      </c>
      <c r="J142">
        <v>4.99</v>
      </c>
      <c r="K142">
        <f>Table1[[#This Row],[Target_product_price]]/Table1[[#This Row],[product_price_per_oz]]</f>
        <v>0.31187500000000001</v>
      </c>
    </row>
    <row r="143" spans="1:11" x14ac:dyDescent="0.2">
      <c r="A143" t="s">
        <v>406</v>
      </c>
      <c r="B143" t="s">
        <v>407</v>
      </c>
      <c r="C143" t="s">
        <v>408</v>
      </c>
      <c r="D143" t="str">
        <f>SUBSTITUTE(Table1[[#This Row],[Target_product_name]], "oz", " oz")</f>
        <v>Ben &amp; Jerry's Strawberry Cheesecake Ice Cream - 16 oz</v>
      </c>
      <c r="E143" t="str">
        <f t="shared" si="11"/>
        <v>16oz</v>
      </c>
      <c r="F143" t="str">
        <f>LEFT(Table1[[#This Row],[Target_product_quantity]], FIND("o", Table1[[#This Row],[Target_product_quantity]])-1)</f>
        <v>16</v>
      </c>
      <c r="G143" s="5" t="str" cm="1">
        <f t="array" ref="G143">_xlfn.TEXTJOIN("", TRUE, IF(ISNUMBER(SEARCH($K$1010:$K$1054, C143)), $K$1010:$K$1054, ""))</f>
        <v>Ben &amp; Jerry's</v>
      </c>
      <c r="H143" t="str">
        <f t="shared" si="9"/>
        <v>Milk</v>
      </c>
      <c r="I143" t="str">
        <f t="shared" si="10"/>
        <v>Dairy</v>
      </c>
      <c r="J143">
        <v>4.99</v>
      </c>
      <c r="K143">
        <f>Table1[[#This Row],[Target_product_price]]/Table1[[#This Row],[product_price_per_oz]]</f>
        <v>0.31187500000000001</v>
      </c>
    </row>
    <row r="144" spans="1:11" x14ac:dyDescent="0.2">
      <c r="A144" t="s">
        <v>409</v>
      </c>
      <c r="B144" t="s">
        <v>410</v>
      </c>
      <c r="C144" t="s">
        <v>411</v>
      </c>
      <c r="D144" t="str">
        <f>SUBSTITUTE(Table1[[#This Row],[Target_product_name]], "oz", " oz")</f>
        <v>Ben &amp; Jerry's The Tonight Dough Caramel &amp; Chocolate Ice Cream - 16 oz</v>
      </c>
      <c r="E144" t="str">
        <f t="shared" si="11"/>
        <v>16oz</v>
      </c>
      <c r="F144" t="str">
        <f>LEFT(Table1[[#This Row],[Target_product_quantity]], FIND("o", Table1[[#This Row],[Target_product_quantity]])-1)</f>
        <v>16</v>
      </c>
      <c r="G144" s="5" t="str" cm="1">
        <f t="array" ref="G144">_xlfn.TEXTJOIN("", TRUE, IF(ISNUMBER(SEARCH($K$1010:$K$1054, C144)), $K$1010:$K$1054, ""))</f>
        <v>Ben &amp; Jerry's</v>
      </c>
      <c r="H144" t="str">
        <f t="shared" si="9"/>
        <v>Milk</v>
      </c>
      <c r="I144" t="str">
        <f t="shared" si="10"/>
        <v>Dairy</v>
      </c>
      <c r="J144">
        <v>4.99</v>
      </c>
      <c r="K144">
        <f>Table1[[#This Row],[Target_product_price]]/Table1[[#This Row],[product_price_per_oz]]</f>
        <v>0.31187500000000001</v>
      </c>
    </row>
    <row r="145" spans="1:11" x14ac:dyDescent="0.2">
      <c r="A145" t="s">
        <v>412</v>
      </c>
      <c r="B145" t="s">
        <v>413</v>
      </c>
      <c r="C145" t="s">
        <v>414</v>
      </c>
      <c r="D145" t="str">
        <f>SUBSTITUTE(Table1[[#This Row],[Target_product_name]], "oz", " oz")</f>
        <v>Ben &amp; Jerry's Topped Bossin' Cream Pie Fr ozen Ice Cream - 15.2 oz</v>
      </c>
      <c r="E145" t="str">
        <f t="shared" si="11"/>
        <v>15.2oz</v>
      </c>
      <c r="F145" t="str">
        <f>LEFT(Table1[[#This Row],[Target_product_quantity]], FIND("o", Table1[[#This Row],[Target_product_quantity]])-1)</f>
        <v>15.2</v>
      </c>
      <c r="G145" t="str" cm="1">
        <f t="array" ref="G145">_xlfn.TEXTJOIN("", TRUE, IF(ISNUMBER(SEARCH($K$1010:$K$1054, C145)), $K$1010:$K$1054, ""))</f>
        <v>Ben &amp; Jerry's</v>
      </c>
      <c r="H145" t="str">
        <f t="shared" si="9"/>
        <v>Milk</v>
      </c>
      <c r="I145" t="str">
        <f t="shared" si="10"/>
        <v>Dairy</v>
      </c>
      <c r="J145">
        <v>4.99</v>
      </c>
      <c r="K145">
        <f>Table1[[#This Row],[Target_product_price]]/Table1[[#This Row],[product_price_per_oz]]</f>
        <v>0.32828947368421058</v>
      </c>
    </row>
    <row r="146" spans="1:11" x14ac:dyDescent="0.2">
      <c r="A146" t="s">
        <v>412</v>
      </c>
      <c r="B146" t="s">
        <v>415</v>
      </c>
      <c r="C146" t="s">
        <v>414</v>
      </c>
      <c r="D146" t="str">
        <f>SUBSTITUTE(Table1[[#This Row],[Target_product_name]], "oz", " oz")</f>
        <v>Ben &amp; Jerry's Topped Bossin' Cream Pie Fr ozen Ice Cream - 15.2 oz</v>
      </c>
      <c r="E146" t="str">
        <f t="shared" si="11"/>
        <v>15.2oz</v>
      </c>
      <c r="F146" t="str">
        <f>LEFT(Table1[[#This Row],[Target_product_quantity]], FIND("o", Table1[[#This Row],[Target_product_quantity]])-1)</f>
        <v>15.2</v>
      </c>
      <c r="G146" s="5" t="str" cm="1">
        <f t="array" ref="G146">_xlfn.TEXTJOIN("", TRUE, IF(ISNUMBER(SEARCH($K$1010:$K$1054, C146)), $K$1010:$K$1054, ""))</f>
        <v>Ben &amp; Jerry's</v>
      </c>
      <c r="H146" t="str">
        <f t="shared" si="9"/>
        <v>Milk</v>
      </c>
      <c r="I146" t="str">
        <f t="shared" si="10"/>
        <v>Dairy</v>
      </c>
      <c r="J146">
        <v>4.99</v>
      </c>
      <c r="K146">
        <f>Table1[[#This Row],[Target_product_price]]/Table1[[#This Row],[product_price_per_oz]]</f>
        <v>0.32828947368421058</v>
      </c>
    </row>
    <row r="147" spans="1:11" x14ac:dyDescent="0.2">
      <c r="A147" t="s">
        <v>416</v>
      </c>
      <c r="B147" t="s">
        <v>417</v>
      </c>
      <c r="C147" t="s">
        <v>418</v>
      </c>
      <c r="D147" t="str">
        <f>SUBSTITUTE(Table1[[#This Row],[Target_product_name]], "oz", " oz")</f>
        <v>Ben &amp; Jerry's Topped Ice Cream Dirt Cake Fr ozen Dessert - 15.2 oz</v>
      </c>
      <c r="E147" t="str">
        <f t="shared" si="11"/>
        <v>15.2oz</v>
      </c>
      <c r="F147" t="str">
        <f>LEFT(Table1[[#This Row],[Target_product_quantity]], FIND("o", Table1[[#This Row],[Target_product_quantity]])-1)</f>
        <v>15.2</v>
      </c>
      <c r="G147" s="5" t="str" cm="1">
        <f t="array" ref="G147">_xlfn.TEXTJOIN("", TRUE, IF(ISNUMBER(SEARCH($K$1010:$K$1054, C147)), $K$1010:$K$1054, ""))</f>
        <v>Ben &amp; Jerry's</v>
      </c>
      <c r="H147" t="str">
        <f t="shared" si="9"/>
        <v>Milk</v>
      </c>
      <c r="I147" t="str">
        <f t="shared" si="10"/>
        <v>Dairy</v>
      </c>
      <c r="J147">
        <v>4.99</v>
      </c>
      <c r="K147">
        <f>Table1[[#This Row],[Target_product_price]]/Table1[[#This Row],[product_price_per_oz]]</f>
        <v>0.32828947368421058</v>
      </c>
    </row>
    <row r="148" spans="1:11" x14ac:dyDescent="0.2">
      <c r="A148" t="s">
        <v>419</v>
      </c>
      <c r="B148" t="s">
        <v>420</v>
      </c>
      <c r="C148" t="s">
        <v>421</v>
      </c>
      <c r="D148" t="str">
        <f>SUBSTITUTE(Table1[[#This Row],[Target_product_name]], "oz", " oz")</f>
        <v>Ben &amp; Jerry's Topped Raspberry Cheesecake Ice Cream - 15.2 oz</v>
      </c>
      <c r="E148" t="str">
        <f t="shared" si="11"/>
        <v>15.2oz</v>
      </c>
      <c r="F148" t="str">
        <f>LEFT(Table1[[#This Row],[Target_product_quantity]], FIND("o", Table1[[#This Row],[Target_product_quantity]])-1)</f>
        <v>15.2</v>
      </c>
      <c r="G148" t="str" cm="1">
        <f t="array" ref="G148">_xlfn.TEXTJOIN("", TRUE, IF(ISNUMBER(SEARCH($K$1010:$K$1054, C148)), $K$1010:$K$1054, ""))</f>
        <v>Ben &amp; Jerry's</v>
      </c>
      <c r="H148" t="str">
        <f t="shared" si="9"/>
        <v>Milk</v>
      </c>
      <c r="I148" t="str">
        <f t="shared" si="10"/>
        <v>Dairy</v>
      </c>
      <c r="J148">
        <v>4.99</v>
      </c>
      <c r="K148">
        <f>Table1[[#This Row],[Target_product_price]]/Table1[[#This Row],[product_price_per_oz]]</f>
        <v>0.32828947368421058</v>
      </c>
    </row>
    <row r="149" spans="1:11" x14ac:dyDescent="0.2">
      <c r="A149" t="s">
        <v>422</v>
      </c>
      <c r="B149" t="s">
        <v>423</v>
      </c>
      <c r="C149" t="s">
        <v>424</v>
      </c>
      <c r="D149" t="str">
        <f>SUBSTITUTE(Table1[[#This Row],[Target_product_name]], "oz", " oz")</f>
        <v>Ben &amp; Jerry's Topped Salted Caramel Brownie Ice Cream - 15.2 oz</v>
      </c>
      <c r="E149" t="str">
        <f t="shared" si="11"/>
        <v>15.2oz</v>
      </c>
      <c r="F149" t="str">
        <f>LEFT(Table1[[#This Row],[Target_product_quantity]], FIND("o", Table1[[#This Row],[Target_product_quantity]])-1)</f>
        <v>15.2</v>
      </c>
      <c r="G149" s="5" t="str" cm="1">
        <f t="array" ref="G149">_xlfn.TEXTJOIN("", TRUE, IF(ISNUMBER(SEARCH($K$1010:$K$1054, C149)), $K$1010:$K$1054, ""))</f>
        <v>Ben &amp; Jerry's</v>
      </c>
      <c r="H149" t="str">
        <f t="shared" si="9"/>
        <v>Milk</v>
      </c>
      <c r="I149" t="str">
        <f t="shared" si="10"/>
        <v>Dairy</v>
      </c>
      <c r="J149">
        <v>4.99</v>
      </c>
      <c r="K149">
        <f>Table1[[#This Row],[Target_product_price]]/Table1[[#This Row],[product_price_per_oz]]</f>
        <v>0.32828947368421058</v>
      </c>
    </row>
    <row r="150" spans="1:11" x14ac:dyDescent="0.2">
      <c r="A150" t="s">
        <v>425</v>
      </c>
      <c r="B150" t="s">
        <v>426</v>
      </c>
      <c r="C150" t="s">
        <v>427</v>
      </c>
      <c r="D150" t="str">
        <f>SUBSTITUTE(Table1[[#This Row],[Target_product_name]], "oz", " oz")</f>
        <v>Ben &amp; Jerry's Topped Tiramisu Ice Cream - 15.2 oz</v>
      </c>
      <c r="E150" t="str">
        <f t="shared" si="11"/>
        <v>15.2oz</v>
      </c>
      <c r="F150" t="str">
        <f>LEFT(Table1[[#This Row],[Target_product_quantity]], FIND("o", Table1[[#This Row],[Target_product_quantity]])-1)</f>
        <v>15.2</v>
      </c>
      <c r="G150" t="str" cm="1">
        <f t="array" ref="G150">_xlfn.TEXTJOIN("", TRUE, IF(ISNUMBER(SEARCH($K$1010:$K$1054, C150)), $K$1010:$K$1054, ""))</f>
        <v>Ben &amp; Jerry's</v>
      </c>
      <c r="H150" t="str">
        <f t="shared" si="9"/>
        <v>Milk</v>
      </c>
      <c r="I150" t="str">
        <f t="shared" si="10"/>
        <v>Dairy</v>
      </c>
      <c r="J150">
        <v>4.99</v>
      </c>
      <c r="K150">
        <f>Table1[[#This Row],[Target_product_price]]/Table1[[#This Row],[product_price_per_oz]]</f>
        <v>0.32828947368421058</v>
      </c>
    </row>
    <row r="151" spans="1:11" x14ac:dyDescent="0.2">
      <c r="A151" t="s">
        <v>428</v>
      </c>
      <c r="B151" t="s">
        <v>429</v>
      </c>
      <c r="C151" t="s">
        <v>430</v>
      </c>
      <c r="D151" t="str">
        <f>SUBSTITUTE(Table1[[#This Row],[Target_product_name]], "oz", " oz")</f>
        <v>Ben &amp; Jerry's Vanilla Caramel Fudge Fr ozen Ice Cream - 16 oz</v>
      </c>
      <c r="E151" t="str">
        <f t="shared" si="11"/>
        <v>16oz</v>
      </c>
      <c r="F151" t="str">
        <f>LEFT(Table1[[#This Row],[Target_product_quantity]], FIND("o", Table1[[#This Row],[Target_product_quantity]])-1)</f>
        <v>16</v>
      </c>
      <c r="G151" t="str" cm="1">
        <f t="array" ref="G151">_xlfn.TEXTJOIN("", TRUE, IF(ISNUMBER(SEARCH($K$1010:$K$1054, C151)), $K$1010:$K$1054, ""))</f>
        <v>Ben &amp; Jerry's</v>
      </c>
      <c r="H151" t="str">
        <f t="shared" si="9"/>
        <v>Milk</v>
      </c>
      <c r="I151" t="str">
        <f t="shared" si="10"/>
        <v>Dairy</v>
      </c>
      <c r="J151">
        <v>4.99</v>
      </c>
      <c r="K151">
        <f>Table1[[#This Row],[Target_product_price]]/Table1[[#This Row],[product_price_per_oz]]</f>
        <v>0.31187500000000001</v>
      </c>
    </row>
    <row r="152" spans="1:11" x14ac:dyDescent="0.2">
      <c r="A152" t="s">
        <v>431</v>
      </c>
      <c r="B152" t="s">
        <v>432</v>
      </c>
      <c r="C152" t="s">
        <v>433</v>
      </c>
      <c r="D152" t="str">
        <f>SUBSTITUTE(Table1[[#This Row],[Target_product_name]], "oz", " oz")</f>
        <v>Ben's Original Basmati Ready Rice Family Size - 17.3 oz</v>
      </c>
      <c r="E152" t="str">
        <f t="shared" si="11"/>
        <v>17.3oz</v>
      </c>
      <c r="F152" t="str">
        <f>LEFT(Table1[[#This Row],[Target_product_quantity]], FIND("o", Table1[[#This Row],[Target_product_quantity]])-1)</f>
        <v>17.3</v>
      </c>
      <c r="G152" t="str" cm="1">
        <f t="array" ref="G152">_xlfn.TEXTJOIN("", TRUE, IF(ISNUMBER(SEARCH($K$1010:$K$1054, C152)), $K$1010:$K$1054, ""))</f>
        <v>Ben's Original</v>
      </c>
      <c r="H152" t="str">
        <f t="shared" si="9"/>
        <v>Rice</v>
      </c>
      <c r="I152" t="str">
        <f t="shared" si="10"/>
        <v>Grain</v>
      </c>
      <c r="J152" s="4">
        <v>4.99</v>
      </c>
      <c r="K152">
        <f>Table1[[#This Row],[Target_product_price]]/Table1[[#This Row],[product_price_per_oz]]</f>
        <v>0.2884393063583815</v>
      </c>
    </row>
    <row r="153" spans="1:11" x14ac:dyDescent="0.2">
      <c r="A153" t="s">
        <v>434</v>
      </c>
      <c r="B153" t="s">
        <v>435</v>
      </c>
      <c r="C153" t="s">
        <v>436</v>
      </c>
      <c r="D153" t="str">
        <f>SUBSTITUTE(Table1[[#This Row],[Target_product_name]], "oz", " oz")</f>
        <v>Ben's Original Jasmine Ready Rice Family Size - 17.3 oz</v>
      </c>
      <c r="E153" t="str">
        <f t="shared" si="11"/>
        <v>17.3oz</v>
      </c>
      <c r="F153" t="str">
        <f>LEFT(Table1[[#This Row],[Target_product_quantity]], FIND("o", Table1[[#This Row],[Target_product_quantity]])-1)</f>
        <v>17.3</v>
      </c>
      <c r="G153" t="str" cm="1">
        <f t="array" ref="G153">_xlfn.TEXTJOIN("", TRUE, IF(ISNUMBER(SEARCH($K$1010:$K$1054, C153)), $K$1010:$K$1054, ""))</f>
        <v>Ben's Original</v>
      </c>
      <c r="H153" t="str">
        <f t="shared" si="9"/>
        <v>Rice</v>
      </c>
      <c r="I153" t="str">
        <f t="shared" si="10"/>
        <v>Grain</v>
      </c>
      <c r="J153" s="4">
        <v>4.99</v>
      </c>
      <c r="K153">
        <f>Table1[[#This Row],[Target_product_price]]/Table1[[#This Row],[product_price_per_oz]]</f>
        <v>0.2884393063583815</v>
      </c>
    </row>
    <row r="154" spans="1:11" x14ac:dyDescent="0.2">
      <c r="A154" t="s">
        <v>437</v>
      </c>
      <c r="B154" t="s">
        <v>438</v>
      </c>
      <c r="C154" t="s">
        <v>439</v>
      </c>
      <c r="D154" t="str">
        <f>SUBSTITUTE(Table1[[#This Row],[Target_product_name]], "oz", " oz")</f>
        <v>Ben's Original Ready Rice Basmati Microwavable Pouch - 8.5 oz</v>
      </c>
      <c r="E154" t="str">
        <f t="shared" si="11"/>
        <v>8.5oz</v>
      </c>
      <c r="F154" t="str">
        <f>LEFT(Table1[[#This Row],[Target_product_quantity]], FIND("o", Table1[[#This Row],[Target_product_quantity]])-1)</f>
        <v>8.5</v>
      </c>
      <c r="G154" t="str" cm="1">
        <f t="array" ref="G154">_xlfn.TEXTJOIN("", TRUE, IF(ISNUMBER(SEARCH($K$1010:$K$1054, C154)), $K$1010:$K$1054, ""))</f>
        <v>Ben's Original</v>
      </c>
      <c r="H154" t="str">
        <f t="shared" si="9"/>
        <v>Rice</v>
      </c>
      <c r="I154" t="str">
        <f t="shared" si="10"/>
        <v>Grain</v>
      </c>
      <c r="J154" s="4">
        <v>2.4900000000000002</v>
      </c>
      <c r="K154">
        <f>Table1[[#This Row],[Target_product_price]]/Table1[[#This Row],[product_price_per_oz]]</f>
        <v>0.29294117647058826</v>
      </c>
    </row>
    <row r="155" spans="1:11" x14ac:dyDescent="0.2">
      <c r="A155" t="s">
        <v>440</v>
      </c>
      <c r="B155" t="s">
        <v>441</v>
      </c>
      <c r="C155" t="s">
        <v>442</v>
      </c>
      <c r="D155" t="str">
        <f>SUBSTITUTE(Table1[[#This Row],[Target_product_name]], "oz", " oz")</f>
        <v>Ben's Original Ready Rice Coconut Jasmine - 8.5 oz</v>
      </c>
      <c r="E155" t="str">
        <f t="shared" si="11"/>
        <v>8.5oz</v>
      </c>
      <c r="F155" t="str">
        <f>LEFT(Table1[[#This Row],[Target_product_quantity]], FIND("o", Table1[[#This Row],[Target_product_quantity]])-1)</f>
        <v>8.5</v>
      </c>
      <c r="G155" t="str" cm="1">
        <f t="array" ref="G155">_xlfn.TEXTJOIN("", TRUE, IF(ISNUMBER(SEARCH($K$1010:$K$1054, C155)), $K$1010:$K$1054, ""))</f>
        <v>Ben's Original</v>
      </c>
      <c r="H155" t="str">
        <f t="shared" si="9"/>
        <v>Rice</v>
      </c>
      <c r="I155" t="str">
        <f t="shared" si="10"/>
        <v>Grain</v>
      </c>
      <c r="J155" s="4">
        <v>3.59</v>
      </c>
      <c r="K155">
        <f>Table1[[#This Row],[Target_product_price]]/Table1[[#This Row],[product_price_per_oz]]</f>
        <v>0.4223529411764706</v>
      </c>
    </row>
    <row r="156" spans="1:11" x14ac:dyDescent="0.2">
      <c r="A156" t="s">
        <v>443</v>
      </c>
      <c r="B156" t="s">
        <v>444</v>
      </c>
      <c r="C156" t="s">
        <v>445</v>
      </c>
      <c r="D156" t="str">
        <f>SUBSTITUTE(Table1[[#This Row],[Target_product_name]], "oz", " oz")</f>
        <v>Ben's Original Ready Rice Garden Vegetable Microwavable Pouch - 8.8 oz</v>
      </c>
      <c r="E156" t="str">
        <f t="shared" si="11"/>
        <v>8.8oz</v>
      </c>
      <c r="F156" t="str">
        <f>LEFT(Table1[[#This Row],[Target_product_quantity]], FIND("o", Table1[[#This Row],[Target_product_quantity]])-1)</f>
        <v>8.8</v>
      </c>
      <c r="G156" t="str" cm="1">
        <f t="array" ref="G156">_xlfn.TEXTJOIN("", TRUE, IF(ISNUMBER(SEARCH($K$1010:$K$1054, C156)), $K$1010:$K$1054, ""))</f>
        <v>Ben's Original</v>
      </c>
      <c r="H156" t="str">
        <f t="shared" si="9"/>
        <v>Rice</v>
      </c>
      <c r="I156" t="str">
        <f t="shared" si="10"/>
        <v>Grain</v>
      </c>
      <c r="J156" s="4">
        <v>2.4900000000000002</v>
      </c>
      <c r="K156">
        <f>Table1[[#This Row],[Target_product_price]]/Table1[[#This Row],[product_price_per_oz]]</f>
        <v>0.28295454545454546</v>
      </c>
    </row>
    <row r="157" spans="1:11" x14ac:dyDescent="0.2">
      <c r="A157" t="s">
        <v>446</v>
      </c>
      <c r="B157" t="s">
        <v>447</v>
      </c>
      <c r="C157" t="s">
        <v>448</v>
      </c>
      <c r="D157" t="str">
        <f>SUBSTITUTE(Table1[[#This Row],[Target_product_name]], "oz", " oz")</f>
        <v>Ben's Original Ready Rice Jasmine Rice Microwavable Pouch - 8.5 oz</v>
      </c>
      <c r="E157" t="str">
        <f t="shared" si="11"/>
        <v>8.5oz</v>
      </c>
      <c r="F157" t="str">
        <f>LEFT(Table1[[#This Row],[Target_product_quantity]], FIND("o", Table1[[#This Row],[Target_product_quantity]])-1)</f>
        <v>8.5</v>
      </c>
      <c r="G157" t="str" cm="1">
        <f t="array" ref="G157">_xlfn.TEXTJOIN("", TRUE, IF(ISNUMBER(SEARCH($K$1010:$K$1054, C157)), $K$1010:$K$1054, ""))</f>
        <v>Ben's Original</v>
      </c>
      <c r="H157" t="str">
        <f t="shared" si="9"/>
        <v>Rice</v>
      </c>
      <c r="I157" t="str">
        <f t="shared" si="10"/>
        <v>Grain</v>
      </c>
      <c r="J157" s="4">
        <v>2.4900000000000002</v>
      </c>
      <c r="K157">
        <f>Table1[[#This Row],[Target_product_price]]/Table1[[#This Row],[product_price_per_oz]]</f>
        <v>0.29294117647058826</v>
      </c>
    </row>
    <row r="158" spans="1:11" x14ac:dyDescent="0.2">
      <c r="A158" t="s">
        <v>449</v>
      </c>
      <c r="B158" t="s">
        <v>450</v>
      </c>
      <c r="C158" t="s">
        <v>451</v>
      </c>
      <c r="D158" t="str">
        <f>SUBSTITUTE(Table1[[#This Row],[Target_product_name]], "oz", " oz")</f>
        <v>Ben's Original Ready Rice Rice Pilaf Microwavable Pouch - 8.8 oz</v>
      </c>
      <c r="E158" t="str">
        <f t="shared" si="11"/>
        <v>8.8oz</v>
      </c>
      <c r="F158" t="str">
        <f>LEFT(Table1[[#This Row],[Target_product_quantity]], FIND("o", Table1[[#This Row],[Target_product_quantity]])-1)</f>
        <v>8.8</v>
      </c>
      <c r="G158" t="str" cm="1">
        <f t="array" ref="G158">_xlfn.TEXTJOIN("", TRUE, IF(ISNUMBER(SEARCH($K$1010:$K$1054, C158)), $K$1010:$K$1054, ""))</f>
        <v>Ben's Original</v>
      </c>
      <c r="H158" t="str">
        <f t="shared" si="9"/>
        <v>Rice</v>
      </c>
      <c r="I158" t="str">
        <f t="shared" si="10"/>
        <v>Grain</v>
      </c>
      <c r="J158" s="4">
        <v>2.4900000000000002</v>
      </c>
      <c r="K158">
        <f>Table1[[#This Row],[Target_product_price]]/Table1[[#This Row],[product_price_per_oz]]</f>
        <v>0.28295454545454546</v>
      </c>
    </row>
    <row r="159" spans="1:11" x14ac:dyDescent="0.2">
      <c r="A159" t="s">
        <v>452</v>
      </c>
      <c r="B159" t="s">
        <v>453</v>
      </c>
      <c r="C159" t="s">
        <v>454</v>
      </c>
      <c r="D159" t="str">
        <f>SUBSTITUTE(Table1[[#This Row],[Target_product_name]], "oz", " oz")</f>
        <v>Ben's Original Ready Rice Roasted Chicken Family Size - 17.3 oz</v>
      </c>
      <c r="E159" t="str">
        <f t="shared" si="11"/>
        <v>17.3oz</v>
      </c>
      <c r="F159" t="str">
        <f>LEFT(Table1[[#This Row],[Target_product_quantity]], FIND("o", Table1[[#This Row],[Target_product_quantity]])-1)</f>
        <v>17.3</v>
      </c>
      <c r="G159" t="str" cm="1">
        <f t="array" ref="G159">_xlfn.TEXTJOIN("", TRUE, IF(ISNUMBER(SEARCH($K$1010:$K$1054, C159)), $K$1010:$K$1054, ""))</f>
        <v>Ben's Original</v>
      </c>
      <c r="H159" t="str">
        <f t="shared" si="9"/>
        <v>Rice</v>
      </c>
      <c r="I159" t="str">
        <f t="shared" si="10"/>
        <v>Grain</v>
      </c>
      <c r="J159" s="4">
        <v>4.99</v>
      </c>
      <c r="K159">
        <f>Table1[[#This Row],[Target_product_price]]/Table1[[#This Row],[product_price_per_oz]]</f>
        <v>0.2884393063583815</v>
      </c>
    </row>
    <row r="160" spans="1:11" x14ac:dyDescent="0.2">
      <c r="A160" t="s">
        <v>455</v>
      </c>
      <c r="B160" t="s">
        <v>456</v>
      </c>
      <c r="C160" t="s">
        <v>457</v>
      </c>
      <c r="D160" t="str">
        <f>SUBSTITUTE(Table1[[#This Row],[Target_product_name]], "oz", " oz")</f>
        <v>Ben's Original Ready Rice Roasted Chicken Rice Microwavable Pouch - 8.8 oz</v>
      </c>
      <c r="E160" t="str">
        <f t="shared" si="11"/>
        <v>8.8oz</v>
      </c>
      <c r="F160" t="str">
        <f>LEFT(Table1[[#This Row],[Target_product_quantity]], FIND("o", Table1[[#This Row],[Target_product_quantity]])-1)</f>
        <v>8.8</v>
      </c>
      <c r="G160" t="str" cm="1">
        <f t="array" ref="G160">_xlfn.TEXTJOIN("", TRUE, IF(ISNUMBER(SEARCH($K$1010:$K$1054, C160)), $K$1010:$K$1054, ""))</f>
        <v>Ben's Original</v>
      </c>
      <c r="H160" t="str">
        <f t="shared" si="9"/>
        <v>Rice</v>
      </c>
      <c r="I160" t="str">
        <f t="shared" si="10"/>
        <v>Grain</v>
      </c>
      <c r="J160" s="4">
        <v>2.4900000000000002</v>
      </c>
      <c r="K160">
        <f>Table1[[#This Row],[Target_product_price]]/Table1[[#This Row],[product_price_per_oz]]</f>
        <v>0.28295454545454546</v>
      </c>
    </row>
    <row r="161" spans="1:11" x14ac:dyDescent="0.2">
      <c r="A161" t="s">
        <v>458</v>
      </c>
      <c r="B161" t="s">
        <v>459</v>
      </c>
      <c r="C161" t="s">
        <v>460</v>
      </c>
      <c r="D161" t="str">
        <f>SUBSTITUTE(Table1[[#This Row],[Target_product_name]], "oz", " oz")</f>
        <v>Ben's Original Ready Rice Spanish Family Size - 17.3 oz</v>
      </c>
      <c r="E161" t="str">
        <f t="shared" si="11"/>
        <v>17.3oz</v>
      </c>
      <c r="F161" t="str">
        <f>LEFT(Table1[[#This Row],[Target_product_quantity]], FIND("o", Table1[[#This Row],[Target_product_quantity]])-1)</f>
        <v>17.3</v>
      </c>
      <c r="G161" t="str" cm="1">
        <f t="array" ref="G161">_xlfn.TEXTJOIN("", TRUE, IF(ISNUMBER(SEARCH($K$1010:$K$1054, C161)), $K$1010:$K$1054, ""))</f>
        <v>Ben's Original</v>
      </c>
      <c r="H161" t="str">
        <f t="shared" si="9"/>
        <v>Rice</v>
      </c>
      <c r="I161" t="str">
        <f t="shared" si="10"/>
        <v>Grain</v>
      </c>
      <c r="J161" s="4">
        <v>4.99</v>
      </c>
      <c r="K161">
        <f>Table1[[#This Row],[Target_product_price]]/Table1[[#This Row],[product_price_per_oz]]</f>
        <v>0.2884393063583815</v>
      </c>
    </row>
    <row r="162" spans="1:11" x14ac:dyDescent="0.2">
      <c r="A162" t="s">
        <v>461</v>
      </c>
      <c r="B162" t="s">
        <v>462</v>
      </c>
      <c r="C162" t="s">
        <v>463</v>
      </c>
      <c r="D162" t="str">
        <f>SUBSTITUTE(Table1[[#This Row],[Target_product_name]], "oz", " oz")</f>
        <v>Ben's Original Ready Rice Spanish Style Rice Microwavable Pouch - 8.8 oz</v>
      </c>
      <c r="E162" t="str">
        <f t="shared" si="11"/>
        <v>8.8oz</v>
      </c>
      <c r="F162" t="str">
        <f>LEFT(Table1[[#This Row],[Target_product_quantity]], FIND("o", Table1[[#This Row],[Target_product_quantity]])-1)</f>
        <v>8.8</v>
      </c>
      <c r="G162" t="str" cm="1">
        <f t="array" ref="G162">_xlfn.TEXTJOIN("", TRUE, IF(ISNUMBER(SEARCH($K$1010:$K$1054, C162)), $K$1010:$K$1054, ""))</f>
        <v>Ben's Original</v>
      </c>
      <c r="H162" t="str">
        <f t="shared" si="9"/>
        <v>Rice</v>
      </c>
      <c r="I162" t="str">
        <f t="shared" si="10"/>
        <v>Grain</v>
      </c>
      <c r="J162" s="4">
        <v>2.4900000000000002</v>
      </c>
      <c r="K162">
        <f>Table1[[#This Row],[Target_product_price]]/Table1[[#This Row],[product_price_per_oz]]</f>
        <v>0.28295454545454546</v>
      </c>
    </row>
    <row r="163" spans="1:11" x14ac:dyDescent="0.2">
      <c r="A163" t="s">
        <v>464</v>
      </c>
      <c r="B163" t="s">
        <v>465</v>
      </c>
      <c r="C163" t="s">
        <v>466</v>
      </c>
      <c r="D163" t="str">
        <f>SUBSTITUTE(Table1[[#This Row],[Target_product_name]], "oz", " oz")</f>
        <v>Ben's Original Ready Rice Spicy Mexican - 8.5 oz</v>
      </c>
      <c r="E163" t="str">
        <f t="shared" si="11"/>
        <v>8.5oz</v>
      </c>
      <c r="F163" t="str">
        <f>LEFT(Table1[[#This Row],[Target_product_quantity]], FIND("o", Table1[[#This Row],[Target_product_quantity]])-1)</f>
        <v>8.5</v>
      </c>
      <c r="G163" t="str" cm="1">
        <f t="array" ref="G163">_xlfn.TEXTJOIN("", TRUE, IF(ISNUMBER(SEARCH($K$1010:$K$1054, C163)), $K$1010:$K$1054, ""))</f>
        <v>Ben's Original</v>
      </c>
      <c r="H163" t="str">
        <f t="shared" si="9"/>
        <v>Rice</v>
      </c>
      <c r="I163" t="str">
        <f t="shared" si="10"/>
        <v>Grain</v>
      </c>
      <c r="J163" s="4">
        <v>2.29</v>
      </c>
      <c r="K163">
        <f>Table1[[#This Row],[Target_product_price]]/Table1[[#This Row],[product_price_per_oz]]</f>
        <v>0.26941176470588235</v>
      </c>
    </row>
    <row r="164" spans="1:11" x14ac:dyDescent="0.2">
      <c r="A164" t="s">
        <v>467</v>
      </c>
      <c r="B164" t="s">
        <v>468</v>
      </c>
      <c r="C164" t="s">
        <v>469</v>
      </c>
      <c r="D164" t="str">
        <f>SUBSTITUTE(Table1[[#This Row],[Target_product_name]], "oz", " oz")</f>
        <v>Ben's Original Ready Rice Tikka Masala - 8.5 oz</v>
      </c>
      <c r="E164" t="str">
        <f t="shared" si="11"/>
        <v>8.5oz</v>
      </c>
      <c r="F164" t="str">
        <f>LEFT(Table1[[#This Row],[Target_product_quantity]], FIND("o", Table1[[#This Row],[Target_product_quantity]])-1)</f>
        <v>8.5</v>
      </c>
      <c r="G164" t="str" cm="1">
        <f t="array" ref="G164">_xlfn.TEXTJOIN("", TRUE, IF(ISNUMBER(SEARCH($K$1010:$K$1054, C164)), $K$1010:$K$1054, ""))</f>
        <v>Ben's Original</v>
      </c>
      <c r="H164" t="str">
        <f t="shared" si="9"/>
        <v>Rice</v>
      </c>
      <c r="I164" t="str">
        <f t="shared" si="10"/>
        <v>Grain</v>
      </c>
      <c r="J164" s="4">
        <v>2.29</v>
      </c>
      <c r="K164">
        <f>Table1[[#This Row],[Target_product_price]]/Table1[[#This Row],[product_price_per_oz]]</f>
        <v>0.26941176470588235</v>
      </c>
    </row>
    <row r="165" spans="1:11" x14ac:dyDescent="0.2">
      <c r="A165" t="s">
        <v>470</v>
      </c>
      <c r="B165" t="s">
        <v>471</v>
      </c>
      <c r="C165" t="s">
        <v>472</v>
      </c>
      <c r="D165" t="str">
        <f>SUBSTITUTE(Table1[[#This Row],[Target_product_name]], "oz", " oz")</f>
        <v>Ben's Original Ready Rice White Rice Microwavable Pouch - 8.8 oz</v>
      </c>
      <c r="E165" t="str">
        <f t="shared" si="11"/>
        <v>8.8oz</v>
      </c>
      <c r="F165" t="str">
        <f>LEFT(Table1[[#This Row],[Target_product_quantity]], FIND("o", Table1[[#This Row],[Target_product_quantity]])-1)</f>
        <v>8.8</v>
      </c>
      <c r="G165" t="str" cm="1">
        <f t="array" ref="G165">_xlfn.TEXTJOIN("", TRUE, IF(ISNUMBER(SEARCH($K$1010:$K$1054, C165)), $K$1010:$K$1054, ""))</f>
        <v>Ben's Original</v>
      </c>
      <c r="H165" t="str">
        <f t="shared" si="9"/>
        <v>Rice</v>
      </c>
      <c r="I165" t="str">
        <f t="shared" si="10"/>
        <v>Grain</v>
      </c>
      <c r="J165" s="4">
        <v>2.4900000000000002</v>
      </c>
      <c r="K165">
        <f>Table1[[#This Row],[Target_product_price]]/Table1[[#This Row],[product_price_per_oz]]</f>
        <v>0.28295454545454546</v>
      </c>
    </row>
    <row r="166" spans="1:11" x14ac:dyDescent="0.2">
      <c r="A166" t="s">
        <v>473</v>
      </c>
      <c r="B166" t="s">
        <v>474</v>
      </c>
      <c r="C166" t="s">
        <v>475</v>
      </c>
      <c r="D166" t="str">
        <f>SUBSTITUTE(Table1[[#This Row],[Target_product_name]], "oz", " oz")</f>
        <v>Ben's Original Ready Rice Whole Grain Brown Rice Microwavable Pouch - 8.8 oz</v>
      </c>
      <c r="E166" t="str">
        <f t="shared" si="11"/>
        <v>8.8oz</v>
      </c>
      <c r="F166" t="str">
        <f>LEFT(Table1[[#This Row],[Target_product_quantity]], FIND("o", Table1[[#This Row],[Target_product_quantity]])-1)</f>
        <v>8.8</v>
      </c>
      <c r="G166" t="str" cm="1">
        <f t="array" ref="G166">_xlfn.TEXTJOIN("", TRUE, IF(ISNUMBER(SEARCH($K$1010:$K$1054, C166)), $K$1010:$K$1054, ""))</f>
        <v>Ben's Original</v>
      </c>
      <c r="H166" t="str">
        <f t="shared" si="9"/>
        <v>Rice</v>
      </c>
      <c r="I166" t="str">
        <f t="shared" si="10"/>
        <v>Grain</v>
      </c>
      <c r="J166" s="4">
        <v>2.4900000000000002</v>
      </c>
      <c r="K166">
        <f>Table1[[#This Row],[Target_product_price]]/Table1[[#This Row],[product_price_per_oz]]</f>
        <v>0.28295454545454546</v>
      </c>
    </row>
    <row r="167" spans="1:11" x14ac:dyDescent="0.2">
      <c r="A167" t="s">
        <v>476</v>
      </c>
      <c r="B167" t="s">
        <v>477</v>
      </c>
      <c r="C167" t="s">
        <v>478</v>
      </c>
      <c r="D167" t="str">
        <f>SUBSTITUTE(Table1[[#This Row],[Target_product_name]], "oz", " oz")</f>
        <v>Ben's Original Seasoned Long Grain &amp; Wild Rice - 6 oz</v>
      </c>
      <c r="E167" t="str">
        <f t="shared" si="11"/>
        <v>6oz</v>
      </c>
      <c r="F167" t="str">
        <f>LEFT(Table1[[#This Row],[Target_product_quantity]], FIND("o", Table1[[#This Row],[Target_product_quantity]])-1)</f>
        <v>6</v>
      </c>
      <c r="G167" t="str" cm="1">
        <f t="array" ref="G167">_xlfn.TEXTJOIN("", TRUE, IF(ISNUMBER(SEARCH($K$1010:$K$1054, C167)), $K$1010:$K$1054, ""))</f>
        <v>Ben's Original</v>
      </c>
      <c r="H167" t="str">
        <f t="shared" si="9"/>
        <v>Rice</v>
      </c>
      <c r="I167" t="str">
        <f t="shared" si="10"/>
        <v>Grain</v>
      </c>
      <c r="J167" s="4">
        <v>2.59</v>
      </c>
      <c r="K167">
        <f>Table1[[#This Row],[Target_product_price]]/Table1[[#This Row],[product_price_per_oz]]</f>
        <v>0.43166666666666664</v>
      </c>
    </row>
    <row r="168" spans="1:11" x14ac:dyDescent="0.2">
      <c r="A168" t="s">
        <v>479</v>
      </c>
      <c r="B168" t="s">
        <v>480</v>
      </c>
      <c r="C168" t="s">
        <v>481</v>
      </c>
      <c r="D168" t="str">
        <f>SUBSTITUTE(Table1[[#This Row],[Target_product_name]], "oz", " oz")</f>
        <v>Betty Crocker Oreo Brownie Mix - 9.3 oz</v>
      </c>
      <c r="E168" t="str">
        <f t="shared" si="11"/>
        <v>9.3oz</v>
      </c>
      <c r="F168" t="str">
        <f>LEFT(Table1[[#This Row],[Target_product_quantity]], FIND("o", Table1[[#This Row],[Target_product_quantity]])-1)</f>
        <v>9.3</v>
      </c>
      <c r="G168" t="str" cm="1">
        <f t="array" ref="G168">_xlfn.TEXTJOIN("", TRUE, IF(ISNUMBER(SEARCH($K$1010:$K$1054, C168)), $K$1010:$K$1054, ""))</f>
        <v>Oreo</v>
      </c>
      <c r="H168" t="str">
        <f t="shared" si="9"/>
        <v>Prepared Food</v>
      </c>
      <c r="I168" t="str">
        <f t="shared" si="10"/>
        <v>Prepared Food</v>
      </c>
      <c r="J168">
        <v>4.3899999999999997</v>
      </c>
      <c r="K168">
        <f>Table1[[#This Row],[Target_product_price]]/Table1[[#This Row],[product_price_per_oz]]</f>
        <v>0.47204301075268812</v>
      </c>
    </row>
    <row r="169" spans="1:11" x14ac:dyDescent="0.2">
      <c r="A169" t="s">
        <v>482</v>
      </c>
      <c r="B169" t="s">
        <v>483</v>
      </c>
      <c r="C169" t="s">
        <v>484</v>
      </c>
      <c r="D169" t="str">
        <f>SUBSTITUTE(Table1[[#This Row],[Target_product_name]], "oz", " oz")</f>
        <v>Birds Eye Fr ozen Chicken Flavored Rice with Broccoli-Carrots &amp; Onions - 10 oz</v>
      </c>
      <c r="E169" t="s">
        <v>485</v>
      </c>
      <c r="F169" t="str">
        <f>LEFT(Table1[[#This Row],[Target_product_quantity]], FIND("o", Table1[[#This Row],[Target_product_quantity]])-1)</f>
        <v>10</v>
      </c>
      <c r="G169" t="str" cm="1">
        <f t="array" ref="G169">_xlfn.TEXTJOIN("", TRUE, IF(ISNUMBER(SEARCH($K$1010:$K$1054, C169)), $K$1010:$K$1054, ""))</f>
        <v>Birds Eye</v>
      </c>
      <c r="H169" t="str">
        <f t="shared" si="9"/>
        <v>Canned Vegetables</v>
      </c>
      <c r="I169" t="str">
        <f t="shared" si="10"/>
        <v>Fruit &amp; Vegetables</v>
      </c>
      <c r="J169">
        <v>2.99</v>
      </c>
      <c r="K169">
        <f>Table1[[#This Row],[Target_product_price]]/Table1[[#This Row],[product_price_per_oz]]</f>
        <v>0.29900000000000004</v>
      </c>
    </row>
    <row r="170" spans="1:11" x14ac:dyDescent="0.2">
      <c r="A170" t="s">
        <v>486</v>
      </c>
      <c r="B170" t="s">
        <v>487</v>
      </c>
      <c r="C170" t="s">
        <v>488</v>
      </c>
      <c r="D170" t="str">
        <f>SUBSTITUTE(Table1[[#This Row],[Target_product_name]], "oz", " oz")</f>
        <v>Birds Eye Fr ozen Chopped Spinach - 10 oz</v>
      </c>
      <c r="E170" t="str">
        <f t="shared" ref="E170:E181" si="12">TRIM(RIGHT(C170, LEN(C170) - FIND("-", C170)))</f>
        <v>10oz</v>
      </c>
      <c r="F170" t="str">
        <f>LEFT(Table1[[#This Row],[Target_product_quantity]], FIND("o", Table1[[#This Row],[Target_product_quantity]])-1)</f>
        <v>10</v>
      </c>
      <c r="G170" t="str" cm="1">
        <f t="array" ref="G170">_xlfn.TEXTJOIN("", TRUE, IF(ISNUMBER(SEARCH($K$1010:$K$1054, C170)), $K$1010:$K$1054, ""))</f>
        <v>Birds Eye</v>
      </c>
      <c r="H170" t="str">
        <f t="shared" si="9"/>
        <v>Canned Vegetables</v>
      </c>
      <c r="I170" t="str">
        <f t="shared" si="10"/>
        <v>Fruit &amp; Vegetables</v>
      </c>
      <c r="J170">
        <v>2.59</v>
      </c>
      <c r="K170">
        <f>Table1[[#This Row],[Target_product_price]]/Table1[[#This Row],[product_price_per_oz]]</f>
        <v>0.25900000000000001</v>
      </c>
    </row>
    <row r="171" spans="1:11" x14ac:dyDescent="0.2">
      <c r="A171" t="s">
        <v>489</v>
      </c>
      <c r="B171" t="s">
        <v>490</v>
      </c>
      <c r="C171" t="s">
        <v>491</v>
      </c>
      <c r="D171" t="str">
        <f>SUBSTITUTE(Table1[[#This Row],[Target_product_name]], "oz", " oz")</f>
        <v>Birds Eye Fr ozen Crispy Green Beans - 12 oz</v>
      </c>
      <c r="E171" t="str">
        <f t="shared" si="12"/>
        <v>12oz</v>
      </c>
      <c r="F171" t="str">
        <f>LEFT(Table1[[#This Row],[Target_product_quantity]], FIND("o", Table1[[#This Row],[Target_product_quantity]])-1)</f>
        <v>12</v>
      </c>
      <c r="G171" t="str" cm="1">
        <f t="array" ref="G171">_xlfn.TEXTJOIN("", TRUE, IF(ISNUMBER(SEARCH($K$1010:$K$1054, C171)), $K$1010:$K$1054, ""))</f>
        <v>Birds Eye</v>
      </c>
      <c r="H171" t="str">
        <f t="shared" si="9"/>
        <v>Canned Vegetables</v>
      </c>
      <c r="I171" t="str">
        <f t="shared" si="10"/>
        <v>Fruit &amp; Vegetables</v>
      </c>
      <c r="J171">
        <v>3.19</v>
      </c>
      <c r="K171">
        <f>Table1[[#This Row],[Target_product_price]]/Table1[[#This Row],[product_price_per_oz]]</f>
        <v>0.26583333333333331</v>
      </c>
    </row>
    <row r="172" spans="1:11" x14ac:dyDescent="0.2">
      <c r="A172" t="s">
        <v>492</v>
      </c>
      <c r="B172" t="s">
        <v>493</v>
      </c>
      <c r="C172" t="s">
        <v>494</v>
      </c>
      <c r="D172" t="str">
        <f>SUBSTITUTE(Table1[[#This Row],[Target_product_name]], "oz", " oz")</f>
        <v>Birds Eye Fr ozen Fire Roasted Corn - 12 oz</v>
      </c>
      <c r="E172" t="str">
        <f t="shared" si="12"/>
        <v>12oz</v>
      </c>
      <c r="F172" t="str">
        <f>LEFT(Table1[[#This Row],[Target_product_quantity]], FIND("o", Table1[[#This Row],[Target_product_quantity]])-1)</f>
        <v>12</v>
      </c>
      <c r="G172" t="str" cm="1">
        <f t="array" ref="G172">_xlfn.TEXTJOIN("", TRUE, IF(ISNUMBER(SEARCH($K$1010:$K$1054, C172)), $K$1010:$K$1054, ""))</f>
        <v>Birds Eye</v>
      </c>
      <c r="H172" t="str">
        <f t="shared" si="9"/>
        <v>Canned Vegetables</v>
      </c>
      <c r="I172" t="str">
        <f t="shared" si="10"/>
        <v>Fruit &amp; Vegetables</v>
      </c>
      <c r="J172">
        <v>4.29</v>
      </c>
      <c r="K172">
        <f>Table1[[#This Row],[Target_product_price]]/Table1[[#This Row],[product_price_per_oz]]</f>
        <v>0.35749999999999998</v>
      </c>
    </row>
    <row r="173" spans="1:11" x14ac:dyDescent="0.2">
      <c r="A173" t="s">
        <v>495</v>
      </c>
      <c r="B173" t="s">
        <v>496</v>
      </c>
      <c r="C173" t="s">
        <v>497</v>
      </c>
      <c r="D173" t="str">
        <f>SUBSTITUTE(Table1[[#This Row],[Target_product_name]], "oz", " oz")</f>
        <v>Birds Eye Fr ozen Fire Roasted Peppers &amp; Onions - 12 oz</v>
      </c>
      <c r="E173" t="str">
        <f t="shared" si="12"/>
        <v>12oz</v>
      </c>
      <c r="F173" t="str">
        <f>LEFT(Table1[[#This Row],[Target_product_quantity]], FIND("o", Table1[[#This Row],[Target_product_quantity]])-1)</f>
        <v>12</v>
      </c>
      <c r="G173" t="str" cm="1">
        <f t="array" ref="G173">_xlfn.TEXTJOIN("", TRUE, IF(ISNUMBER(SEARCH($K$1010:$K$1054, C173)), $K$1010:$K$1054, ""))</f>
        <v>Birds Eye</v>
      </c>
      <c r="H173" t="str">
        <f t="shared" si="9"/>
        <v>Canned Vegetables</v>
      </c>
      <c r="I173" t="str">
        <f t="shared" si="10"/>
        <v>Fruit &amp; Vegetables</v>
      </c>
      <c r="J173">
        <v>4.29</v>
      </c>
      <c r="K173">
        <f>Table1[[#This Row],[Target_product_price]]/Table1[[#This Row],[product_price_per_oz]]</f>
        <v>0.35749999999999998</v>
      </c>
    </row>
    <row r="174" spans="1:11" x14ac:dyDescent="0.2">
      <c r="A174" t="s">
        <v>498</v>
      </c>
      <c r="B174" t="s">
        <v>499</v>
      </c>
      <c r="C174" t="s">
        <v>500</v>
      </c>
      <c r="D174" t="str">
        <f>SUBSTITUTE(Table1[[#This Row],[Target_product_name]], "oz", " oz")</f>
        <v>Birds Eye Fr ozen Fusions Asian Style with Sesame Soy - 11 oz</v>
      </c>
      <c r="E174" t="str">
        <f t="shared" si="12"/>
        <v>11oz</v>
      </c>
      <c r="F174" t="str">
        <f>LEFT(Table1[[#This Row],[Target_product_quantity]], FIND("o", Table1[[#This Row],[Target_product_quantity]])-1)</f>
        <v>11</v>
      </c>
      <c r="G174" t="str" cm="1">
        <f t="array" ref="G174">_xlfn.TEXTJOIN("", TRUE, IF(ISNUMBER(SEARCH($K$1010:$K$1054, C174)), $K$1010:$K$1054, ""))</f>
        <v>Birds Eye</v>
      </c>
      <c r="H174" t="str">
        <f t="shared" si="9"/>
        <v>Canned Vegetables</v>
      </c>
      <c r="I174" t="str">
        <f t="shared" si="10"/>
        <v>Fruit &amp; Vegetables</v>
      </c>
      <c r="J174">
        <v>3.19</v>
      </c>
      <c r="K174">
        <f>Table1[[#This Row],[Target_product_price]]/Table1[[#This Row],[product_price_per_oz]]</f>
        <v>0.28999999999999998</v>
      </c>
    </row>
    <row r="175" spans="1:11" x14ac:dyDescent="0.2">
      <c r="A175" t="s">
        <v>501</v>
      </c>
      <c r="B175" t="s">
        <v>502</v>
      </c>
      <c r="C175" t="s">
        <v>503</v>
      </c>
      <c r="D175" t="str">
        <f>SUBSTITUTE(Table1[[#This Row],[Target_product_name]], "oz", " oz")</f>
        <v>Birds Eye Fr ozen Fusions Spring Mix with Garlic Butter - 11 oz</v>
      </c>
      <c r="E175" t="str">
        <f t="shared" si="12"/>
        <v>11oz</v>
      </c>
      <c r="F175" t="str">
        <f>LEFT(Table1[[#This Row],[Target_product_quantity]], FIND("o", Table1[[#This Row],[Target_product_quantity]])-1)</f>
        <v>11</v>
      </c>
      <c r="G175" t="str" cm="1">
        <f t="array" ref="G175">_xlfn.TEXTJOIN("", TRUE, IF(ISNUMBER(SEARCH($K$1010:$K$1054, C175)), $K$1010:$K$1054, ""))</f>
        <v>Birds Eye</v>
      </c>
      <c r="H175" t="str">
        <f t="shared" si="9"/>
        <v>Canned Vegetables</v>
      </c>
      <c r="I175" t="str">
        <f t="shared" si="10"/>
        <v>Fruit &amp; Vegetables</v>
      </c>
      <c r="J175">
        <v>3.19</v>
      </c>
      <c r="K175">
        <f>Table1[[#This Row],[Target_product_price]]/Table1[[#This Row],[product_price_per_oz]]</f>
        <v>0.28999999999999998</v>
      </c>
    </row>
    <row r="176" spans="1:11" x14ac:dyDescent="0.2">
      <c r="A176" t="s">
        <v>504</v>
      </c>
      <c r="B176" t="s">
        <v>505</v>
      </c>
      <c r="C176" t="s">
        <v>506</v>
      </c>
      <c r="D176" t="str">
        <f>SUBSTITUTE(Table1[[#This Row],[Target_product_name]], "oz", " oz")</f>
        <v>Birds Eye Fr ozen Garlic Butter Broccoli - 9 oz</v>
      </c>
      <c r="E176" t="str">
        <f t="shared" si="12"/>
        <v>9oz</v>
      </c>
      <c r="F176" t="str">
        <f>LEFT(Table1[[#This Row],[Target_product_quantity]], FIND("o", Table1[[#This Row],[Target_product_quantity]])-1)</f>
        <v>9</v>
      </c>
      <c r="G176" t="str" cm="1">
        <f t="array" ref="G176">_xlfn.TEXTJOIN("", TRUE, IF(ISNUMBER(SEARCH($K$1010:$K$1054, C176)), $K$1010:$K$1054, ""))</f>
        <v>Birds Eye</v>
      </c>
      <c r="H176" t="str">
        <f t="shared" si="9"/>
        <v>Canned Vegetables</v>
      </c>
      <c r="I176" t="str">
        <f t="shared" si="10"/>
        <v>Fruit &amp; Vegetables</v>
      </c>
      <c r="J176">
        <v>2.69</v>
      </c>
      <c r="K176">
        <f>Table1[[#This Row],[Target_product_price]]/Table1[[#This Row],[product_price_per_oz]]</f>
        <v>0.29888888888888887</v>
      </c>
    </row>
    <row r="177" spans="1:11" x14ac:dyDescent="0.2">
      <c r="A177" t="s">
        <v>507</v>
      </c>
      <c r="B177" t="s">
        <v>508</v>
      </c>
      <c r="C177" t="s">
        <v>509</v>
      </c>
      <c r="D177" t="str">
        <f>SUBSTITUTE(Table1[[#This Row],[Target_product_name]], "oz", " oz")</f>
        <v>Birds Eye Fr ozen Garlic Butter Green Beans - 10.8 oz</v>
      </c>
      <c r="E177" t="str">
        <f t="shared" si="12"/>
        <v>10.8oz</v>
      </c>
      <c r="F177" t="str">
        <f>LEFT(Table1[[#This Row],[Target_product_quantity]], FIND("o", Table1[[#This Row],[Target_product_quantity]])-1)</f>
        <v>10.8</v>
      </c>
      <c r="G177" t="str" cm="1">
        <f t="array" ref="G177">_xlfn.TEXTJOIN("", TRUE, IF(ISNUMBER(SEARCH($K$1010:$K$1054, C177)), $K$1010:$K$1054, ""))</f>
        <v>Birds Eye</v>
      </c>
      <c r="H177" t="str">
        <f t="shared" si="9"/>
        <v>Canned Vegetables</v>
      </c>
      <c r="I177" t="str">
        <f t="shared" si="10"/>
        <v>Fruit &amp; Vegetables</v>
      </c>
      <c r="J177">
        <v>2.69</v>
      </c>
      <c r="K177">
        <f>Table1[[#This Row],[Target_product_price]]/Table1[[#This Row],[product_price_per_oz]]</f>
        <v>0.24907407407407406</v>
      </c>
    </row>
    <row r="178" spans="1:11" x14ac:dyDescent="0.2">
      <c r="A178" t="s">
        <v>510</v>
      </c>
      <c r="B178" t="s">
        <v>511</v>
      </c>
      <c r="C178" t="s">
        <v>512</v>
      </c>
      <c r="D178" t="str">
        <f>SUBSTITUTE(Table1[[#This Row],[Target_product_name]], "oz", " oz")</f>
        <v>Birds Eye Fr ozen Maple Glazed Carrots - 10.8 oz</v>
      </c>
      <c r="E178" t="str">
        <f t="shared" si="12"/>
        <v>10.8oz</v>
      </c>
      <c r="F178" t="str">
        <f>LEFT(Table1[[#This Row],[Target_product_quantity]], FIND("o", Table1[[#This Row],[Target_product_quantity]])-1)</f>
        <v>10.8</v>
      </c>
      <c r="G178" t="str" cm="1">
        <f t="array" ref="G178">_xlfn.TEXTJOIN("", TRUE, IF(ISNUMBER(SEARCH($K$1010:$K$1054, C178)), $K$1010:$K$1054, ""))</f>
        <v>Birds Eye</v>
      </c>
      <c r="H178" t="str">
        <f t="shared" si="9"/>
        <v>Canned Vegetables</v>
      </c>
      <c r="I178" t="str">
        <f t="shared" si="10"/>
        <v>Fruit &amp; Vegetables</v>
      </c>
      <c r="J178">
        <v>2.89</v>
      </c>
      <c r="K178">
        <f>Table1[[#This Row],[Target_product_price]]/Table1[[#This Row],[product_price_per_oz]]</f>
        <v>0.2675925925925926</v>
      </c>
    </row>
    <row r="179" spans="1:11" x14ac:dyDescent="0.2">
      <c r="A179" t="s">
        <v>513</v>
      </c>
      <c r="B179" t="s">
        <v>514</v>
      </c>
      <c r="C179" t="s">
        <v>515</v>
      </c>
      <c r="D179" t="str">
        <f>SUBSTITUTE(Table1[[#This Row],[Target_product_name]], "oz", " oz")</f>
        <v>Birds Eye Fr ozen Oven Roasters Brussel Sprouts &amp; Carrots - 15 oz</v>
      </c>
      <c r="E179" t="str">
        <f t="shared" si="12"/>
        <v>15oz</v>
      </c>
      <c r="F179" t="str">
        <f>LEFT(Table1[[#This Row],[Target_product_quantity]], FIND("o", Table1[[#This Row],[Target_product_quantity]])-1)</f>
        <v>15</v>
      </c>
      <c r="G179" t="str" cm="1">
        <f t="array" ref="G179">_xlfn.TEXTJOIN("", TRUE, IF(ISNUMBER(SEARCH($K$1010:$K$1054, C179)), $K$1010:$K$1054, ""))</f>
        <v>Birds Eye</v>
      </c>
      <c r="H179" t="str">
        <f t="shared" si="9"/>
        <v>Canned Vegetables</v>
      </c>
      <c r="I179" t="str">
        <f t="shared" si="10"/>
        <v>Fruit &amp; Vegetables</v>
      </c>
      <c r="J179">
        <v>3.19</v>
      </c>
      <c r="K179">
        <f>Table1[[#This Row],[Target_product_price]]/Table1[[#This Row],[product_price_per_oz]]</f>
        <v>0.21266666666666667</v>
      </c>
    </row>
    <row r="180" spans="1:11" x14ac:dyDescent="0.2">
      <c r="A180" t="s">
        <v>516</v>
      </c>
      <c r="B180" t="s">
        <v>517</v>
      </c>
      <c r="C180" t="s">
        <v>518</v>
      </c>
      <c r="D180" t="str">
        <f>SUBSTITUTE(Table1[[#This Row],[Target_product_name]], "oz", " oz")</f>
        <v>Birds Eye Fr ozen Oven Roasters Red Potatoes &amp; Onions - 15 oz</v>
      </c>
      <c r="E180" t="str">
        <f t="shared" si="12"/>
        <v>15oz</v>
      </c>
      <c r="F180" t="str">
        <f>LEFT(Table1[[#This Row],[Target_product_quantity]], FIND("o", Table1[[#This Row],[Target_product_quantity]])-1)</f>
        <v>15</v>
      </c>
      <c r="G180" t="str" cm="1">
        <f t="array" ref="G180">_xlfn.TEXTJOIN("", TRUE, IF(ISNUMBER(SEARCH($K$1010:$K$1054, C180)), $K$1010:$K$1054, ""))</f>
        <v>Birds Eye</v>
      </c>
      <c r="H180" t="str">
        <f t="shared" si="9"/>
        <v>Canned Vegetables</v>
      </c>
      <c r="I180" t="str">
        <f t="shared" si="10"/>
        <v>Fruit &amp; Vegetables</v>
      </c>
      <c r="J180">
        <v>3.19</v>
      </c>
      <c r="K180">
        <f>Table1[[#This Row],[Target_product_price]]/Table1[[#This Row],[product_price_per_oz]]</f>
        <v>0.21266666666666667</v>
      </c>
    </row>
    <row r="181" spans="1:11" x14ac:dyDescent="0.2">
      <c r="A181" t="s">
        <v>519</v>
      </c>
      <c r="B181" t="s">
        <v>520</v>
      </c>
      <c r="C181" t="s">
        <v>521</v>
      </c>
      <c r="D181" t="str">
        <f>SUBSTITUTE(Table1[[#This Row],[Target_product_name]], "oz", " oz")</f>
        <v>Birds Eye Fr ozen Sauced Cheesy Broccoli - 10.8 oz</v>
      </c>
      <c r="E181" t="str">
        <f t="shared" si="12"/>
        <v>10.8oz</v>
      </c>
      <c r="F181" t="str">
        <f>LEFT(Table1[[#This Row],[Target_product_quantity]], FIND("o", Table1[[#This Row],[Target_product_quantity]])-1)</f>
        <v>10.8</v>
      </c>
      <c r="G181" t="str" cm="1">
        <f t="array" ref="G181">_xlfn.TEXTJOIN("", TRUE, IF(ISNUMBER(SEARCH($K$1010:$K$1054, C181)), $K$1010:$K$1054, ""))</f>
        <v>Birds Eye</v>
      </c>
      <c r="H181" t="str">
        <f t="shared" si="9"/>
        <v>Canned Vegetables</v>
      </c>
      <c r="I181" t="str">
        <f t="shared" si="10"/>
        <v>Fruit &amp; Vegetables</v>
      </c>
      <c r="J181">
        <v>2.99</v>
      </c>
      <c r="K181">
        <f>Table1[[#This Row],[Target_product_price]]/Table1[[#This Row],[product_price_per_oz]]</f>
        <v>0.27685185185185185</v>
      </c>
    </row>
    <row r="182" spans="1:11" x14ac:dyDescent="0.2">
      <c r="A182" t="s">
        <v>522</v>
      </c>
      <c r="B182" t="s">
        <v>523</v>
      </c>
      <c r="C182" t="s">
        <v>524</v>
      </c>
      <c r="D182" t="str">
        <f>SUBSTITUTE(Table1[[#This Row],[Target_product_name]], "oz", " oz")</f>
        <v>Birds Eye Fr ozen Stir-Fry Veggies and Sauce Teriyaki - 15 oz</v>
      </c>
      <c r="E182" t="s">
        <v>70</v>
      </c>
      <c r="F182" t="str">
        <f>LEFT(Table1[[#This Row],[Target_product_quantity]], FIND("o", Table1[[#This Row],[Target_product_quantity]])-1)</f>
        <v>15</v>
      </c>
      <c r="G182" t="str" cm="1">
        <f t="array" ref="G182">_xlfn.TEXTJOIN("", TRUE, IF(ISNUMBER(SEARCH($K$1010:$K$1054, C182)), $K$1010:$K$1054, ""))</f>
        <v>Birds Eye</v>
      </c>
      <c r="H182" t="str">
        <f t="shared" si="9"/>
        <v>Canned Vegetables</v>
      </c>
      <c r="I182" t="str">
        <f t="shared" si="10"/>
        <v>Fruit &amp; Vegetables</v>
      </c>
      <c r="J182">
        <v>3.19</v>
      </c>
      <c r="K182">
        <f>Table1[[#This Row],[Target_product_price]]/Table1[[#This Row],[product_price_per_oz]]</f>
        <v>0.21266666666666667</v>
      </c>
    </row>
    <row r="183" spans="1:11" x14ac:dyDescent="0.2">
      <c r="A183" t="s">
        <v>525</v>
      </c>
      <c r="B183" t="s">
        <v>526</v>
      </c>
      <c r="C183" t="s">
        <v>527</v>
      </c>
      <c r="D183" t="str">
        <f>SUBSTITUTE(Table1[[#This Row],[Target_product_name]], "oz", " oz")</f>
        <v>Birds Eye Fr ozen Tri Colored Pepper &amp; Onion Medley  - 14.4 oz</v>
      </c>
      <c r="E183" t="str">
        <f t="shared" ref="E183:E207" si="13">TRIM(RIGHT(C183, LEN(C183) - FIND("-", C183)))</f>
        <v>14.4oz</v>
      </c>
      <c r="F183" t="str">
        <f>LEFT(Table1[[#This Row],[Target_product_quantity]], FIND("o", Table1[[#This Row],[Target_product_quantity]])-1)</f>
        <v>14.4</v>
      </c>
      <c r="G183" t="str" cm="1">
        <f t="array" ref="G183">_xlfn.TEXTJOIN("", TRUE, IF(ISNUMBER(SEARCH($K$1010:$K$1054, C183)), $K$1010:$K$1054, ""))</f>
        <v>Birds Eye</v>
      </c>
      <c r="H183" t="str">
        <f t="shared" si="9"/>
        <v>Canned Vegetables</v>
      </c>
      <c r="I183" t="str">
        <f t="shared" si="10"/>
        <v>Fruit &amp; Vegetables</v>
      </c>
      <c r="J183">
        <v>2.19</v>
      </c>
      <c r="K183">
        <f>Table1[[#This Row],[Target_product_price]]/Table1[[#This Row],[product_price_per_oz]]</f>
        <v>0.15208333333333332</v>
      </c>
    </row>
    <row r="184" spans="1:11" x14ac:dyDescent="0.2">
      <c r="A184" t="s">
        <v>528</v>
      </c>
      <c r="B184" t="s">
        <v>529</v>
      </c>
      <c r="C184" t="s">
        <v>530</v>
      </c>
      <c r="D184" t="str">
        <f>SUBSTITUTE(Table1[[#This Row],[Target_product_name]], "oz", " oz")</f>
        <v>Birds Eye Fr ozen Zucchini Lentil Pasta with Marinara Sauce - 10 oz</v>
      </c>
      <c r="E184" t="str">
        <f t="shared" si="13"/>
        <v>10oz</v>
      </c>
      <c r="F184" t="str">
        <f>LEFT(Table1[[#This Row],[Target_product_quantity]], FIND("o", Table1[[#This Row],[Target_product_quantity]])-1)</f>
        <v>10</v>
      </c>
      <c r="G184" t="str" cm="1">
        <f t="array" ref="G184">_xlfn.TEXTJOIN("", TRUE, IF(ISNUMBER(SEARCH($K$1010:$K$1054, C184)), $K$1010:$K$1054, ""))</f>
        <v>Birds Eye</v>
      </c>
      <c r="H184" t="str">
        <f t="shared" si="9"/>
        <v>Canned Vegetables</v>
      </c>
      <c r="I184" t="str">
        <f t="shared" si="10"/>
        <v>Fruit &amp; Vegetables</v>
      </c>
      <c r="J184">
        <v>3.19</v>
      </c>
      <c r="K184">
        <f>Table1[[#This Row],[Target_product_price]]/Table1[[#This Row],[product_price_per_oz]]</f>
        <v>0.31900000000000001</v>
      </c>
    </row>
    <row r="185" spans="1:11" x14ac:dyDescent="0.2">
      <c r="A185" t="s">
        <v>531</v>
      </c>
      <c r="B185" t="s">
        <v>532</v>
      </c>
      <c r="C185" t="s">
        <v>533</v>
      </c>
      <c r="D185" t="str">
        <f>SUBSTITUTE(Table1[[#This Row],[Target_product_name]], "oz", " oz")</f>
        <v>Birds Eye Meal Starters Fr ozen Broccoli Alfredo - 17 oz</v>
      </c>
      <c r="E185" t="str">
        <f t="shared" si="13"/>
        <v>17oz</v>
      </c>
      <c r="F185" t="str">
        <f>LEFT(Table1[[#This Row],[Target_product_quantity]], FIND("o", Table1[[#This Row],[Target_product_quantity]])-1)</f>
        <v>17</v>
      </c>
      <c r="G185" t="str" cm="1">
        <f t="array" ref="G185">_xlfn.TEXTJOIN("", TRUE, IF(ISNUMBER(SEARCH($K$1010:$K$1054, C185)), $K$1010:$K$1054, ""))</f>
        <v>Birds Eye</v>
      </c>
      <c r="H185" t="str">
        <f t="shared" si="9"/>
        <v>Canned Vegetables</v>
      </c>
      <c r="I185" t="str">
        <f t="shared" si="10"/>
        <v>Fruit &amp; Vegetables</v>
      </c>
      <c r="J185">
        <v>3.19</v>
      </c>
      <c r="K185">
        <f>Table1[[#This Row],[Target_product_price]]/Table1[[#This Row],[product_price_per_oz]]</f>
        <v>0.18764705882352942</v>
      </c>
    </row>
    <row r="186" spans="1:11" x14ac:dyDescent="0.2">
      <c r="A186" t="s">
        <v>534</v>
      </c>
      <c r="B186" t="s">
        <v>535</v>
      </c>
      <c r="C186" t="s">
        <v>536</v>
      </c>
      <c r="D186" t="str">
        <f>SUBSTITUTE(Table1[[#This Row],[Target_product_name]], "oz", " oz")</f>
        <v>Birds Eye Oven Roasters Fr ozen Broccoli &amp; Cauliflower - 14 oz</v>
      </c>
      <c r="E186" t="str">
        <f t="shared" si="13"/>
        <v>14oz</v>
      </c>
      <c r="F186" t="str">
        <f>LEFT(Table1[[#This Row],[Target_product_quantity]], FIND("o", Table1[[#This Row],[Target_product_quantity]])-1)</f>
        <v>14</v>
      </c>
      <c r="G186" t="str" cm="1">
        <f t="array" ref="G186">_xlfn.TEXTJOIN("", TRUE, IF(ISNUMBER(SEARCH($K$1010:$K$1054, C186)), $K$1010:$K$1054, ""))</f>
        <v>Birds Eye</v>
      </c>
      <c r="H186" t="str">
        <f t="shared" si="9"/>
        <v>Canned Vegetables</v>
      </c>
      <c r="I186" t="str">
        <f t="shared" si="10"/>
        <v>Fruit &amp; Vegetables</v>
      </c>
      <c r="J186">
        <v>3.19</v>
      </c>
      <c r="K186">
        <f>Table1[[#This Row],[Target_product_price]]/Table1[[#This Row],[product_price_per_oz]]</f>
        <v>0.22785714285714284</v>
      </c>
    </row>
    <row r="187" spans="1:11" x14ac:dyDescent="0.2">
      <c r="A187" t="s">
        <v>537</v>
      </c>
      <c r="B187" t="s">
        <v>538</v>
      </c>
      <c r="C187" t="s">
        <v>539</v>
      </c>
      <c r="D187" t="str">
        <f>SUBSTITUTE(Table1[[#This Row],[Target_product_name]], "oz", " oz")</f>
        <v>Birds Eye Shoestring Fr ozen Zucchini Fries - 12 oz</v>
      </c>
      <c r="E187" t="str">
        <f t="shared" si="13"/>
        <v>12oz</v>
      </c>
      <c r="F187" t="str">
        <f>LEFT(Table1[[#This Row],[Target_product_quantity]], FIND("o", Table1[[#This Row],[Target_product_quantity]])-1)</f>
        <v>12</v>
      </c>
      <c r="G187" t="str" cm="1">
        <f t="array" ref="G187">_xlfn.TEXTJOIN("", TRUE, IF(ISNUMBER(SEARCH($K$1010:$K$1054, C187)), $K$1010:$K$1054, ""))</f>
        <v>Birds Eye</v>
      </c>
      <c r="H187" t="str">
        <f t="shared" si="9"/>
        <v>Canned Vegetables</v>
      </c>
      <c r="I187" t="str">
        <f t="shared" si="10"/>
        <v>Fruit &amp; Vegetables</v>
      </c>
      <c r="J187">
        <v>4.29</v>
      </c>
      <c r="K187">
        <f>Table1[[#This Row],[Target_product_price]]/Table1[[#This Row],[product_price_per_oz]]</f>
        <v>0.35749999999999998</v>
      </c>
    </row>
    <row r="188" spans="1:11" x14ac:dyDescent="0.2">
      <c r="A188" t="s">
        <v>540</v>
      </c>
      <c r="B188" t="s">
        <v>541</v>
      </c>
      <c r="C188" t="s">
        <v>542</v>
      </c>
      <c r="D188" t="str">
        <f>SUBSTITUTE(Table1[[#This Row],[Target_product_name]], "oz", " oz")</f>
        <v>Birds Eye Skillets Fr ozen Garlic Butter Green Beans - 11 oz</v>
      </c>
      <c r="E188" t="str">
        <f t="shared" si="13"/>
        <v>11oz</v>
      </c>
      <c r="F188" t="str">
        <f>LEFT(Table1[[#This Row],[Target_product_quantity]], FIND("o", Table1[[#This Row],[Target_product_quantity]])-1)</f>
        <v>11</v>
      </c>
      <c r="G188" t="str" cm="1">
        <f t="array" ref="G188">_xlfn.TEXTJOIN("", TRUE, IF(ISNUMBER(SEARCH($K$1010:$K$1054, C188)), $K$1010:$K$1054, ""))</f>
        <v>Birds Eye</v>
      </c>
      <c r="H188" t="str">
        <f t="shared" si="9"/>
        <v>Canned Vegetables</v>
      </c>
      <c r="I188" t="str">
        <f t="shared" si="10"/>
        <v>Fruit &amp; Vegetables</v>
      </c>
      <c r="J188">
        <v>3.19</v>
      </c>
      <c r="K188">
        <f>Table1[[#This Row],[Target_product_price]]/Table1[[#This Row],[product_price_per_oz]]</f>
        <v>0.28999999999999998</v>
      </c>
    </row>
    <row r="189" spans="1:11" x14ac:dyDescent="0.2">
      <c r="A189" t="s">
        <v>543</v>
      </c>
      <c r="B189" t="s">
        <v>544</v>
      </c>
      <c r="C189" t="s">
        <v>545</v>
      </c>
      <c r="D189" t="str">
        <f>SUBSTITUTE(Table1[[#This Row],[Target_product_name]], "oz", " oz")</f>
        <v>Birds Eye Steamfresh Asian Medley Fr ozen Vegetables - 10.8 oz</v>
      </c>
      <c r="E189" t="str">
        <f t="shared" si="13"/>
        <v>10.8oz</v>
      </c>
      <c r="F189" t="str">
        <f>LEFT(Table1[[#This Row],[Target_product_quantity]], FIND("o", Table1[[#This Row],[Target_product_quantity]])-1)</f>
        <v>10.8</v>
      </c>
      <c r="G189" t="str" cm="1">
        <f t="array" ref="G189">_xlfn.TEXTJOIN("", TRUE, IF(ISNUMBER(SEARCH($K$1010:$K$1054, C189)), $K$1010:$K$1054, ""))</f>
        <v>Birds Eye</v>
      </c>
      <c r="H189" t="str">
        <f t="shared" si="9"/>
        <v>Canned Vegetables</v>
      </c>
      <c r="I189" t="str">
        <f t="shared" si="10"/>
        <v>Fruit &amp; Vegetables</v>
      </c>
      <c r="J189">
        <v>2.99</v>
      </c>
      <c r="K189">
        <f>Table1[[#This Row],[Target_product_price]]/Table1[[#This Row],[product_price_per_oz]]</f>
        <v>0.27685185185185185</v>
      </c>
    </row>
    <row r="190" spans="1:11" x14ac:dyDescent="0.2">
      <c r="A190" t="s">
        <v>546</v>
      </c>
      <c r="B190" t="s">
        <v>547</v>
      </c>
      <c r="C190" t="s">
        <v>548</v>
      </c>
      <c r="D190" t="str">
        <f>SUBSTITUTE(Table1[[#This Row],[Target_product_name]], "oz", " oz")</f>
        <v>Birds Eye Steamfresh Fr ozen Asparagus Spears - 8 oz</v>
      </c>
      <c r="E190" t="str">
        <f t="shared" si="13"/>
        <v>8oz</v>
      </c>
      <c r="F190" t="str">
        <f>LEFT(Table1[[#This Row],[Target_product_quantity]], FIND("o", Table1[[#This Row],[Target_product_quantity]])-1)</f>
        <v>8</v>
      </c>
      <c r="G190" t="str" cm="1">
        <f t="array" ref="G190">_xlfn.TEXTJOIN("", TRUE, IF(ISNUMBER(SEARCH($K$1010:$K$1054, C190)), $K$1010:$K$1054, ""))</f>
        <v>Birds Eye</v>
      </c>
      <c r="H190" t="str">
        <f t="shared" si="9"/>
        <v>Canned Vegetables</v>
      </c>
      <c r="I190" t="str">
        <f t="shared" si="10"/>
        <v>Fruit &amp; Vegetables</v>
      </c>
      <c r="J190">
        <v>3.89</v>
      </c>
      <c r="K190">
        <f>Table1[[#This Row],[Target_product_price]]/Table1[[#This Row],[product_price_per_oz]]</f>
        <v>0.48625000000000002</v>
      </c>
    </row>
    <row r="191" spans="1:11" x14ac:dyDescent="0.2">
      <c r="A191" t="s">
        <v>549</v>
      </c>
      <c r="B191" t="s">
        <v>550</v>
      </c>
      <c r="C191" t="s">
        <v>551</v>
      </c>
      <c r="D191" t="str">
        <f>SUBSTITUTE(Table1[[#This Row],[Target_product_name]], "oz", " oz")</f>
        <v>Birds Eye Steamfresh Fr ozen Broccoli &amp; Cauliflower - 10.8 oz</v>
      </c>
      <c r="E191" t="str">
        <f t="shared" si="13"/>
        <v>10.8oz</v>
      </c>
      <c r="F191" t="str">
        <f>LEFT(Table1[[#This Row],[Target_product_quantity]], FIND("o", Table1[[#This Row],[Target_product_quantity]])-1)</f>
        <v>10.8</v>
      </c>
      <c r="G191" t="str" cm="1">
        <f t="array" ref="G191">_xlfn.TEXTJOIN("", TRUE, IF(ISNUMBER(SEARCH($K$1010:$K$1054, C191)), $K$1010:$K$1054, ""))</f>
        <v>Birds Eye</v>
      </c>
      <c r="H191" t="str">
        <f t="shared" si="9"/>
        <v>Canned Vegetables</v>
      </c>
      <c r="I191" t="str">
        <f t="shared" si="10"/>
        <v>Fruit &amp; Vegetables</v>
      </c>
      <c r="J191">
        <v>2.19</v>
      </c>
      <c r="K191">
        <f>Table1[[#This Row],[Target_product_price]]/Table1[[#This Row],[product_price_per_oz]]</f>
        <v>0.20277777777777775</v>
      </c>
    </row>
    <row r="192" spans="1:11" x14ac:dyDescent="0.2">
      <c r="A192" t="s">
        <v>552</v>
      </c>
      <c r="B192" t="s">
        <v>553</v>
      </c>
      <c r="C192" t="s">
        <v>554</v>
      </c>
      <c r="D192" t="str">
        <f>SUBSTITUTE(Table1[[#This Row],[Target_product_name]], "oz", " oz")</f>
        <v>Birds Eye Steamfresh Fr ozen Broccoli Florets - 10.8 oz</v>
      </c>
      <c r="E192" t="str">
        <f t="shared" si="13"/>
        <v>10.8oz</v>
      </c>
      <c r="F192" t="str">
        <f>LEFT(Table1[[#This Row],[Target_product_quantity]], FIND("o", Table1[[#This Row],[Target_product_quantity]])-1)</f>
        <v>10.8</v>
      </c>
      <c r="G192" t="str" cm="1">
        <f t="array" ref="G192">_xlfn.TEXTJOIN("", TRUE, IF(ISNUMBER(SEARCH($K$1010:$K$1054, C192)), $K$1010:$K$1054, ""))</f>
        <v>Birds Eye</v>
      </c>
      <c r="H192" t="str">
        <f t="shared" si="9"/>
        <v>Canned Vegetables</v>
      </c>
      <c r="I192" t="str">
        <f t="shared" si="10"/>
        <v>Fruit &amp; Vegetables</v>
      </c>
      <c r="J192">
        <v>2.19</v>
      </c>
      <c r="K192">
        <f>Table1[[#This Row],[Target_product_price]]/Table1[[#This Row],[product_price_per_oz]]</f>
        <v>0.20277777777777775</v>
      </c>
    </row>
    <row r="193" spans="1:11" x14ac:dyDescent="0.2">
      <c r="A193" t="s">
        <v>555</v>
      </c>
      <c r="B193" t="s">
        <v>556</v>
      </c>
      <c r="C193" t="s">
        <v>557</v>
      </c>
      <c r="D193" t="str">
        <f>SUBSTITUTE(Table1[[#This Row],[Target_product_name]], "oz", " oz")</f>
        <v>Birds Eye Steamfresh Fr ozen Cut Green Beans - 10 oz</v>
      </c>
      <c r="E193" t="str">
        <f t="shared" si="13"/>
        <v>10oz</v>
      </c>
      <c r="F193" t="str">
        <f>LEFT(Table1[[#This Row],[Target_product_quantity]], FIND("o", Table1[[#This Row],[Target_product_quantity]])-1)</f>
        <v>10</v>
      </c>
      <c r="G193" t="str" cm="1">
        <f t="array" ref="G193">_xlfn.TEXTJOIN("", TRUE, IF(ISNUMBER(SEARCH($K$1010:$K$1054, C193)), $K$1010:$K$1054, ""))</f>
        <v>Birds Eye</v>
      </c>
      <c r="H193" t="str">
        <f t="shared" si="9"/>
        <v>Canned Vegetables</v>
      </c>
      <c r="I193" t="str">
        <f t="shared" si="10"/>
        <v>Fruit &amp; Vegetables</v>
      </c>
      <c r="J193">
        <v>1.39</v>
      </c>
      <c r="K193">
        <f>Table1[[#This Row],[Target_product_price]]/Table1[[#This Row],[product_price_per_oz]]</f>
        <v>0.13899999999999998</v>
      </c>
    </row>
    <row r="194" spans="1:11" x14ac:dyDescent="0.2">
      <c r="A194" t="s">
        <v>558</v>
      </c>
      <c r="B194" t="s">
        <v>559</v>
      </c>
      <c r="C194" t="s">
        <v>560</v>
      </c>
      <c r="D194" t="str">
        <f>SUBSTITUTE(Table1[[#This Row],[Target_product_name]], "oz", " oz")</f>
        <v>Birds Eye Steamfresh Fr ozen Edamame Pods Fr ozen Vegetables - 10 oz</v>
      </c>
      <c r="E194" t="str">
        <f t="shared" si="13"/>
        <v>10oz</v>
      </c>
      <c r="F194" t="str">
        <f>LEFT(Table1[[#This Row],[Target_product_quantity]], FIND("o", Table1[[#This Row],[Target_product_quantity]])-1)</f>
        <v>10</v>
      </c>
      <c r="G194" t="str" cm="1">
        <f t="array" ref="G194">_xlfn.TEXTJOIN("", TRUE, IF(ISNUMBER(SEARCH($K$1010:$K$1054, C194)), $K$1010:$K$1054, ""))</f>
        <v>Birds Eye</v>
      </c>
      <c r="H194" t="str">
        <f t="shared" ref="H194:H257" si="14">IF(OR(G194="Mission",G194="Nature's Own",G194="Sara Lee"),"Bread",
IF(OR(G194="Del Monte",G194="Dole",G194="Mott's"),"Canned Fruit",
IF(OR(G194="Goya",G194="Hunt's",G194="Birds Eye"),"Canned Vegetables",
IF(OR(G194="Fairlife",G194="Horizon Organic",G194="Lactaid",G194="Ben &amp; Jerry's"),"Milk",
IF(OR(G194="BelGioioso",G194="Kraft",G194="Philadelphia"),"Cheese",
IF(OR(G194="Chobani",G194="Oikos",G194="Light + Fit"),"Yogurt",
IF(OR(G194="Barilla",G194="Annie's",G194="Rao's Homemade"),"Pasta",
IF(OR(G194="Hershey's",G194="Lay's",G194="Totino's",G194="Cheerios",G194="Jif",G194="Skippy",G194="Nature Valley",G194="Oreo",G194="DiGiorno",G194="Eggo"),"Prepared Food",
IF(OR(G194="Ben's Original",G194="Lundberg",G194="Quaker"),"Rice",
IF(OR(G194="Bush's",G194="Hillshire Farm",G194="Oscar Mayer",G194="SPAM"),"Protein",
IF(OR(G194="Starbucks",G194="Sparkling Ice",G194="Coca-Cola",G194="San Pellegrino",G194="Gatorade",G194="Arizona"),"Beverages",
"Other")))))))))))</f>
        <v>Canned Vegetables</v>
      </c>
      <c r="I194" t="str">
        <f t="shared" ref="I194:I257" si="15">IF(OR(H194="Bread",H194="Rice",H194="Pasta"), "Grain",
IF(OR(H194="Milk",H194="Cheese",H194="Yogurt"), "Dairy",
IF(OR(H194="Canned Fruit",H194="Canned Vegetables"), "Fruit &amp; Vegetables",
IF(H194="Prepared Food", "Prepared Food",
IF(H194="Protein", "Protein",
IF(H194="Beverages", "Beverages",
"Other"))))))</f>
        <v>Fruit &amp; Vegetables</v>
      </c>
      <c r="J194">
        <v>2.19</v>
      </c>
      <c r="K194">
        <f>Table1[[#This Row],[Target_product_price]]/Table1[[#This Row],[product_price_per_oz]]</f>
        <v>0.219</v>
      </c>
    </row>
    <row r="195" spans="1:11" x14ac:dyDescent="0.2">
      <c r="A195" t="s">
        <v>561</v>
      </c>
      <c r="B195" t="s">
        <v>562</v>
      </c>
      <c r="C195" t="s">
        <v>563</v>
      </c>
      <c r="D195" t="str">
        <f>SUBSTITUTE(Table1[[#This Row],[Target_product_name]], "oz", " oz")</f>
        <v>Birds Eye Steamfresh Fr ozen Mixed Vegetables - 10 oz</v>
      </c>
      <c r="E195" t="str">
        <f t="shared" si="13"/>
        <v>10oz</v>
      </c>
      <c r="F195" t="str">
        <f>LEFT(Table1[[#This Row],[Target_product_quantity]], FIND("o", Table1[[#This Row],[Target_product_quantity]])-1)</f>
        <v>10</v>
      </c>
      <c r="G195" t="str" cm="1">
        <f t="array" ref="G195">_xlfn.TEXTJOIN("", TRUE, IF(ISNUMBER(SEARCH($K$1010:$K$1054, C195)), $K$1010:$K$1054, ""))</f>
        <v>Birds Eye</v>
      </c>
      <c r="H195" t="str">
        <f t="shared" si="14"/>
        <v>Canned Vegetables</v>
      </c>
      <c r="I195" t="str">
        <f t="shared" si="15"/>
        <v>Fruit &amp; Vegetables</v>
      </c>
      <c r="J195">
        <v>1.39</v>
      </c>
      <c r="K195">
        <f>Table1[[#This Row],[Target_product_price]]/Table1[[#This Row],[product_price_per_oz]]</f>
        <v>0.13899999999999998</v>
      </c>
    </row>
    <row r="196" spans="1:11" x14ac:dyDescent="0.2">
      <c r="A196" t="s">
        <v>564</v>
      </c>
      <c r="B196" t="s">
        <v>565</v>
      </c>
      <c r="C196" t="s">
        <v>566</v>
      </c>
      <c r="D196" t="str">
        <f>SUBSTITUTE(Table1[[#This Row],[Target_product_name]], "oz", " oz")</f>
        <v>Birds Eye Steamfresh Fr ozen Rotini &amp; Vegetables with Roasted Garlic Sauce - 11 oz</v>
      </c>
      <c r="E196" t="str">
        <f t="shared" si="13"/>
        <v>11oz</v>
      </c>
      <c r="F196" t="str">
        <f>LEFT(Table1[[#This Row],[Target_product_quantity]], FIND("o", Table1[[#This Row],[Target_product_quantity]])-1)</f>
        <v>11</v>
      </c>
      <c r="G196" t="str" cm="1">
        <f t="array" ref="G196">_xlfn.TEXTJOIN("", TRUE, IF(ISNUMBER(SEARCH($K$1010:$K$1054, C196)), $K$1010:$K$1054, ""))</f>
        <v>Birds Eye</v>
      </c>
      <c r="H196" t="str">
        <f t="shared" si="14"/>
        <v>Canned Vegetables</v>
      </c>
      <c r="I196" t="str">
        <f t="shared" si="15"/>
        <v>Fruit &amp; Vegetables</v>
      </c>
      <c r="J196">
        <v>3.29</v>
      </c>
      <c r="K196">
        <f>Table1[[#This Row],[Target_product_price]]/Table1[[#This Row],[product_price_per_oz]]</f>
        <v>0.29909090909090907</v>
      </c>
    </row>
    <row r="197" spans="1:11" x14ac:dyDescent="0.2">
      <c r="A197" t="s">
        <v>567</v>
      </c>
      <c r="B197" t="s">
        <v>568</v>
      </c>
      <c r="C197" t="s">
        <v>569</v>
      </c>
      <c r="D197" t="str">
        <f>SUBSTITUTE(Table1[[#This Row],[Target_product_name]], "oz", " oz")</f>
        <v>Birds Eye Steamfresh Fr ozen Super Sweet Corn - 10 oz</v>
      </c>
      <c r="E197" t="str">
        <f t="shared" si="13"/>
        <v>10oz</v>
      </c>
      <c r="F197" t="str">
        <f>LEFT(Table1[[#This Row],[Target_product_quantity]], FIND("o", Table1[[#This Row],[Target_product_quantity]])-1)</f>
        <v>10</v>
      </c>
      <c r="G197" t="str" cm="1">
        <f t="array" ref="G197">_xlfn.TEXTJOIN("", TRUE, IF(ISNUMBER(SEARCH($K$1010:$K$1054, C197)), $K$1010:$K$1054, ""))</f>
        <v>Birds Eye</v>
      </c>
      <c r="H197" t="str">
        <f t="shared" si="14"/>
        <v>Canned Vegetables</v>
      </c>
      <c r="I197" t="str">
        <f t="shared" si="15"/>
        <v>Fruit &amp; Vegetables</v>
      </c>
      <c r="J197">
        <v>1.39</v>
      </c>
      <c r="K197">
        <f>Table1[[#This Row],[Target_product_price]]/Table1[[#This Row],[product_price_per_oz]]</f>
        <v>0.13899999999999998</v>
      </c>
    </row>
    <row r="198" spans="1:11" x14ac:dyDescent="0.2">
      <c r="A198" t="s">
        <v>570</v>
      </c>
      <c r="B198" t="s">
        <v>571</v>
      </c>
      <c r="C198" t="s">
        <v>572</v>
      </c>
      <c r="D198" t="str">
        <f>SUBSTITUTE(Table1[[#This Row],[Target_product_name]], "oz", " oz")</f>
        <v>Birds Eye Steamfresh Fr ozen Sweet Peas - 10 oz</v>
      </c>
      <c r="E198" t="str">
        <f t="shared" si="13"/>
        <v>10oz</v>
      </c>
      <c r="F198" t="str">
        <f>LEFT(Table1[[#This Row],[Target_product_quantity]], FIND("o", Table1[[#This Row],[Target_product_quantity]])-1)</f>
        <v>10</v>
      </c>
      <c r="G198" t="str" cm="1">
        <f t="array" ref="G198">_xlfn.TEXTJOIN("", TRUE, IF(ISNUMBER(SEARCH($K$1010:$K$1054, C198)), $K$1010:$K$1054, ""))</f>
        <v>Birds Eye</v>
      </c>
      <c r="H198" t="str">
        <f t="shared" si="14"/>
        <v>Canned Vegetables</v>
      </c>
      <c r="I198" t="str">
        <f t="shared" si="15"/>
        <v>Fruit &amp; Vegetables</v>
      </c>
      <c r="J198">
        <v>1.39</v>
      </c>
      <c r="K198">
        <f>Table1[[#This Row],[Target_product_price]]/Table1[[#This Row],[product_price_per_oz]]</f>
        <v>0.13899999999999998</v>
      </c>
    </row>
    <row r="199" spans="1:11" x14ac:dyDescent="0.2">
      <c r="A199" t="s">
        <v>573</v>
      </c>
      <c r="B199" t="s">
        <v>574</v>
      </c>
      <c r="C199" t="s">
        <v>575</v>
      </c>
      <c r="D199" t="str">
        <f>SUBSTITUTE(Table1[[#This Row],[Target_product_name]], "oz", " oz")</f>
        <v>Birds Eye Steamfresh Fr ozen Vegetables - 10.8 oz</v>
      </c>
      <c r="E199" t="str">
        <f t="shared" si="13"/>
        <v>10.8oz</v>
      </c>
      <c r="F199" t="str">
        <f>LEFT(Table1[[#This Row],[Target_product_quantity]], FIND("o", Table1[[#This Row],[Target_product_quantity]])-1)</f>
        <v>10.8</v>
      </c>
      <c r="G199" t="str" cm="1">
        <f t="array" ref="G199">_xlfn.TEXTJOIN("", TRUE, IF(ISNUMBER(SEARCH($K$1010:$K$1054, C199)), $K$1010:$K$1054, ""))</f>
        <v>Birds Eye</v>
      </c>
      <c r="H199" t="str">
        <f t="shared" si="14"/>
        <v>Canned Vegetables</v>
      </c>
      <c r="I199" t="str">
        <f t="shared" si="15"/>
        <v>Fruit &amp; Vegetables</v>
      </c>
      <c r="J199">
        <v>2.19</v>
      </c>
      <c r="K199">
        <f>Table1[[#This Row],[Target_product_price]]/Table1[[#This Row],[product_price_per_oz]]</f>
        <v>0.20277777777777775</v>
      </c>
    </row>
    <row r="200" spans="1:11" x14ac:dyDescent="0.2">
      <c r="A200" t="s">
        <v>576</v>
      </c>
      <c r="B200" t="s">
        <v>577</v>
      </c>
      <c r="C200" t="s">
        <v>578</v>
      </c>
      <c r="D200" t="str">
        <f>SUBSTITUTE(Table1[[#This Row],[Target_product_name]], "oz", " oz")</f>
        <v>Birds Eye Steamfresh Premium Selects Fr ozen Whole Green Beans - 10.8 oz</v>
      </c>
      <c r="E200" t="str">
        <f t="shared" si="13"/>
        <v>10.8oz</v>
      </c>
      <c r="F200" t="str">
        <f>LEFT(Table1[[#This Row],[Target_product_quantity]], FIND("o", Table1[[#This Row],[Target_product_quantity]])-1)</f>
        <v>10.8</v>
      </c>
      <c r="G200" t="str" cm="1">
        <f t="array" ref="G200">_xlfn.TEXTJOIN("", TRUE, IF(ISNUMBER(SEARCH($K$1010:$K$1054, C200)), $K$1010:$K$1054, ""))</f>
        <v>Birds Eye</v>
      </c>
      <c r="H200" t="str">
        <f t="shared" si="14"/>
        <v>Canned Vegetables</v>
      </c>
      <c r="I200" t="str">
        <f t="shared" si="15"/>
        <v>Fruit &amp; Vegetables</v>
      </c>
      <c r="J200">
        <v>2.19</v>
      </c>
      <c r="K200">
        <f>Table1[[#This Row],[Target_product_price]]/Table1[[#This Row],[product_price_per_oz]]</f>
        <v>0.20277777777777775</v>
      </c>
    </row>
    <row r="201" spans="1:11" x14ac:dyDescent="0.2">
      <c r="A201" t="s">
        <v>579</v>
      </c>
      <c r="B201" t="s">
        <v>580</v>
      </c>
      <c r="C201" t="s">
        <v>581</v>
      </c>
      <c r="D201" t="str">
        <f>SUBSTITUTE(Table1[[#This Row],[Target_product_name]], "oz", " oz")</f>
        <v>Birds Eye Ultimate Cheesy Fr ozen Broccoli - 11 oz</v>
      </c>
      <c r="E201" t="str">
        <f t="shared" si="13"/>
        <v>11oz</v>
      </c>
      <c r="F201" t="str">
        <f>LEFT(Table1[[#This Row],[Target_product_quantity]], FIND("o", Table1[[#This Row],[Target_product_quantity]])-1)</f>
        <v>11</v>
      </c>
      <c r="G201" t="str" cm="1">
        <f t="array" ref="G201">_xlfn.TEXTJOIN("", TRUE, IF(ISNUMBER(SEARCH($K$1010:$K$1054, C201)), $K$1010:$K$1054, ""))</f>
        <v>Birds Eye</v>
      </c>
      <c r="H201" t="str">
        <f t="shared" si="14"/>
        <v>Canned Vegetables</v>
      </c>
      <c r="I201" t="str">
        <f t="shared" si="15"/>
        <v>Fruit &amp; Vegetables</v>
      </c>
      <c r="J201">
        <v>3.19</v>
      </c>
      <c r="K201">
        <f>Table1[[#This Row],[Target_product_price]]/Table1[[#This Row],[product_price_per_oz]]</f>
        <v>0.28999999999999998</v>
      </c>
    </row>
    <row r="202" spans="1:11" x14ac:dyDescent="0.2">
      <c r="A202" t="s">
        <v>582</v>
      </c>
      <c r="B202" t="s">
        <v>583</v>
      </c>
      <c r="C202" t="s">
        <v>584</v>
      </c>
      <c r="D202" t="str">
        <f>SUBSTITUTE(Table1[[#This Row],[Target_product_name]], "oz", " oz")</f>
        <v>Birds Eye Ultimate Cheesy Fr ozen California Blend - 11 oz</v>
      </c>
      <c r="E202" t="str">
        <f t="shared" si="13"/>
        <v>11oz</v>
      </c>
      <c r="F202" t="str">
        <f>LEFT(Table1[[#This Row],[Target_product_quantity]], FIND("o", Table1[[#This Row],[Target_product_quantity]])-1)</f>
        <v>11</v>
      </c>
      <c r="G202" t="str" cm="1">
        <f t="array" ref="G202">_xlfn.TEXTJOIN("", TRUE, IF(ISNUMBER(SEARCH($K$1010:$K$1054, C202)), $K$1010:$K$1054, ""))</f>
        <v>Birds Eye</v>
      </c>
      <c r="H202" t="str">
        <f t="shared" si="14"/>
        <v>Canned Vegetables</v>
      </c>
      <c r="I202" t="str">
        <f t="shared" si="15"/>
        <v>Fruit &amp; Vegetables</v>
      </c>
      <c r="J202">
        <v>3.19</v>
      </c>
      <c r="K202">
        <f>Table1[[#This Row],[Target_product_price]]/Table1[[#This Row],[product_price_per_oz]]</f>
        <v>0.28999999999999998</v>
      </c>
    </row>
    <row r="203" spans="1:11" x14ac:dyDescent="0.2">
      <c r="A203" t="s">
        <v>585</v>
      </c>
      <c r="B203" t="s">
        <v>586</v>
      </c>
      <c r="C203" t="s">
        <v>587</v>
      </c>
      <c r="D203" t="str">
        <f>SUBSTITUTE(Table1[[#This Row],[Target_product_name]], "oz", " oz")</f>
        <v>Birds Eye Ultimate Fr ozen Buttery Corn - 12 oz</v>
      </c>
      <c r="E203" t="str">
        <f t="shared" si="13"/>
        <v>12oz</v>
      </c>
      <c r="F203" t="str">
        <f>LEFT(Table1[[#This Row],[Target_product_quantity]], FIND("o", Table1[[#This Row],[Target_product_quantity]])-1)</f>
        <v>12</v>
      </c>
      <c r="G203" t="str" cm="1">
        <f t="array" ref="G203">_xlfn.TEXTJOIN("", TRUE, IF(ISNUMBER(SEARCH($K$1010:$K$1054, C203)), $K$1010:$K$1054, ""))</f>
        <v>Birds Eye</v>
      </c>
      <c r="H203" t="str">
        <f t="shared" si="14"/>
        <v>Canned Vegetables</v>
      </c>
      <c r="I203" t="str">
        <f t="shared" si="15"/>
        <v>Fruit &amp; Vegetables</v>
      </c>
      <c r="J203">
        <v>3.19</v>
      </c>
      <c r="K203">
        <f>Table1[[#This Row],[Target_product_price]]/Table1[[#This Row],[product_price_per_oz]]</f>
        <v>0.26583333333333331</v>
      </c>
    </row>
    <row r="204" spans="1:11" x14ac:dyDescent="0.2">
      <c r="A204" t="s">
        <v>588</v>
      </c>
      <c r="B204" t="s">
        <v>589</v>
      </c>
      <c r="C204" t="s">
        <v>590</v>
      </c>
      <c r="D204" t="str">
        <f>SUBSTITUTE(Table1[[#This Row],[Target_product_name]], "oz", " oz")</f>
        <v>Birds Eye Ultimate Fr ozen Buttery Green Beans - 12 oz</v>
      </c>
      <c r="E204" t="str">
        <f t="shared" si="13"/>
        <v>12oz</v>
      </c>
      <c r="F204" t="str">
        <f>LEFT(Table1[[#This Row],[Target_product_quantity]], FIND("o", Table1[[#This Row],[Target_product_quantity]])-1)</f>
        <v>12</v>
      </c>
      <c r="G204" t="str" cm="1">
        <f t="array" ref="G204">_xlfn.TEXTJOIN("", TRUE, IF(ISNUMBER(SEARCH($K$1010:$K$1054, C204)), $K$1010:$K$1054, ""))</f>
        <v>Birds Eye</v>
      </c>
      <c r="H204" t="str">
        <f t="shared" si="14"/>
        <v>Canned Vegetables</v>
      </c>
      <c r="I204" t="str">
        <f t="shared" si="15"/>
        <v>Fruit &amp; Vegetables</v>
      </c>
      <c r="J204">
        <v>3.19</v>
      </c>
      <c r="K204">
        <f>Table1[[#This Row],[Target_product_price]]/Table1[[#This Row],[product_price_per_oz]]</f>
        <v>0.26583333333333331</v>
      </c>
    </row>
    <row r="205" spans="1:11" x14ac:dyDescent="0.2">
      <c r="A205" t="s">
        <v>591</v>
      </c>
      <c r="B205" t="s">
        <v>592</v>
      </c>
      <c r="C205" t="s">
        <v>593</v>
      </c>
      <c r="D205" t="str">
        <f>SUBSTITUTE(Table1[[#This Row],[Target_product_name]], "oz", " oz")</f>
        <v>Birds Eye Voila! Family Size Fr ozen Chicken Fried Rice - 42 oz</v>
      </c>
      <c r="E205" t="str">
        <f t="shared" si="13"/>
        <v>42oz</v>
      </c>
      <c r="F205" t="str">
        <f>LEFT(Table1[[#This Row],[Target_product_quantity]], FIND("o", Table1[[#This Row],[Target_product_quantity]])-1)</f>
        <v>42</v>
      </c>
      <c r="G205" t="str" cm="1">
        <f t="array" ref="G205">_xlfn.TEXTJOIN("", TRUE, IF(ISNUMBER(SEARCH($K$1010:$K$1054, C205)), $K$1010:$K$1054, ""))</f>
        <v>Birds Eye</v>
      </c>
      <c r="H205" t="str">
        <f t="shared" si="14"/>
        <v>Canned Vegetables</v>
      </c>
      <c r="I205" t="str">
        <f t="shared" si="15"/>
        <v>Fruit &amp; Vegetables</v>
      </c>
      <c r="J205">
        <v>9.7899999999999991</v>
      </c>
      <c r="K205">
        <f>Table1[[#This Row],[Target_product_price]]/Table1[[#This Row],[product_price_per_oz]]</f>
        <v>0.23309523809523808</v>
      </c>
    </row>
    <row r="206" spans="1:11" x14ac:dyDescent="0.2">
      <c r="A206" t="s">
        <v>594</v>
      </c>
      <c r="B206" t="s">
        <v>595</v>
      </c>
      <c r="C206" t="s">
        <v>596</v>
      </c>
      <c r="D206" t="str">
        <f>SUBSTITUTE(Table1[[#This Row],[Target_product_name]], "oz", " oz")</f>
        <v>Birds Eye Voila! Fr ozen Family Size Alfredo Chicken - 42 oz</v>
      </c>
      <c r="E206" t="str">
        <f t="shared" si="13"/>
        <v>42oz</v>
      </c>
      <c r="F206" t="str">
        <f>LEFT(Table1[[#This Row],[Target_product_quantity]], FIND("o", Table1[[#This Row],[Target_product_quantity]])-1)</f>
        <v>42</v>
      </c>
      <c r="G206" t="str" cm="1">
        <f t="array" ref="G206">_xlfn.TEXTJOIN("", TRUE, IF(ISNUMBER(SEARCH($K$1010:$K$1054, C206)), $K$1010:$K$1054, ""))</f>
        <v>Birds Eye</v>
      </c>
      <c r="H206" t="str">
        <f t="shared" si="14"/>
        <v>Canned Vegetables</v>
      </c>
      <c r="I206" t="str">
        <f t="shared" si="15"/>
        <v>Fruit &amp; Vegetables</v>
      </c>
      <c r="J206">
        <v>9.7899999999999991</v>
      </c>
      <c r="K206">
        <f>Table1[[#This Row],[Target_product_price]]/Table1[[#This Row],[product_price_per_oz]]</f>
        <v>0.23309523809523808</v>
      </c>
    </row>
    <row r="207" spans="1:11" x14ac:dyDescent="0.2">
      <c r="A207" t="s">
        <v>597</v>
      </c>
      <c r="B207" t="s">
        <v>598</v>
      </c>
      <c r="C207" t="s">
        <v>599</v>
      </c>
      <c r="D207" t="str">
        <f>SUBSTITUTE(Table1[[#This Row],[Target_product_name]], "oz", " oz")</f>
        <v>Birds Eye Voila! Fr ozen Family Size Cheesy Chicken - 42 oz</v>
      </c>
      <c r="E207" t="str">
        <f t="shared" si="13"/>
        <v>42oz</v>
      </c>
      <c r="F207" t="str">
        <f>LEFT(Table1[[#This Row],[Target_product_quantity]], FIND("o", Table1[[#This Row],[Target_product_quantity]])-1)</f>
        <v>42</v>
      </c>
      <c r="G207" t="str" cm="1">
        <f t="array" ref="G207">_xlfn.TEXTJOIN("", TRUE, IF(ISNUMBER(SEARCH($K$1010:$K$1054, C207)), $K$1010:$K$1054, ""))</f>
        <v>Birds Eye</v>
      </c>
      <c r="H207" t="str">
        <f t="shared" si="14"/>
        <v>Canned Vegetables</v>
      </c>
      <c r="I207" t="str">
        <f t="shared" si="15"/>
        <v>Fruit &amp; Vegetables</v>
      </c>
      <c r="J207">
        <v>9.7899999999999991</v>
      </c>
      <c r="K207">
        <f>Table1[[#This Row],[Target_product_price]]/Table1[[#This Row],[product_price_per_oz]]</f>
        <v>0.23309523809523808</v>
      </c>
    </row>
    <row r="208" spans="1:11" x14ac:dyDescent="0.2">
      <c r="A208" t="s">
        <v>600</v>
      </c>
      <c r="C208" t="s">
        <v>601</v>
      </c>
      <c r="D208" t="str">
        <f>SUBSTITUTE(Table1[[#This Row],[Target_product_name]], "oz", " oz")</f>
        <v>Bush's Best Baked Beans, Golden Hominy - 15.5 Oz</v>
      </c>
      <c r="E208" t="s">
        <v>602</v>
      </c>
      <c r="F208" t="str">
        <f>LEFT(Table1[[#This Row],[Target_product_quantity]], FIND("o", Table1[[#This Row],[Target_product_quantity]])-1)</f>
        <v>15.5</v>
      </c>
      <c r="G208" t="str" cm="1">
        <f t="array" ref="G208">_xlfn.TEXTJOIN("", TRUE, IF(ISNUMBER(SEARCH($K$1010:$K$1054, C208)), $K$1010:$K$1054, ""))</f>
        <v>Bush's</v>
      </c>
      <c r="H208" t="str">
        <f t="shared" si="14"/>
        <v>Protein</v>
      </c>
      <c r="I208" t="str">
        <f t="shared" si="15"/>
        <v>Protein</v>
      </c>
      <c r="J208" s="4">
        <v>12.44</v>
      </c>
      <c r="K208">
        <f>Table1[[#This Row],[Target_product_price]]/Table1[[#This Row],[product_price_per_oz]]</f>
        <v>0.80258064516129024</v>
      </c>
    </row>
    <row r="209" spans="1:11" x14ac:dyDescent="0.2">
      <c r="A209" t="s">
        <v>603</v>
      </c>
      <c r="C209" t="s">
        <v>604</v>
      </c>
      <c r="D209" t="str">
        <f>SUBSTITUTE(Table1[[#This Row],[Target_product_name]], "oz", " oz")</f>
        <v>Bush's Best Baked Beans, White Hominy - 15.5 Oz</v>
      </c>
      <c r="E209" t="s">
        <v>602</v>
      </c>
      <c r="F209" t="str">
        <f>LEFT(Table1[[#This Row],[Target_product_quantity]], FIND("o", Table1[[#This Row],[Target_product_quantity]])-1)</f>
        <v>15.5</v>
      </c>
      <c r="G209" t="str" cm="1">
        <f t="array" ref="G209">_xlfn.TEXTJOIN("", TRUE, IF(ISNUMBER(SEARCH($K$1010:$K$1054, C209)), $K$1010:$K$1054, ""))</f>
        <v>Bush's</v>
      </c>
      <c r="H209" t="str">
        <f t="shared" si="14"/>
        <v>Protein</v>
      </c>
      <c r="I209" t="str">
        <f t="shared" si="15"/>
        <v>Protein</v>
      </c>
      <c r="J209" s="4">
        <v>12.29</v>
      </c>
      <c r="K209">
        <f>Table1[[#This Row],[Target_product_price]]/Table1[[#This Row],[product_price_per_oz]]</f>
        <v>0.79290322580645156</v>
      </c>
    </row>
    <row r="210" spans="1:11" x14ac:dyDescent="0.2">
      <c r="A210" t="s">
        <v>605</v>
      </c>
      <c r="C210" t="s">
        <v>606</v>
      </c>
      <c r="D210" t="str">
        <f>SUBSTITUTE(Table1[[#This Row],[Target_product_name]], "oz", " oz")</f>
        <v>Bush's Best Bean Dip, Black - 9.5 Oz</v>
      </c>
      <c r="E210" t="s">
        <v>607</v>
      </c>
      <c r="F210" t="str">
        <f>LEFT(Table1[[#This Row],[Target_product_quantity]], FIND("o", Table1[[#This Row],[Target_product_quantity]])-1)</f>
        <v>9.5</v>
      </c>
      <c r="G210" t="str" cm="1">
        <f t="array" ref="G210">_xlfn.TEXTJOIN("", TRUE, IF(ISNUMBER(SEARCH($K$1010:$K$1054, C210)), $K$1010:$K$1054, ""))</f>
        <v>Bush's</v>
      </c>
      <c r="H210" t="str">
        <f t="shared" si="14"/>
        <v>Protein</v>
      </c>
      <c r="I210" t="str">
        <f t="shared" si="15"/>
        <v>Protein</v>
      </c>
      <c r="J210" s="4">
        <v>10.18</v>
      </c>
      <c r="K210">
        <f>Table1[[#This Row],[Target_product_price]]/Table1[[#This Row],[product_price_per_oz]]</f>
        <v>1.071578947368421</v>
      </c>
    </row>
    <row r="211" spans="1:11" x14ac:dyDescent="0.2">
      <c r="A211" t="s">
        <v>608</v>
      </c>
      <c r="C211" t="s">
        <v>609</v>
      </c>
      <c r="D211" t="str">
        <f>SUBSTITUTE(Table1[[#This Row],[Target_product_name]], "oz", " oz")</f>
        <v>Bush's Best Bean Dip, Original - 9.5 Oz</v>
      </c>
      <c r="E211" t="s">
        <v>607</v>
      </c>
      <c r="F211" t="str">
        <f>LEFT(Table1[[#This Row],[Target_product_quantity]], FIND("o", Table1[[#This Row],[Target_product_quantity]])-1)</f>
        <v>9.5</v>
      </c>
      <c r="G211" t="str" cm="1">
        <f t="array" ref="G211">_xlfn.TEXTJOIN("", TRUE, IF(ISNUMBER(SEARCH($K$1010:$K$1054, C211)), $K$1010:$K$1054, ""))</f>
        <v>Bush's</v>
      </c>
      <c r="H211" t="str">
        <f t="shared" si="14"/>
        <v>Protein</v>
      </c>
      <c r="I211" t="str">
        <f t="shared" si="15"/>
        <v>Protein</v>
      </c>
      <c r="J211" s="4">
        <v>10.18</v>
      </c>
      <c r="K211">
        <f>Table1[[#This Row],[Target_product_price]]/Table1[[#This Row],[product_price_per_oz]]</f>
        <v>1.071578947368421</v>
      </c>
    </row>
    <row r="212" spans="1:11" x14ac:dyDescent="0.2">
      <c r="A212" t="s">
        <v>610</v>
      </c>
      <c r="C212" t="s">
        <v>611</v>
      </c>
      <c r="D212" t="str">
        <f>SUBSTITUTE(Table1[[#This Row],[Target_product_name]], "oz", " oz")</f>
        <v>Bush's Best Boston Recipe Baked Beans - 28 oz</v>
      </c>
      <c r="E212" t="str">
        <f t="shared" ref="E212:E250" si="16">TRIM(RIGHT(C212, LEN(C212) - FIND("-", C212)))</f>
        <v>28oz</v>
      </c>
      <c r="F212" t="str">
        <f>LEFT(Table1[[#This Row],[Target_product_quantity]], FIND("o", Table1[[#This Row],[Target_product_quantity]])-1)</f>
        <v>28</v>
      </c>
      <c r="G212" t="str" cm="1">
        <f t="array" ref="G212">_xlfn.TEXTJOIN("", TRUE, IF(ISNUMBER(SEARCH($K$1010:$K$1054, C212)), $K$1010:$K$1054, ""))</f>
        <v>Bush's</v>
      </c>
      <c r="H212" t="str">
        <f t="shared" si="14"/>
        <v>Protein</v>
      </c>
      <c r="I212" t="str">
        <f t="shared" si="15"/>
        <v>Protein</v>
      </c>
      <c r="J212" s="4">
        <v>14.34</v>
      </c>
      <c r="K212">
        <f>Table1[[#This Row],[Target_product_price]]/Table1[[#This Row],[product_price_per_oz]]</f>
        <v>0.51214285714285712</v>
      </c>
    </row>
    <row r="213" spans="1:11" x14ac:dyDescent="0.2">
      <c r="A213" t="s">
        <v>612</v>
      </c>
      <c r="B213" t="s">
        <v>613</v>
      </c>
      <c r="C213" t="s">
        <v>614</v>
      </c>
      <c r="D213" t="str">
        <f>SUBSTITUTE(Table1[[#This Row],[Target_product_name]], "oz", " oz")</f>
        <v>Bush's Best Homestyle Baked Beans - 8.3  oz</v>
      </c>
      <c r="E213" t="str">
        <f t="shared" si="16"/>
        <v>8.3 oz</v>
      </c>
      <c r="F213" t="str">
        <f>LEFT(Table1[[#This Row],[Target_product_quantity]], FIND("o", Table1[[#This Row],[Target_product_quantity]])-1)</f>
        <v xml:space="preserve">8.3 </v>
      </c>
      <c r="G213" t="str" cm="1">
        <f t="array" ref="G213">_xlfn.TEXTJOIN("", TRUE, IF(ISNUMBER(SEARCH($K$1010:$K$1054, C213)), $K$1010:$K$1054, ""))</f>
        <v>Bush's</v>
      </c>
      <c r="H213" t="str">
        <f t="shared" si="14"/>
        <v>Protein</v>
      </c>
      <c r="I213" t="str">
        <f t="shared" si="15"/>
        <v>Protein</v>
      </c>
      <c r="J213" s="4">
        <v>9.59</v>
      </c>
      <c r="K213">
        <f>Table1[[#This Row],[Target_product_price]]/Table1[[#This Row],[product_price_per_oz]]</f>
        <v>1.1554216867469878</v>
      </c>
    </row>
    <row r="214" spans="1:11" x14ac:dyDescent="0.2">
      <c r="A214" t="s">
        <v>615</v>
      </c>
      <c r="C214" t="s">
        <v>616</v>
      </c>
      <c r="D214" t="str">
        <f>SUBSTITUTE(Table1[[#This Row],[Target_product_name]], "oz", " oz")</f>
        <v>Bush's Best Onion Baked Beans - 28 oz</v>
      </c>
      <c r="E214" t="str">
        <f t="shared" si="16"/>
        <v>28oz</v>
      </c>
      <c r="F214" t="str">
        <f>LEFT(Table1[[#This Row],[Target_product_quantity]], FIND("o", Table1[[#This Row],[Target_product_quantity]])-1)</f>
        <v>28</v>
      </c>
      <c r="G214" t="str" cm="1">
        <f t="array" ref="G214">_xlfn.TEXTJOIN("", TRUE, IF(ISNUMBER(SEARCH($K$1010:$K$1054, C214)), $K$1010:$K$1054, ""))</f>
        <v>Bush's</v>
      </c>
      <c r="H214" t="str">
        <f t="shared" si="14"/>
        <v>Protein</v>
      </c>
      <c r="I214" t="str">
        <f t="shared" si="15"/>
        <v>Protein</v>
      </c>
      <c r="J214" s="4">
        <v>14.91</v>
      </c>
      <c r="K214">
        <f>Table1[[#This Row],[Target_product_price]]/Table1[[#This Row],[product_price_per_oz]]</f>
        <v>0.53249999999999997</v>
      </c>
    </row>
    <row r="215" spans="1:11" x14ac:dyDescent="0.2">
      <c r="A215" t="s">
        <v>617</v>
      </c>
      <c r="B215" t="s">
        <v>618</v>
      </c>
      <c r="C215" t="s">
        <v>619</v>
      </c>
      <c r="D215" t="str">
        <f>SUBSTITUTE(Table1[[#This Row],[Target_product_name]], "oz", " oz")</f>
        <v>Bush's Black Beans - 15 oz</v>
      </c>
      <c r="E215" t="str">
        <f t="shared" si="16"/>
        <v>15oz</v>
      </c>
      <c r="F215" t="str">
        <f>LEFT(Table1[[#This Row],[Target_product_quantity]], FIND("o", Table1[[#This Row],[Target_product_quantity]])-1)</f>
        <v>15</v>
      </c>
      <c r="G215" t="str" cm="1">
        <f t="array" ref="G215">_xlfn.TEXTJOIN("", TRUE, IF(ISNUMBER(SEARCH($K$1010:$K$1054, C215)), $K$1010:$K$1054, ""))</f>
        <v>Bush's</v>
      </c>
      <c r="H215" t="str">
        <f t="shared" si="14"/>
        <v>Protein</v>
      </c>
      <c r="I215" t="str">
        <f t="shared" si="15"/>
        <v>Protein</v>
      </c>
      <c r="J215" s="4">
        <v>1.49</v>
      </c>
      <c r="K215">
        <f>Table1[[#This Row],[Target_product_price]]/Table1[[#This Row],[product_price_per_oz]]</f>
        <v>9.9333333333333329E-2</v>
      </c>
    </row>
    <row r="216" spans="1:11" x14ac:dyDescent="0.2">
      <c r="A216" t="s">
        <v>620</v>
      </c>
      <c r="B216" t="s">
        <v>621</v>
      </c>
      <c r="C216" t="s">
        <v>622</v>
      </c>
      <c r="D216" t="str">
        <f>SUBSTITUTE(Table1[[#This Row],[Target_product_name]], "oz", " oz")</f>
        <v>Bush's Blackeye Peas - 15.8 oz</v>
      </c>
      <c r="E216" t="str">
        <f t="shared" si="16"/>
        <v>15.8oz</v>
      </c>
      <c r="F216" t="str">
        <f>LEFT(Table1[[#This Row],[Target_product_quantity]], FIND("o", Table1[[#This Row],[Target_product_quantity]])-1)</f>
        <v>15.8</v>
      </c>
      <c r="G216" t="str" cm="1">
        <f t="array" ref="G216">_xlfn.TEXTJOIN("", TRUE, IF(ISNUMBER(SEARCH($K$1010:$K$1054, C216)), $K$1010:$K$1054, ""))</f>
        <v>Bush's</v>
      </c>
      <c r="H216" t="str">
        <f t="shared" si="14"/>
        <v>Protein</v>
      </c>
      <c r="I216" t="str">
        <f t="shared" si="15"/>
        <v>Protein</v>
      </c>
      <c r="J216" s="4">
        <v>1.49</v>
      </c>
      <c r="K216">
        <f>Table1[[#This Row],[Target_product_price]]/Table1[[#This Row],[product_price_per_oz]]</f>
        <v>9.4303797468354419E-2</v>
      </c>
    </row>
    <row r="217" spans="1:11" x14ac:dyDescent="0.2">
      <c r="A217" t="s">
        <v>623</v>
      </c>
      <c r="B217" t="s">
        <v>624</v>
      </c>
      <c r="C217" t="s">
        <v>625</v>
      </c>
      <c r="D217" t="str">
        <f>SUBSTITUTE(Table1[[#This Row],[Target_product_name]], "oz", " oz")</f>
        <v>Bush's Brown Sugar Hickory Baked Beans - 16 oz</v>
      </c>
      <c r="E217" t="str">
        <f t="shared" si="16"/>
        <v>16oz</v>
      </c>
      <c r="F217" t="str">
        <f>LEFT(Table1[[#This Row],[Target_product_quantity]], FIND("o", Table1[[#This Row],[Target_product_quantity]])-1)</f>
        <v>16</v>
      </c>
      <c r="G217" t="str" cm="1">
        <f t="array" ref="G217">_xlfn.TEXTJOIN("", TRUE, IF(ISNUMBER(SEARCH($K$1010:$K$1054, C217)), $K$1010:$K$1054, ""))</f>
        <v>Bush's</v>
      </c>
      <c r="H217" t="str">
        <f t="shared" si="14"/>
        <v>Protein</v>
      </c>
      <c r="I217" t="str">
        <f t="shared" si="15"/>
        <v>Protein</v>
      </c>
      <c r="J217" s="4">
        <v>2.29</v>
      </c>
      <c r="K217">
        <f>Table1[[#This Row],[Target_product_price]]/Table1[[#This Row],[product_price_per_oz]]</f>
        <v>0.143125</v>
      </c>
    </row>
    <row r="218" spans="1:11" x14ac:dyDescent="0.2">
      <c r="A218" t="s">
        <v>626</v>
      </c>
      <c r="B218" t="s">
        <v>627</v>
      </c>
      <c r="C218" t="s">
        <v>628</v>
      </c>
      <c r="D218" t="str">
        <f>SUBSTITUTE(Table1[[#This Row],[Target_product_name]], "oz", " oz")</f>
        <v>Bush's Brown Sugar Hickory Baked Beans - 28 oz</v>
      </c>
      <c r="E218" t="str">
        <f t="shared" si="16"/>
        <v>28oz</v>
      </c>
      <c r="F218" t="str">
        <f>LEFT(Table1[[#This Row],[Target_product_quantity]], FIND("o", Table1[[#This Row],[Target_product_quantity]])-1)</f>
        <v>28</v>
      </c>
      <c r="G218" t="str" cm="1">
        <f t="array" ref="G218">_xlfn.TEXTJOIN("", TRUE, IF(ISNUMBER(SEARCH($K$1010:$K$1054, C218)), $K$1010:$K$1054, ""))</f>
        <v>Bush's</v>
      </c>
      <c r="H218" t="str">
        <f t="shared" si="14"/>
        <v>Protein</v>
      </c>
      <c r="I218" t="str">
        <f t="shared" si="15"/>
        <v>Protein</v>
      </c>
      <c r="J218" s="4">
        <v>2.59</v>
      </c>
      <c r="K218">
        <f>Table1[[#This Row],[Target_product_price]]/Table1[[#This Row],[product_price_per_oz]]</f>
        <v>9.2499999999999999E-2</v>
      </c>
    </row>
    <row r="219" spans="1:11" x14ac:dyDescent="0.2">
      <c r="A219" t="s">
        <v>626</v>
      </c>
      <c r="B219" t="s">
        <v>627</v>
      </c>
      <c r="C219" t="s">
        <v>628</v>
      </c>
      <c r="D219" t="str">
        <f>SUBSTITUTE(Table1[[#This Row],[Target_product_name]], "oz", " oz")</f>
        <v>Bush's Brown Sugar Hickory Baked Beans - 28 oz</v>
      </c>
      <c r="E219" t="str">
        <f t="shared" si="16"/>
        <v>28oz</v>
      </c>
      <c r="F219" t="str">
        <f>LEFT(Table1[[#This Row],[Target_product_quantity]], FIND("o", Table1[[#This Row],[Target_product_quantity]])-1)</f>
        <v>28</v>
      </c>
      <c r="G219" t="str" cm="1">
        <f t="array" ref="G219">_xlfn.TEXTJOIN("", TRUE, IF(ISNUMBER(SEARCH($K$1010:$K$1054, C219)), $K$1010:$K$1054, ""))</f>
        <v>Bush's</v>
      </c>
      <c r="H219" t="str">
        <f t="shared" si="14"/>
        <v>Protein</v>
      </c>
      <c r="I219" t="str">
        <f t="shared" si="15"/>
        <v>Protein</v>
      </c>
      <c r="J219" s="4">
        <v>2.59</v>
      </c>
      <c r="K219">
        <f>Table1[[#This Row],[Target_product_price]]/Table1[[#This Row],[product_price_per_oz]]</f>
        <v>9.2499999999999999E-2</v>
      </c>
    </row>
    <row r="220" spans="1:11" x14ac:dyDescent="0.2">
      <c r="A220" t="s">
        <v>629</v>
      </c>
      <c r="B220" t="s">
        <v>630</v>
      </c>
      <c r="C220" t="s">
        <v>631</v>
      </c>
      <c r="D220" t="str">
        <f>SUBSTITUTE(Table1[[#This Row],[Target_product_name]], "oz", " oz")</f>
        <v>Bush's Cannellini Beans - 15.5 oz</v>
      </c>
      <c r="E220" t="str">
        <f t="shared" si="16"/>
        <v>15.5oz</v>
      </c>
      <c r="F220" t="str">
        <f>LEFT(Table1[[#This Row],[Target_product_quantity]], FIND("o", Table1[[#This Row],[Target_product_quantity]])-1)</f>
        <v>15.5</v>
      </c>
      <c r="G220" t="str" cm="1">
        <f t="array" ref="G220">_xlfn.TEXTJOIN("", TRUE, IF(ISNUMBER(SEARCH($K$1010:$K$1054, C220)), $K$1010:$K$1054, ""))</f>
        <v>Bush's</v>
      </c>
      <c r="H220" t="str">
        <f t="shared" si="14"/>
        <v>Protein</v>
      </c>
      <c r="I220" t="str">
        <f t="shared" si="15"/>
        <v>Protein</v>
      </c>
      <c r="J220" s="4">
        <v>1.49</v>
      </c>
      <c r="K220">
        <f>Table1[[#This Row],[Target_product_price]]/Table1[[#This Row],[product_price_per_oz]]</f>
        <v>9.6129032258064517E-2</v>
      </c>
    </row>
    <row r="221" spans="1:11" x14ac:dyDescent="0.2">
      <c r="A221" t="s">
        <v>632</v>
      </c>
      <c r="B221" t="s">
        <v>633</v>
      </c>
      <c r="C221" t="s">
        <v>634</v>
      </c>
      <c r="D221" t="str">
        <f>SUBSTITUTE(Table1[[#This Row],[Target_product_name]], "oz", " oz")</f>
        <v>Bush's Country Style Baked Beans - 28 oz</v>
      </c>
      <c r="E221" t="str">
        <f t="shared" si="16"/>
        <v>28oz</v>
      </c>
      <c r="F221" t="str">
        <f>LEFT(Table1[[#This Row],[Target_product_quantity]], FIND("o", Table1[[#This Row],[Target_product_quantity]])-1)</f>
        <v>28</v>
      </c>
      <c r="G221" t="str" cm="1">
        <f t="array" ref="G221">_xlfn.TEXTJOIN("", TRUE, IF(ISNUMBER(SEARCH($K$1010:$K$1054, C221)), $K$1010:$K$1054, ""))</f>
        <v>Bush's</v>
      </c>
      <c r="H221" t="str">
        <f t="shared" si="14"/>
        <v>Protein</v>
      </c>
      <c r="I221" t="str">
        <f t="shared" si="15"/>
        <v>Protein</v>
      </c>
      <c r="J221" s="4">
        <v>2.59</v>
      </c>
      <c r="K221">
        <f>Table1[[#This Row],[Target_product_price]]/Table1[[#This Row],[product_price_per_oz]]</f>
        <v>9.2499999999999999E-2</v>
      </c>
    </row>
    <row r="222" spans="1:11" x14ac:dyDescent="0.2">
      <c r="A222" t="s">
        <v>632</v>
      </c>
      <c r="B222" t="s">
        <v>633</v>
      </c>
      <c r="C222" t="s">
        <v>634</v>
      </c>
      <c r="D222" t="str">
        <f>SUBSTITUTE(Table1[[#This Row],[Target_product_name]], "oz", " oz")</f>
        <v>Bush's Country Style Baked Beans - 28 oz</v>
      </c>
      <c r="E222" t="str">
        <f t="shared" si="16"/>
        <v>28oz</v>
      </c>
      <c r="F222" t="str">
        <f>LEFT(Table1[[#This Row],[Target_product_quantity]], FIND("o", Table1[[#This Row],[Target_product_quantity]])-1)</f>
        <v>28</v>
      </c>
      <c r="G222" t="str" cm="1">
        <f t="array" ref="G222">_xlfn.TEXTJOIN("", TRUE, IF(ISNUMBER(SEARCH($K$1010:$K$1054, C222)), $K$1010:$K$1054, ""))</f>
        <v>Bush's</v>
      </c>
      <c r="H222" t="str">
        <f t="shared" si="14"/>
        <v>Protein</v>
      </c>
      <c r="I222" t="str">
        <f t="shared" si="15"/>
        <v>Protein</v>
      </c>
      <c r="J222" s="4">
        <v>2.59</v>
      </c>
      <c r="K222">
        <f>Table1[[#This Row],[Target_product_price]]/Table1[[#This Row],[product_price_per_oz]]</f>
        <v>9.2499999999999999E-2</v>
      </c>
    </row>
    <row r="223" spans="1:11" x14ac:dyDescent="0.2">
      <c r="A223" t="s">
        <v>635</v>
      </c>
      <c r="B223" t="s">
        <v>636</v>
      </c>
      <c r="C223" t="s">
        <v>637</v>
      </c>
      <c r="D223" t="str">
        <f>SUBSTITUTE(Table1[[#This Row],[Target_product_name]], "oz", " oz")</f>
        <v>Bush's Dark Red Kidney Beans - 16 oz</v>
      </c>
      <c r="E223" t="str">
        <f t="shared" si="16"/>
        <v>16oz</v>
      </c>
      <c r="F223" t="str">
        <f>LEFT(Table1[[#This Row],[Target_product_quantity]], FIND("o", Table1[[#This Row],[Target_product_quantity]])-1)</f>
        <v>16</v>
      </c>
      <c r="G223" t="str" cm="1">
        <f t="array" ref="G223">_xlfn.TEXTJOIN("", TRUE, IF(ISNUMBER(SEARCH($K$1010:$K$1054, C223)), $K$1010:$K$1054, ""))</f>
        <v>Bush's</v>
      </c>
      <c r="H223" t="str">
        <f t="shared" si="14"/>
        <v>Protein</v>
      </c>
      <c r="I223" t="str">
        <f t="shared" si="15"/>
        <v>Protein</v>
      </c>
      <c r="J223" s="4">
        <v>1.49</v>
      </c>
      <c r="K223">
        <f>Table1[[#This Row],[Target_product_price]]/Table1[[#This Row],[product_price_per_oz]]</f>
        <v>9.3124999999999999E-2</v>
      </c>
    </row>
    <row r="224" spans="1:11" x14ac:dyDescent="0.2">
      <c r="A224" t="s">
        <v>638</v>
      </c>
      <c r="C224" t="s">
        <v>639</v>
      </c>
      <c r="D224" t="str">
        <f>SUBSTITUTE(Table1[[#This Row],[Target_product_name]], "oz", " oz")</f>
        <v>Bush's Garbanzo Beans - 16 oz</v>
      </c>
      <c r="E224" t="str">
        <f t="shared" si="16"/>
        <v>16oz</v>
      </c>
      <c r="F224" t="str">
        <f>LEFT(Table1[[#This Row],[Target_product_quantity]], FIND("o", Table1[[#This Row],[Target_product_quantity]])-1)</f>
        <v>16</v>
      </c>
      <c r="G224" t="str" cm="1">
        <f t="array" ref="G224">_xlfn.TEXTJOIN("", TRUE, IF(ISNUMBER(SEARCH($K$1010:$K$1054, C224)), $K$1010:$K$1054, ""))</f>
        <v>Bush's</v>
      </c>
      <c r="H224" t="str">
        <f t="shared" si="14"/>
        <v>Protein</v>
      </c>
      <c r="I224" t="str">
        <f t="shared" si="15"/>
        <v>Protein</v>
      </c>
      <c r="J224" s="4">
        <v>1.49</v>
      </c>
      <c r="K224">
        <f>Table1[[#This Row],[Target_product_price]]/Table1[[#This Row],[product_price_per_oz]]</f>
        <v>9.3124999999999999E-2</v>
      </c>
    </row>
    <row r="225" spans="1:11" x14ac:dyDescent="0.2">
      <c r="A225" t="s">
        <v>640</v>
      </c>
      <c r="B225" t="s">
        <v>641</v>
      </c>
      <c r="C225" t="s">
        <v>642</v>
      </c>
      <c r="D225" t="str">
        <f>SUBSTITUTE(Table1[[#This Row],[Target_product_name]], "oz", " oz")</f>
        <v>Bush's Gluten Free Bourbon and Brown Sugar Grillin' Beans - 22 oz</v>
      </c>
      <c r="E225" t="str">
        <f t="shared" si="16"/>
        <v>22oz</v>
      </c>
      <c r="F225" t="str">
        <f>LEFT(Table1[[#This Row],[Target_product_quantity]], FIND("o", Table1[[#This Row],[Target_product_quantity]])-1)</f>
        <v>22</v>
      </c>
      <c r="G225" t="str" cm="1">
        <f t="array" ref="G225">_xlfn.TEXTJOIN("", TRUE, IF(ISNUMBER(SEARCH($K$1010:$K$1054, C225)), $K$1010:$K$1054, ""))</f>
        <v>Bush's</v>
      </c>
      <c r="H225" t="str">
        <f t="shared" si="14"/>
        <v>Protein</v>
      </c>
      <c r="I225" t="str">
        <f t="shared" si="15"/>
        <v>Protein</v>
      </c>
      <c r="J225" s="4">
        <v>2.59</v>
      </c>
      <c r="K225">
        <f>Table1[[#This Row],[Target_product_price]]/Table1[[#This Row],[product_price_per_oz]]</f>
        <v>0.11772727272727272</v>
      </c>
    </row>
    <row r="226" spans="1:11" x14ac:dyDescent="0.2">
      <c r="A226" t="s">
        <v>643</v>
      </c>
      <c r="B226" t="s">
        <v>644</v>
      </c>
      <c r="C226" t="s">
        <v>645</v>
      </c>
      <c r="D226" t="str">
        <f>SUBSTITUTE(Table1[[#This Row],[Target_product_name]], "oz", " oz")</f>
        <v>Bush's Great Northern Beans - 15.8 oz</v>
      </c>
      <c r="E226" t="str">
        <f t="shared" si="16"/>
        <v>15.8oz</v>
      </c>
      <c r="F226" t="str">
        <f>LEFT(Table1[[#This Row],[Target_product_quantity]], FIND("o", Table1[[#This Row],[Target_product_quantity]])-1)</f>
        <v>15.8</v>
      </c>
      <c r="G226" t="str" cm="1">
        <f t="array" ref="G226">_xlfn.TEXTJOIN("", TRUE, IF(ISNUMBER(SEARCH($K$1010:$K$1054, C226)), $K$1010:$K$1054, ""))</f>
        <v>Bush's</v>
      </c>
      <c r="H226" t="str">
        <f t="shared" si="14"/>
        <v>Protein</v>
      </c>
      <c r="I226" t="str">
        <f t="shared" si="15"/>
        <v>Protein</v>
      </c>
      <c r="J226" s="4">
        <v>1.49</v>
      </c>
      <c r="K226">
        <f>Table1[[#This Row],[Target_product_price]]/Table1[[#This Row],[product_price_per_oz]]</f>
        <v>9.4303797468354419E-2</v>
      </c>
    </row>
    <row r="227" spans="1:11" x14ac:dyDescent="0.2">
      <c r="A227" t="s">
        <v>646</v>
      </c>
      <c r="B227" t="s">
        <v>647</v>
      </c>
      <c r="C227" t="s">
        <v>648</v>
      </c>
      <c r="D227" t="str">
        <f>SUBSTITUTE(Table1[[#This Row],[Target_product_name]], "oz", " oz")</f>
        <v>Bush's Great Northern Beans in Mild White Chili Sauce - 15.5 oz</v>
      </c>
      <c r="E227" t="str">
        <f t="shared" si="16"/>
        <v>15.5oz</v>
      </c>
      <c r="F227" t="str">
        <f>LEFT(Table1[[#This Row],[Target_product_quantity]], FIND("o", Table1[[#This Row],[Target_product_quantity]])-1)</f>
        <v>15.5</v>
      </c>
      <c r="G227" t="str" cm="1">
        <f t="array" ref="G227">_xlfn.TEXTJOIN("", TRUE, IF(ISNUMBER(SEARCH($K$1010:$K$1054, C227)), $K$1010:$K$1054, ""))</f>
        <v>Bush's</v>
      </c>
      <c r="H227" t="str">
        <f t="shared" si="14"/>
        <v>Protein</v>
      </c>
      <c r="I227" t="str">
        <f t="shared" si="15"/>
        <v>Protein</v>
      </c>
      <c r="J227" s="4">
        <v>1.99</v>
      </c>
      <c r="K227">
        <f>Table1[[#This Row],[Target_product_price]]/Table1[[#This Row],[product_price_per_oz]]</f>
        <v>0.12838709677419355</v>
      </c>
    </row>
    <row r="228" spans="1:11" x14ac:dyDescent="0.2">
      <c r="A228" t="s">
        <v>649</v>
      </c>
      <c r="B228" t="s">
        <v>650</v>
      </c>
      <c r="C228" t="s">
        <v>651</v>
      </c>
      <c r="D228" t="str">
        <f>SUBSTITUTE(Table1[[#This Row],[Target_product_name]], "oz", " oz")</f>
        <v>Bush's Grillin' Hot Honey Baked Bean - 21.7 oz</v>
      </c>
      <c r="E228" t="str">
        <f t="shared" si="16"/>
        <v>21.7oz</v>
      </c>
      <c r="F228" t="str">
        <f>LEFT(Table1[[#This Row],[Target_product_quantity]], FIND("o", Table1[[#This Row],[Target_product_quantity]])-1)</f>
        <v>21.7</v>
      </c>
      <c r="G228" t="str" cm="1">
        <f t="array" ref="G228">_xlfn.TEXTJOIN("", TRUE, IF(ISNUMBER(SEARCH($K$1010:$K$1054, C228)), $K$1010:$K$1054, ""))</f>
        <v>Bush's</v>
      </c>
      <c r="H228" t="str">
        <f t="shared" si="14"/>
        <v>Protein</v>
      </c>
      <c r="I228" t="str">
        <f t="shared" si="15"/>
        <v>Protein</v>
      </c>
      <c r="J228" s="4">
        <v>2.59</v>
      </c>
      <c r="K228">
        <f>Table1[[#This Row],[Target_product_price]]/Table1[[#This Row],[product_price_per_oz]]</f>
        <v>0.11935483870967742</v>
      </c>
    </row>
    <row r="229" spans="1:11" x14ac:dyDescent="0.2">
      <c r="A229" t="s">
        <v>652</v>
      </c>
      <c r="B229" t="s">
        <v>653</v>
      </c>
      <c r="C229" t="s">
        <v>654</v>
      </c>
      <c r="D229" t="str">
        <f>SUBSTITUTE(Table1[[#This Row],[Target_product_name]], "oz", " oz")</f>
        <v>Bush's Kidney Beans in Mild Chili Sauce - 16 oz</v>
      </c>
      <c r="E229" t="str">
        <f t="shared" si="16"/>
        <v>16oz</v>
      </c>
      <c r="F229" t="str">
        <f>LEFT(Table1[[#This Row],[Target_product_quantity]], FIND("o", Table1[[#This Row],[Target_product_quantity]])-1)</f>
        <v>16</v>
      </c>
      <c r="G229" t="str" cm="1">
        <f t="array" ref="G229">_xlfn.TEXTJOIN("", TRUE, IF(ISNUMBER(SEARCH($K$1010:$K$1054, C229)), $K$1010:$K$1054, ""))</f>
        <v>Bush's</v>
      </c>
      <c r="H229" t="str">
        <f t="shared" si="14"/>
        <v>Protein</v>
      </c>
      <c r="I229" t="str">
        <f t="shared" si="15"/>
        <v>Protein</v>
      </c>
      <c r="J229" s="4">
        <v>2.4900000000000002</v>
      </c>
      <c r="K229">
        <f>Table1[[#This Row],[Target_product_price]]/Table1[[#This Row],[product_price_per_oz]]</f>
        <v>0.15562500000000001</v>
      </c>
    </row>
    <row r="230" spans="1:11" x14ac:dyDescent="0.2">
      <c r="A230" t="s">
        <v>655</v>
      </c>
      <c r="B230" t="s">
        <v>656</v>
      </c>
      <c r="C230" t="s">
        <v>657</v>
      </c>
      <c r="D230" t="str">
        <f>SUBSTITUTE(Table1[[#This Row],[Target_product_name]], "oz", " oz")</f>
        <v>Bush's Kidney Beans in Spicy Chili Sauce - 16 oz</v>
      </c>
      <c r="E230" t="str">
        <f t="shared" si="16"/>
        <v>16oz</v>
      </c>
      <c r="F230" t="str">
        <f>LEFT(Table1[[#This Row],[Target_product_quantity]], FIND("o", Table1[[#This Row],[Target_product_quantity]])-1)</f>
        <v>16</v>
      </c>
      <c r="G230" t="str" cm="1">
        <f t="array" ref="G230">_xlfn.TEXTJOIN("", TRUE, IF(ISNUMBER(SEARCH($K$1010:$K$1054, C230)), $K$1010:$K$1054, ""))</f>
        <v>Bush's</v>
      </c>
      <c r="H230" t="str">
        <f t="shared" si="14"/>
        <v>Protein</v>
      </c>
      <c r="I230" t="str">
        <f t="shared" si="15"/>
        <v>Protein</v>
      </c>
      <c r="J230" s="4">
        <v>1.99</v>
      </c>
      <c r="K230">
        <f>Table1[[#This Row],[Target_product_price]]/Table1[[#This Row],[product_price_per_oz]]</f>
        <v>0.124375</v>
      </c>
    </row>
    <row r="231" spans="1:11" x14ac:dyDescent="0.2">
      <c r="A231" t="s">
        <v>658</v>
      </c>
      <c r="B231" t="s">
        <v>659</v>
      </c>
      <c r="C231" t="s">
        <v>660</v>
      </c>
      <c r="D231" t="str">
        <f>SUBSTITUTE(Table1[[#This Row],[Target_product_name]], "oz", " oz")</f>
        <v>Bush's Low Sodium Red Beans in Mild Chili Sauce - 15 oz</v>
      </c>
      <c r="E231" t="str">
        <f t="shared" si="16"/>
        <v>15oz</v>
      </c>
      <c r="F231" t="str">
        <f>LEFT(Table1[[#This Row],[Target_product_quantity]], FIND("o", Table1[[#This Row],[Target_product_quantity]])-1)</f>
        <v>15</v>
      </c>
      <c r="G231" t="str" cm="1">
        <f t="array" ref="G231">_xlfn.TEXTJOIN("", TRUE, IF(ISNUMBER(SEARCH($K$1010:$K$1054, C231)), $K$1010:$K$1054, ""))</f>
        <v>Bush's</v>
      </c>
      <c r="H231" t="str">
        <f t="shared" si="14"/>
        <v>Protein</v>
      </c>
      <c r="I231" t="str">
        <f t="shared" si="15"/>
        <v>Protein</v>
      </c>
      <c r="J231" s="4">
        <v>1.99</v>
      </c>
      <c r="K231">
        <f>Table1[[#This Row],[Target_product_price]]/Table1[[#This Row],[product_price_per_oz]]</f>
        <v>0.13266666666666665</v>
      </c>
    </row>
    <row r="232" spans="1:11" x14ac:dyDescent="0.2">
      <c r="A232" t="s">
        <v>661</v>
      </c>
      <c r="B232" t="s">
        <v>662</v>
      </c>
      <c r="C232" t="s">
        <v>663</v>
      </c>
      <c r="D232" t="str">
        <f>SUBSTITUTE(Table1[[#This Row],[Target_product_name]], "oz", " oz")</f>
        <v>Bush's Maple Cured Bacon Baked Beans - 16 oz</v>
      </c>
      <c r="E232" t="str">
        <f t="shared" si="16"/>
        <v>16oz</v>
      </c>
      <c r="F232" t="str">
        <f>LEFT(Table1[[#This Row],[Target_product_quantity]], FIND("o", Table1[[#This Row],[Target_product_quantity]])-1)</f>
        <v>16</v>
      </c>
      <c r="G232" t="str" cm="1">
        <f t="array" ref="G232">_xlfn.TEXTJOIN("", TRUE, IF(ISNUMBER(SEARCH($K$1010:$K$1054, C232)), $K$1010:$K$1054, ""))</f>
        <v>Bush's</v>
      </c>
      <c r="H232" t="str">
        <f t="shared" si="14"/>
        <v>Protein</v>
      </c>
      <c r="I232" t="str">
        <f t="shared" si="15"/>
        <v>Protein</v>
      </c>
      <c r="J232" s="4">
        <v>2.29</v>
      </c>
      <c r="K232">
        <f>Table1[[#This Row],[Target_product_price]]/Table1[[#This Row],[product_price_per_oz]]</f>
        <v>0.143125</v>
      </c>
    </row>
    <row r="233" spans="1:11" x14ac:dyDescent="0.2">
      <c r="A233" t="s">
        <v>664</v>
      </c>
      <c r="B233" t="s">
        <v>665</v>
      </c>
      <c r="C233" t="s">
        <v>666</v>
      </c>
      <c r="D233" t="str">
        <f>SUBSTITUTE(Table1[[#This Row],[Target_product_name]], "oz", " oz")</f>
        <v>Bush's Mixed Pinto &amp; Kidney Beans in Medium Chili Sauce - 15.5 oz</v>
      </c>
      <c r="E233" t="str">
        <f t="shared" si="16"/>
        <v>15.5oz</v>
      </c>
      <c r="F233" t="str">
        <f>LEFT(Table1[[#This Row],[Target_product_quantity]], FIND("o", Table1[[#This Row],[Target_product_quantity]])-1)</f>
        <v>15.5</v>
      </c>
      <c r="G233" t="str" cm="1">
        <f t="array" ref="G233">_xlfn.TEXTJOIN("", TRUE, IF(ISNUMBER(SEARCH($K$1010:$K$1054, C233)), $K$1010:$K$1054, ""))</f>
        <v>Bush's</v>
      </c>
      <c r="H233" t="str">
        <f t="shared" si="14"/>
        <v>Protein</v>
      </c>
      <c r="I233" t="str">
        <f t="shared" si="15"/>
        <v>Protein</v>
      </c>
      <c r="J233" s="4">
        <v>1.99</v>
      </c>
      <c r="K233">
        <f>Table1[[#This Row],[Target_product_price]]/Table1[[#This Row],[product_price_per_oz]]</f>
        <v>0.12838709677419355</v>
      </c>
    </row>
    <row r="234" spans="1:11" x14ac:dyDescent="0.2">
      <c r="A234" t="s">
        <v>667</v>
      </c>
      <c r="B234" t="s">
        <v>668</v>
      </c>
      <c r="C234" t="s">
        <v>669</v>
      </c>
      <c r="D234" t="str">
        <f>SUBSTITUTE(Table1[[#This Row],[Target_product_name]], "oz", " oz")</f>
        <v>Bush's Organic Baked Beans - 16 oz</v>
      </c>
      <c r="E234" t="str">
        <f t="shared" si="16"/>
        <v>16oz</v>
      </c>
      <c r="F234" t="str">
        <f>LEFT(Table1[[#This Row],[Target_product_quantity]], FIND("o", Table1[[#This Row],[Target_product_quantity]])-1)</f>
        <v>16</v>
      </c>
      <c r="G234" t="str" cm="1">
        <f t="array" ref="G234">_xlfn.TEXTJOIN("", TRUE, IF(ISNUMBER(SEARCH($K$1010:$K$1054, C234)), $K$1010:$K$1054, ""))</f>
        <v>Bush's</v>
      </c>
      <c r="H234" t="str">
        <f t="shared" si="14"/>
        <v>Protein</v>
      </c>
      <c r="I234" t="str">
        <f t="shared" si="15"/>
        <v>Protein</v>
      </c>
      <c r="J234" s="4">
        <v>2.29</v>
      </c>
      <c r="K234">
        <f>Table1[[#This Row],[Target_product_price]]/Table1[[#This Row],[product_price_per_oz]]</f>
        <v>0.143125</v>
      </c>
    </row>
    <row r="235" spans="1:11" x14ac:dyDescent="0.2">
      <c r="A235" t="s">
        <v>667</v>
      </c>
      <c r="B235" t="s">
        <v>668</v>
      </c>
      <c r="C235" t="s">
        <v>669</v>
      </c>
      <c r="D235" t="str">
        <f>SUBSTITUTE(Table1[[#This Row],[Target_product_name]], "oz", " oz")</f>
        <v>Bush's Organic Baked Beans - 16 oz</v>
      </c>
      <c r="E235" t="str">
        <f t="shared" si="16"/>
        <v>16oz</v>
      </c>
      <c r="F235" t="str">
        <f>LEFT(Table1[[#This Row],[Target_product_quantity]], FIND("o", Table1[[#This Row],[Target_product_quantity]])-1)</f>
        <v>16</v>
      </c>
      <c r="G235" t="str" cm="1">
        <f t="array" ref="G235">_xlfn.TEXTJOIN("", TRUE, IF(ISNUMBER(SEARCH($K$1010:$K$1054, C235)), $K$1010:$K$1054, ""))</f>
        <v>Bush's</v>
      </c>
      <c r="H235" t="str">
        <f t="shared" si="14"/>
        <v>Protein</v>
      </c>
      <c r="I235" t="str">
        <f t="shared" si="15"/>
        <v>Protein</v>
      </c>
      <c r="J235" s="4">
        <v>2.29</v>
      </c>
      <c r="K235">
        <f>Table1[[#This Row],[Target_product_price]]/Table1[[#This Row],[product_price_per_oz]]</f>
        <v>0.143125</v>
      </c>
    </row>
    <row r="236" spans="1:11" x14ac:dyDescent="0.2">
      <c r="A236" t="s">
        <v>670</v>
      </c>
      <c r="B236" t="s">
        <v>671</v>
      </c>
      <c r="C236" t="s">
        <v>672</v>
      </c>
      <c r="D236" t="str">
        <f>SUBSTITUTE(Table1[[#This Row],[Target_product_name]], "oz", " oz")</f>
        <v>Bush's Original Baked Beans - 16 oz</v>
      </c>
      <c r="E236" t="str">
        <f t="shared" si="16"/>
        <v>16oz</v>
      </c>
      <c r="F236" t="str">
        <f>LEFT(Table1[[#This Row],[Target_product_quantity]], FIND("o", Table1[[#This Row],[Target_product_quantity]])-1)</f>
        <v>16</v>
      </c>
      <c r="G236" t="str" cm="1">
        <f t="array" ref="G236">_xlfn.TEXTJOIN("", TRUE, IF(ISNUMBER(SEARCH($K$1010:$K$1054, C236)), $K$1010:$K$1054, ""))</f>
        <v>Bush's</v>
      </c>
      <c r="H236" t="str">
        <f t="shared" si="14"/>
        <v>Protein</v>
      </c>
      <c r="I236" t="str">
        <f t="shared" si="15"/>
        <v>Protein</v>
      </c>
      <c r="J236" s="4">
        <v>2.29</v>
      </c>
      <c r="K236">
        <f>Table1[[#This Row],[Target_product_price]]/Table1[[#This Row],[product_price_per_oz]]</f>
        <v>0.143125</v>
      </c>
    </row>
    <row r="237" spans="1:11" x14ac:dyDescent="0.2">
      <c r="A237" t="s">
        <v>670</v>
      </c>
      <c r="B237" t="s">
        <v>671</v>
      </c>
      <c r="C237" t="s">
        <v>672</v>
      </c>
      <c r="D237" t="str">
        <f>SUBSTITUTE(Table1[[#This Row],[Target_product_name]], "oz", " oz")</f>
        <v>Bush's Original Baked Beans - 16 oz</v>
      </c>
      <c r="E237" t="str">
        <f t="shared" si="16"/>
        <v>16oz</v>
      </c>
      <c r="F237" t="str">
        <f>LEFT(Table1[[#This Row],[Target_product_quantity]], FIND("o", Table1[[#This Row],[Target_product_quantity]])-1)</f>
        <v>16</v>
      </c>
      <c r="G237" t="str" cm="1">
        <f t="array" ref="G237">_xlfn.TEXTJOIN("", TRUE, IF(ISNUMBER(SEARCH($K$1010:$K$1054, C237)), $K$1010:$K$1054, ""))</f>
        <v>Bush's</v>
      </c>
      <c r="H237" t="str">
        <f t="shared" si="14"/>
        <v>Protein</v>
      </c>
      <c r="I237" t="str">
        <f t="shared" si="15"/>
        <v>Protein</v>
      </c>
      <c r="J237" s="4">
        <v>2.29</v>
      </c>
      <c r="K237">
        <f>Table1[[#This Row],[Target_product_price]]/Table1[[#This Row],[product_price_per_oz]]</f>
        <v>0.143125</v>
      </c>
    </row>
    <row r="238" spans="1:11" x14ac:dyDescent="0.2">
      <c r="A238" t="s">
        <v>673</v>
      </c>
      <c r="B238" t="s">
        <v>674</v>
      </c>
      <c r="C238" t="s">
        <v>675</v>
      </c>
      <c r="D238" t="str">
        <f>SUBSTITUTE(Table1[[#This Row],[Target_product_name]], "oz", " oz")</f>
        <v>Bush's Original Baked Beans - 28 oz</v>
      </c>
      <c r="E238" t="str">
        <f t="shared" si="16"/>
        <v>28oz</v>
      </c>
      <c r="F238" t="str">
        <f>LEFT(Table1[[#This Row],[Target_product_quantity]], FIND("o", Table1[[#This Row],[Target_product_quantity]])-1)</f>
        <v>28</v>
      </c>
      <c r="G238" t="str" cm="1">
        <f t="array" ref="G238">_xlfn.TEXTJOIN("", TRUE, IF(ISNUMBER(SEARCH($K$1010:$K$1054, C238)), $K$1010:$K$1054, ""))</f>
        <v>Bush's</v>
      </c>
      <c r="H238" t="str">
        <f t="shared" si="14"/>
        <v>Protein</v>
      </c>
      <c r="I238" t="str">
        <f t="shared" si="15"/>
        <v>Protein</v>
      </c>
      <c r="J238" s="4">
        <v>2.59</v>
      </c>
      <c r="K238">
        <f>Table1[[#This Row],[Target_product_price]]/Table1[[#This Row],[product_price_per_oz]]</f>
        <v>9.2499999999999999E-2</v>
      </c>
    </row>
    <row r="239" spans="1:11" x14ac:dyDescent="0.2">
      <c r="A239" t="s">
        <v>676</v>
      </c>
      <c r="B239" t="s">
        <v>677</v>
      </c>
      <c r="C239" t="s">
        <v>678</v>
      </c>
      <c r="D239" t="str">
        <f>SUBSTITUTE(Table1[[#This Row],[Target_product_name]], "oz", " oz")</f>
        <v>Bush's Original Baked Beans - 8.3 oz</v>
      </c>
      <c r="E239" t="str">
        <f t="shared" si="16"/>
        <v>8.3oz</v>
      </c>
      <c r="F239" t="str">
        <f>LEFT(Table1[[#This Row],[Target_product_quantity]], FIND("o", Table1[[#This Row],[Target_product_quantity]])-1)</f>
        <v>8.3</v>
      </c>
      <c r="G239" t="str" cm="1">
        <f t="array" ref="G239">_xlfn.TEXTJOIN("", TRUE, IF(ISNUMBER(SEARCH($K$1010:$K$1054, C239)), $K$1010:$K$1054, ""))</f>
        <v>Bush's</v>
      </c>
      <c r="H239" t="str">
        <f t="shared" si="14"/>
        <v>Protein</v>
      </c>
      <c r="I239" t="str">
        <f t="shared" si="15"/>
        <v>Protein</v>
      </c>
      <c r="J239" s="4">
        <v>1.69</v>
      </c>
      <c r="K239">
        <f>Table1[[#This Row],[Target_product_price]]/Table1[[#This Row],[product_price_per_oz]]</f>
        <v>0.20361445783132529</v>
      </c>
    </row>
    <row r="240" spans="1:11" x14ac:dyDescent="0.2">
      <c r="A240" t="s">
        <v>679</v>
      </c>
      <c r="B240" t="s">
        <v>680</v>
      </c>
      <c r="C240" t="s">
        <v>681</v>
      </c>
      <c r="D240" t="str">
        <f>SUBSTITUTE(Table1[[#This Row],[Target_product_name]], "oz", " oz")</f>
        <v>Bush's Pinto Beans - 16 oz</v>
      </c>
      <c r="E240" t="str">
        <f t="shared" si="16"/>
        <v>16oz</v>
      </c>
      <c r="F240" t="str">
        <f>LEFT(Table1[[#This Row],[Target_product_quantity]], FIND("o", Table1[[#This Row],[Target_product_quantity]])-1)</f>
        <v>16</v>
      </c>
      <c r="G240" t="str" cm="1">
        <f t="array" ref="G240">_xlfn.TEXTJOIN("", TRUE, IF(ISNUMBER(SEARCH($K$1010:$K$1054, C240)), $K$1010:$K$1054, ""))</f>
        <v>Bush's</v>
      </c>
      <c r="H240" t="str">
        <f t="shared" si="14"/>
        <v>Protein</v>
      </c>
      <c r="I240" t="str">
        <f t="shared" si="15"/>
        <v>Protein</v>
      </c>
      <c r="J240" s="4">
        <v>1.49</v>
      </c>
      <c r="K240">
        <f>Table1[[#This Row],[Target_product_price]]/Table1[[#This Row],[product_price_per_oz]]</f>
        <v>9.3124999999999999E-2</v>
      </c>
    </row>
    <row r="241" spans="1:11" x14ac:dyDescent="0.2">
      <c r="A241" t="s">
        <v>682</v>
      </c>
      <c r="B241" t="s">
        <v>683</v>
      </c>
      <c r="C241" t="s">
        <v>684</v>
      </c>
      <c r="D241" t="str">
        <f>SUBSTITUTE(Table1[[#This Row],[Target_product_name]], "oz", " oz")</f>
        <v>Bush's Pinto Beans in Mild Chili Sauce - 16 oz</v>
      </c>
      <c r="E241" t="str">
        <f t="shared" si="16"/>
        <v>16oz</v>
      </c>
      <c r="F241" t="str">
        <f>LEFT(Table1[[#This Row],[Target_product_quantity]], FIND("o", Table1[[#This Row],[Target_product_quantity]])-1)</f>
        <v>16</v>
      </c>
      <c r="G241" t="str" cm="1">
        <f t="array" ref="G241">_xlfn.TEXTJOIN("", TRUE, IF(ISNUMBER(SEARCH($K$1010:$K$1054, C241)), $K$1010:$K$1054, ""))</f>
        <v>Bush's</v>
      </c>
      <c r="H241" t="str">
        <f t="shared" si="14"/>
        <v>Protein</v>
      </c>
      <c r="I241" t="str">
        <f t="shared" si="15"/>
        <v>Protein</v>
      </c>
      <c r="J241" s="4">
        <v>1.99</v>
      </c>
      <c r="K241">
        <f>Table1[[#This Row],[Target_product_price]]/Table1[[#This Row],[product_price_per_oz]]</f>
        <v>0.124375</v>
      </c>
    </row>
    <row r="242" spans="1:11" x14ac:dyDescent="0.2">
      <c r="A242" t="s">
        <v>685</v>
      </c>
      <c r="B242" t="s">
        <v>686</v>
      </c>
      <c r="C242" t="s">
        <v>687</v>
      </c>
      <c r="D242" t="str">
        <f>SUBSTITUTE(Table1[[#This Row],[Target_product_name]], "oz", " oz")</f>
        <v>Bush's Red Beans in Mild Chili Sauce - 16 oz</v>
      </c>
      <c r="E242" t="str">
        <f t="shared" si="16"/>
        <v>16oz</v>
      </c>
      <c r="F242" t="str">
        <f>LEFT(Table1[[#This Row],[Target_product_quantity]], FIND("o", Table1[[#This Row],[Target_product_quantity]])-1)</f>
        <v>16</v>
      </c>
      <c r="G242" t="str" cm="1">
        <f t="array" ref="G242">_xlfn.TEXTJOIN("", TRUE, IF(ISNUMBER(SEARCH($K$1010:$K$1054, C242)), $K$1010:$K$1054, ""))</f>
        <v>Bush's</v>
      </c>
      <c r="H242" t="str">
        <f t="shared" si="14"/>
        <v>Protein</v>
      </c>
      <c r="I242" t="str">
        <f t="shared" si="15"/>
        <v>Protein</v>
      </c>
      <c r="J242" s="4">
        <v>1.99</v>
      </c>
      <c r="K242">
        <f>Table1[[#This Row],[Target_product_price]]/Table1[[#This Row],[product_price_per_oz]]</f>
        <v>0.124375</v>
      </c>
    </row>
    <row r="243" spans="1:11" x14ac:dyDescent="0.2">
      <c r="A243" t="s">
        <v>688</v>
      </c>
      <c r="B243" t="s">
        <v>689</v>
      </c>
      <c r="C243" t="s">
        <v>690</v>
      </c>
      <c r="D243" t="str">
        <f>SUBSTITUTE(Table1[[#This Row],[Target_product_name]], "oz", " oz")</f>
        <v>Bush's Reduced Sodium Black Beans - 15 oz</v>
      </c>
      <c r="E243" t="str">
        <f t="shared" si="16"/>
        <v>15oz</v>
      </c>
      <c r="F243" t="str">
        <f>LEFT(Table1[[#This Row],[Target_product_quantity]], FIND("o", Table1[[#This Row],[Target_product_quantity]])-1)</f>
        <v>15</v>
      </c>
      <c r="G243" t="str" cm="1">
        <f t="array" ref="G243">_xlfn.TEXTJOIN("", TRUE, IF(ISNUMBER(SEARCH($K$1010:$K$1054, C243)), $K$1010:$K$1054, ""))</f>
        <v>Bush's</v>
      </c>
      <c r="H243" t="str">
        <f t="shared" si="14"/>
        <v>Protein</v>
      </c>
      <c r="I243" t="str">
        <f t="shared" si="15"/>
        <v>Protein</v>
      </c>
      <c r="J243" s="4">
        <v>1.49</v>
      </c>
      <c r="K243">
        <f>Table1[[#This Row],[Target_product_price]]/Table1[[#This Row],[product_price_per_oz]]</f>
        <v>9.9333333333333329E-2</v>
      </c>
    </row>
    <row r="244" spans="1:11" x14ac:dyDescent="0.2">
      <c r="A244" t="s">
        <v>691</v>
      </c>
      <c r="C244" t="s">
        <v>692</v>
      </c>
      <c r="D244" t="str">
        <f>SUBSTITUTE(Table1[[#This Row],[Target_product_name]], "oz", " oz")</f>
        <v>Bush's Reduced Sodium Dark Red Kidney Beans - 16 oz</v>
      </c>
      <c r="E244" t="str">
        <f t="shared" si="16"/>
        <v>16oz</v>
      </c>
      <c r="F244" t="str">
        <f>LEFT(Table1[[#This Row],[Target_product_quantity]], FIND("o", Table1[[#This Row],[Target_product_quantity]])-1)</f>
        <v>16</v>
      </c>
      <c r="G244" t="str" cm="1">
        <f t="array" ref="G244">_xlfn.TEXTJOIN("", TRUE, IF(ISNUMBER(SEARCH($K$1010:$K$1054, C244)), $K$1010:$K$1054, ""))</f>
        <v>Bush's</v>
      </c>
      <c r="H244" t="str">
        <f t="shared" si="14"/>
        <v>Protein</v>
      </c>
      <c r="I244" t="str">
        <f t="shared" si="15"/>
        <v>Protein</v>
      </c>
      <c r="J244" s="4">
        <v>1.49</v>
      </c>
      <c r="K244">
        <f>Table1[[#This Row],[Target_product_price]]/Table1[[#This Row],[product_price_per_oz]]</f>
        <v>9.3124999999999999E-2</v>
      </c>
    </row>
    <row r="245" spans="1:11" x14ac:dyDescent="0.2">
      <c r="A245" t="s">
        <v>693</v>
      </c>
      <c r="C245" t="s">
        <v>694</v>
      </c>
      <c r="D245" t="str">
        <f>SUBSTITUTE(Table1[[#This Row],[Target_product_name]], "oz", " oz")</f>
        <v>Bush's Reduced Sodium Pinto Beans - 16 oz</v>
      </c>
      <c r="E245" t="str">
        <f t="shared" si="16"/>
        <v>16oz</v>
      </c>
      <c r="F245" t="str">
        <f>LEFT(Table1[[#This Row],[Target_product_quantity]], FIND("o", Table1[[#This Row],[Target_product_quantity]])-1)</f>
        <v>16</v>
      </c>
      <c r="G245" t="str" cm="1">
        <f t="array" ref="G245">_xlfn.TEXTJOIN("", TRUE, IF(ISNUMBER(SEARCH($K$1010:$K$1054, C245)), $K$1010:$K$1054, ""))</f>
        <v>Bush's</v>
      </c>
      <c r="H245" t="str">
        <f t="shared" si="14"/>
        <v>Protein</v>
      </c>
      <c r="I245" t="str">
        <f t="shared" si="15"/>
        <v>Protein</v>
      </c>
      <c r="J245" s="4">
        <v>1.49</v>
      </c>
      <c r="K245">
        <f>Table1[[#This Row],[Target_product_price]]/Table1[[#This Row],[product_price_per_oz]]</f>
        <v>9.3124999999999999E-2</v>
      </c>
    </row>
    <row r="246" spans="1:11" x14ac:dyDescent="0.2">
      <c r="A246" t="s">
        <v>695</v>
      </c>
      <c r="C246" t="s">
        <v>696</v>
      </c>
      <c r="D246" t="str">
        <f>SUBSTITUTE(Table1[[#This Row],[Target_product_name]], "oz", " oz")</f>
        <v>Bush's Sidekicks Taco Fiesta Black Beans - 15.1 oz</v>
      </c>
      <c r="E246" t="str">
        <f t="shared" si="16"/>
        <v>15.1oz</v>
      </c>
      <c r="F246" t="str">
        <f>LEFT(Table1[[#This Row],[Target_product_quantity]], FIND("o", Table1[[#This Row],[Target_product_quantity]])-1)</f>
        <v>15.1</v>
      </c>
      <c r="G246" t="str" cm="1">
        <f t="array" ref="G246">_xlfn.TEXTJOIN("", TRUE, IF(ISNUMBER(SEARCH($K$1010:$K$1054, C246)), $K$1010:$K$1054, ""))</f>
        <v>Bush's</v>
      </c>
      <c r="H246" t="str">
        <f t="shared" si="14"/>
        <v>Protein</v>
      </c>
      <c r="I246" t="str">
        <f t="shared" si="15"/>
        <v>Protein</v>
      </c>
      <c r="J246" s="4">
        <v>1.79</v>
      </c>
      <c r="K246">
        <f>Table1[[#This Row],[Target_product_price]]/Table1[[#This Row],[product_price_per_oz]]</f>
        <v>0.11854304635761589</v>
      </c>
    </row>
    <row r="247" spans="1:11" x14ac:dyDescent="0.2">
      <c r="A247" t="s">
        <v>697</v>
      </c>
      <c r="B247" t="s">
        <v>698</v>
      </c>
      <c r="C247" t="s">
        <v>699</v>
      </c>
      <c r="D247" t="str">
        <f>SUBSTITUTE(Table1[[#This Row],[Target_product_name]], "oz", " oz")</f>
        <v>Bush's Vegetarian Baked Beans - 28 oz</v>
      </c>
      <c r="E247" t="str">
        <f t="shared" si="16"/>
        <v>28oz</v>
      </c>
      <c r="F247" t="str">
        <f>LEFT(Table1[[#This Row],[Target_product_quantity]], FIND("o", Table1[[#This Row],[Target_product_quantity]])-1)</f>
        <v>28</v>
      </c>
      <c r="G247" t="str" cm="1">
        <f t="array" ref="G247">_xlfn.TEXTJOIN("", TRUE, IF(ISNUMBER(SEARCH($K$1010:$K$1054, C247)), $K$1010:$K$1054, ""))</f>
        <v>Bush's</v>
      </c>
      <c r="H247" t="str">
        <f t="shared" si="14"/>
        <v>Protein</v>
      </c>
      <c r="I247" t="str">
        <f t="shared" si="15"/>
        <v>Protein</v>
      </c>
      <c r="J247" s="4">
        <v>2.59</v>
      </c>
      <c r="K247">
        <f>Table1[[#This Row],[Target_product_price]]/Table1[[#This Row],[product_price_per_oz]]</f>
        <v>9.2499999999999999E-2</v>
      </c>
    </row>
    <row r="248" spans="1:11" x14ac:dyDescent="0.2">
      <c r="A248" t="s">
        <v>700</v>
      </c>
      <c r="B248" t="s">
        <v>701</v>
      </c>
      <c r="C248" t="s">
        <v>702</v>
      </c>
      <c r="D248" t="str">
        <f>SUBSTITUTE(Table1[[#This Row],[Target_product_name]], "oz", " oz")</f>
        <v>Bush's Vegetarian Baked Beans - 8.3 oz</v>
      </c>
      <c r="E248" t="str">
        <f t="shared" si="16"/>
        <v>8.3oz</v>
      </c>
      <c r="F248" t="str">
        <f>LEFT(Table1[[#This Row],[Target_product_quantity]], FIND("o", Table1[[#This Row],[Target_product_quantity]])-1)</f>
        <v>8.3</v>
      </c>
      <c r="G248" t="str" cm="1">
        <f t="array" ref="G248">_xlfn.TEXTJOIN("", TRUE, IF(ISNUMBER(SEARCH($K$1010:$K$1054, C248)), $K$1010:$K$1054, ""))</f>
        <v>Bush's</v>
      </c>
      <c r="H248" t="str">
        <f t="shared" si="14"/>
        <v>Protein</v>
      </c>
      <c r="I248" t="str">
        <f t="shared" si="15"/>
        <v>Protein</v>
      </c>
      <c r="J248" s="4">
        <v>1.69</v>
      </c>
      <c r="K248">
        <f>Table1[[#This Row],[Target_product_price]]/Table1[[#This Row],[product_price_per_oz]]</f>
        <v>0.20361445783132529</v>
      </c>
    </row>
    <row r="249" spans="1:11" x14ac:dyDescent="0.2">
      <c r="A249" t="s">
        <v>700</v>
      </c>
      <c r="B249" t="s">
        <v>701</v>
      </c>
      <c r="C249" t="s">
        <v>702</v>
      </c>
      <c r="D249" t="str">
        <f>SUBSTITUTE(Table1[[#This Row],[Target_product_name]], "oz", " oz")</f>
        <v>Bush's Vegetarian Baked Beans - 8.3 oz</v>
      </c>
      <c r="E249" t="str">
        <f t="shared" si="16"/>
        <v>8.3oz</v>
      </c>
      <c r="F249" t="str">
        <f>LEFT(Table1[[#This Row],[Target_product_quantity]], FIND("o", Table1[[#This Row],[Target_product_quantity]])-1)</f>
        <v>8.3</v>
      </c>
      <c r="G249" t="str" cm="1">
        <f t="array" ref="G249">_xlfn.TEXTJOIN("", TRUE, IF(ISNUMBER(SEARCH($K$1010:$K$1054, C249)), $K$1010:$K$1054, ""))</f>
        <v>Bush's</v>
      </c>
      <c r="H249" t="str">
        <f t="shared" si="14"/>
        <v>Protein</v>
      </c>
      <c r="I249" t="str">
        <f t="shared" si="15"/>
        <v>Protein</v>
      </c>
      <c r="J249" s="4">
        <v>1.69</v>
      </c>
      <c r="K249">
        <f>Table1[[#This Row],[Target_product_price]]/Table1[[#This Row],[product_price_per_oz]]</f>
        <v>0.20361445783132529</v>
      </c>
    </row>
    <row r="250" spans="1:11" x14ac:dyDescent="0.2">
      <c r="A250" t="s">
        <v>703</v>
      </c>
      <c r="B250" s="2" t="s">
        <v>704</v>
      </c>
      <c r="C250" t="s">
        <v>705</v>
      </c>
      <c r="D250" t="str">
        <f>SUBSTITUTE(Table1[[#This Row],[Target_product_name]], "oz", " oz")</f>
        <v>Mott's Applesauce - 4 oz/3ct</v>
      </c>
      <c r="E250" t="str">
        <f t="shared" si="16"/>
        <v>4oz/3ct</v>
      </c>
      <c r="F250" t="str">
        <f>LEFT(Table1[[#This Row],[Target_product_quantity]], FIND("o", Table1[[#This Row],[Target_product_quantity]])-1)</f>
        <v>4</v>
      </c>
      <c r="G250" t="str" cm="1">
        <f t="array" ref="G250">_xlfn.TEXTJOIN("", TRUE, IF(ISNUMBER(SEARCH($K$1010:$K$1054, C250)), $K$1010:$K$1054, ""))</f>
        <v>Mott's</v>
      </c>
      <c r="H250" t="str">
        <f t="shared" si="14"/>
        <v>Canned Fruit</v>
      </c>
      <c r="I250" t="str">
        <f t="shared" si="15"/>
        <v>Fruit &amp; Vegetables</v>
      </c>
      <c r="J250" s="4">
        <v>3.29</v>
      </c>
      <c r="K250">
        <f>Table1[[#This Row],[Target_product_price]]/Table1[[#This Row],[product_price_per_oz]]</f>
        <v>0.82250000000000001</v>
      </c>
    </row>
    <row r="251" spans="1:11" x14ac:dyDescent="0.2">
      <c r="A251" t="s">
        <v>706</v>
      </c>
      <c r="B251" t="s">
        <v>707</v>
      </c>
      <c r="C251" t="s">
        <v>708</v>
      </c>
      <c r="D251" t="str">
        <f>SUBSTITUTE(Table1[[#This Row],[Target_product_name]], "oz", " oz")</f>
        <v>Cheerios Blends Apple Strawberry Pouches - 8ct / 9.87 oz</v>
      </c>
      <c r="E251" t="s">
        <v>3037</v>
      </c>
      <c r="F251" t="str">
        <f>LEFT(Table1[[#This Row],[Target_product_quantity]], FIND("o", Table1[[#This Row],[Target_product_quantity]])-1)</f>
        <v>78</v>
      </c>
      <c r="G251" t="str" cm="1">
        <f t="array" ref="G251">_xlfn.TEXTJOIN("", TRUE, IF(ISNUMBER(SEARCH($K$1010:$K$1054, C251)), $K$1010:$K$1054, ""))</f>
        <v>Cheerios</v>
      </c>
      <c r="H251" t="str">
        <f t="shared" si="14"/>
        <v>Prepared Food</v>
      </c>
      <c r="I251" t="str">
        <f t="shared" si="15"/>
        <v>Prepared Food</v>
      </c>
      <c r="J251">
        <v>5.29</v>
      </c>
      <c r="K251">
        <f>Table1[[#This Row],[Target_product_price]]/Table1[[#This Row],[product_price_per_oz]]</f>
        <v>6.7820512820512824E-2</v>
      </c>
    </row>
    <row r="252" spans="1:11" x14ac:dyDescent="0.2">
      <c r="A252" t="s">
        <v>709</v>
      </c>
      <c r="B252" t="s">
        <v>710</v>
      </c>
      <c r="C252" t="s">
        <v>711</v>
      </c>
      <c r="D252" t="str">
        <f>SUBSTITUTE(Table1[[#This Row],[Target_product_name]], "oz", " oz")</f>
        <v>Cheerios Breakfast Cereal - 8.9 oz - General Mills</v>
      </c>
      <c r="E252" t="s">
        <v>712</v>
      </c>
      <c r="F252" t="str">
        <f>LEFT(Table1[[#This Row],[Target_product_quantity]], FIND("o", Table1[[#This Row],[Target_product_quantity]])-1)</f>
        <v>8.9</v>
      </c>
      <c r="G252" t="str" cm="1">
        <f t="array" ref="G252">_xlfn.TEXTJOIN("", TRUE, IF(ISNUMBER(SEARCH($K$1010:$K$1054, C252)), $K$1010:$K$1054, ""))</f>
        <v>Cheerios</v>
      </c>
      <c r="H252" t="str">
        <f t="shared" si="14"/>
        <v>Prepared Food</v>
      </c>
      <c r="I252" t="str">
        <f t="shared" si="15"/>
        <v>Prepared Food</v>
      </c>
      <c r="J252">
        <v>3.79</v>
      </c>
      <c r="K252">
        <f>Table1[[#This Row],[Target_product_price]]/Table1[[#This Row],[product_price_per_oz]]</f>
        <v>0.42584269662921348</v>
      </c>
    </row>
    <row r="253" spans="1:11" x14ac:dyDescent="0.2">
      <c r="A253" t="s">
        <v>713</v>
      </c>
      <c r="B253" t="s">
        <v>714</v>
      </c>
      <c r="C253" t="s">
        <v>715</v>
      </c>
      <c r="D253" t="str">
        <f>SUBSTITUTE(Table1[[#This Row],[Target_product_name]], "oz", " oz")</f>
        <v>Cheerios Chocolate Peanut Butter Cereal Family Size - 18 oz - General Mills</v>
      </c>
      <c r="E253" t="s">
        <v>18</v>
      </c>
      <c r="F253" t="str">
        <f>LEFT(Table1[[#This Row],[Target_product_quantity]], FIND("o", Table1[[#This Row],[Target_product_quantity]])-1)</f>
        <v>18</v>
      </c>
      <c r="G253" t="str" cm="1">
        <f t="array" ref="G253">_xlfn.TEXTJOIN("", TRUE, IF(ISNUMBER(SEARCH($K$1010:$K$1054, C253)), $K$1010:$K$1054, ""))</f>
        <v>Cheerios</v>
      </c>
      <c r="H253" t="str">
        <f t="shared" si="14"/>
        <v>Prepared Food</v>
      </c>
      <c r="I253" t="str">
        <f t="shared" si="15"/>
        <v>Prepared Food</v>
      </c>
      <c r="J253">
        <v>5.29</v>
      </c>
      <c r="K253">
        <f>Table1[[#This Row],[Target_product_price]]/Table1[[#This Row],[product_price_per_oz]]</f>
        <v>0.29388888888888887</v>
      </c>
    </row>
    <row r="254" spans="1:11" x14ac:dyDescent="0.2">
      <c r="A254" t="s">
        <v>716</v>
      </c>
      <c r="B254" t="s">
        <v>717</v>
      </c>
      <c r="C254" t="s">
        <v>718</v>
      </c>
      <c r="D254" t="str">
        <f>SUBSTITUTE(Table1[[#This Row],[Target_product_name]], "oz", " oz")</f>
        <v>Cheerios Chocolate Strawberry Family Size Cereal - 18.5  oz</v>
      </c>
      <c r="E254" t="str">
        <f>TRIM(RIGHT(C254, LEN(C254) - FIND("-", C254)))</f>
        <v>18.5 oz</v>
      </c>
      <c r="F254" t="str">
        <f>LEFT(Table1[[#This Row],[Target_product_quantity]], FIND("o", Table1[[#This Row],[Target_product_quantity]])-1)</f>
        <v xml:space="preserve">18.5 </v>
      </c>
      <c r="G254" t="str" cm="1">
        <f t="array" ref="G254">_xlfn.TEXTJOIN("", TRUE, IF(ISNUMBER(SEARCH($K$1010:$K$1054, C254)), $K$1010:$K$1054, ""))</f>
        <v>Cheerios</v>
      </c>
      <c r="H254" t="str">
        <f t="shared" si="14"/>
        <v>Prepared Food</v>
      </c>
      <c r="I254" t="str">
        <f t="shared" si="15"/>
        <v>Prepared Food</v>
      </c>
      <c r="J254">
        <v>5.29</v>
      </c>
      <c r="K254">
        <f>Table1[[#This Row],[Target_product_price]]/Table1[[#This Row],[product_price_per_oz]]</f>
        <v>0.28594594594594597</v>
      </c>
    </row>
    <row r="255" spans="1:11" x14ac:dyDescent="0.2">
      <c r="A255" t="s">
        <v>719</v>
      </c>
      <c r="B255" t="s">
        <v>720</v>
      </c>
      <c r="C255" t="s">
        <v>721</v>
      </c>
      <c r="D255" t="str">
        <f>SUBSTITUTE(Table1[[#This Row],[Target_product_name]], "oz", " oz")</f>
        <v>Cheerios Hearty Nut Medley Maple Cinnamon Family Size Cereal - 20 oz</v>
      </c>
      <c r="E255" t="str">
        <f>TRIM(RIGHT(C255, LEN(C255) - FIND("-", C255)))</f>
        <v>20oz</v>
      </c>
      <c r="F255" t="str">
        <f>LEFT(Table1[[#This Row],[Target_product_quantity]], FIND("o", Table1[[#This Row],[Target_product_quantity]])-1)</f>
        <v>20</v>
      </c>
      <c r="G255" t="str" cm="1">
        <f t="array" ref="G255">_xlfn.TEXTJOIN("", TRUE, IF(ISNUMBER(SEARCH($K$1010:$K$1054, C255)), $K$1010:$K$1054, ""))</f>
        <v>Cheerios</v>
      </c>
      <c r="H255" t="str">
        <f t="shared" si="14"/>
        <v>Prepared Food</v>
      </c>
      <c r="I255" t="str">
        <f t="shared" si="15"/>
        <v>Prepared Food</v>
      </c>
      <c r="J255">
        <v>5.29</v>
      </c>
      <c r="K255">
        <f>Table1[[#This Row],[Target_product_price]]/Table1[[#This Row],[product_price_per_oz]]</f>
        <v>0.26450000000000001</v>
      </c>
    </row>
    <row r="256" spans="1:11" x14ac:dyDescent="0.2">
      <c r="A256" t="s">
        <v>722</v>
      </c>
      <c r="B256" t="s">
        <v>723</v>
      </c>
      <c r="C256" t="s">
        <v>724</v>
      </c>
      <c r="D256" t="str">
        <f>SUBSTITUTE(Table1[[#This Row],[Target_product_name]], "oz", " oz")</f>
        <v>Cheerios Oat Crunch Cinnamon Family Size Cereal - 192 oz/8ct</v>
      </c>
      <c r="E256" t="s">
        <v>3002</v>
      </c>
      <c r="F256" t="str">
        <f>LEFT(Table1[[#This Row],[Target_product_quantity]], FIND("o", Table1[[#This Row],[Target_product_quantity]])-1)</f>
        <v>1536</v>
      </c>
      <c r="G256" t="str" cm="1">
        <f t="array" ref="G256">_xlfn.TEXTJOIN("", TRUE, IF(ISNUMBER(SEARCH($K$1010:$K$1054, C256)), $K$1010:$K$1054, ""))</f>
        <v>Cheerios</v>
      </c>
      <c r="H256" t="str">
        <f t="shared" si="14"/>
        <v>Prepared Food</v>
      </c>
      <c r="I256" t="str">
        <f t="shared" si="15"/>
        <v>Prepared Food</v>
      </c>
      <c r="J256">
        <v>38.99</v>
      </c>
      <c r="K256">
        <f>Table1[[#This Row],[Target_product_price]]/Table1[[#This Row],[product_price_per_oz]]</f>
        <v>2.5384114583333336E-2</v>
      </c>
    </row>
    <row r="257" spans="1:11" x14ac:dyDescent="0.2">
      <c r="A257" t="s">
        <v>726</v>
      </c>
      <c r="B257" t="s">
        <v>727</v>
      </c>
      <c r="C257" t="s">
        <v>728</v>
      </c>
      <c r="D257" t="str">
        <f>SUBSTITUTE(Table1[[#This Row],[Target_product_name]], "oz", " oz")</f>
        <v>Cheerios Oat Crunch Oats N Honey Family Size Cereal - 192 oz/8ct</v>
      </c>
      <c r="E257" t="s">
        <v>3002</v>
      </c>
      <c r="F257" t="str">
        <f>LEFT(Table1[[#This Row],[Target_product_quantity]], FIND("o", Table1[[#This Row],[Target_product_quantity]])-1)</f>
        <v>1536</v>
      </c>
      <c r="G257" t="str" cm="1">
        <f t="array" ref="G257">_xlfn.TEXTJOIN("", TRUE, IF(ISNUMBER(SEARCH($K$1010:$K$1054, C257)), $K$1010:$K$1054, ""))</f>
        <v>Cheerios</v>
      </c>
      <c r="H257" t="str">
        <f t="shared" si="14"/>
        <v>Prepared Food</v>
      </c>
      <c r="I257" t="str">
        <f t="shared" si="15"/>
        <v>Prepared Food</v>
      </c>
      <c r="J257">
        <v>38.99</v>
      </c>
      <c r="K257">
        <f>Table1[[#This Row],[Target_product_price]]/Table1[[#This Row],[product_price_per_oz]]</f>
        <v>2.5384114583333336E-2</v>
      </c>
    </row>
    <row r="258" spans="1:11" x14ac:dyDescent="0.2">
      <c r="A258" t="s">
        <v>729</v>
      </c>
      <c r="B258" t="s">
        <v>730</v>
      </c>
      <c r="C258" t="s">
        <v>731</v>
      </c>
      <c r="D258" t="str">
        <f>SUBSTITUTE(Table1[[#This Row],[Target_product_name]], "oz", " oz")</f>
        <v>Cheerios On The Go Pouches - 8ct / 7.33 oz</v>
      </c>
      <c r="E258" t="s">
        <v>3001</v>
      </c>
      <c r="F258" t="str">
        <f>LEFT(Table1[[#This Row],[Target_product_quantity]], FIND("o", Table1[[#This Row],[Target_product_quantity]])-1)</f>
        <v>58.4</v>
      </c>
      <c r="G258" t="str" cm="1">
        <f t="array" ref="G258">_xlfn.TEXTJOIN("", TRUE, IF(ISNUMBER(SEARCH($K$1010:$K$1054, C258)), $K$1010:$K$1054, ""))</f>
        <v>Cheerios</v>
      </c>
      <c r="H258" t="str">
        <f t="shared" ref="H258:H321" si="17">IF(OR(G258="Mission",G258="Nature's Own",G258="Sara Lee"),"Bread",
IF(OR(G258="Del Monte",G258="Dole",G258="Mott's"),"Canned Fruit",
IF(OR(G258="Goya",G258="Hunt's",G258="Birds Eye"),"Canned Vegetables",
IF(OR(G258="Fairlife",G258="Horizon Organic",G258="Lactaid",G258="Ben &amp; Jerry's"),"Milk",
IF(OR(G258="BelGioioso",G258="Kraft",G258="Philadelphia"),"Cheese",
IF(OR(G258="Chobani",G258="Oikos",G258="Light + Fit"),"Yogurt",
IF(OR(G258="Barilla",G258="Annie's",G258="Rao's Homemade"),"Pasta",
IF(OR(G258="Hershey's",G258="Lay's",G258="Totino's",G258="Cheerios",G258="Jif",G258="Skippy",G258="Nature Valley",G258="Oreo",G258="DiGiorno",G258="Eggo"),"Prepared Food",
IF(OR(G258="Ben's Original",G258="Lundberg",G258="Quaker"),"Rice",
IF(OR(G258="Bush's",G258="Hillshire Farm",G258="Oscar Mayer",G258="SPAM"),"Protein",
IF(OR(G258="Starbucks",G258="Sparkling Ice",G258="Coca-Cola",G258="San Pellegrino",G258="Gatorade",G258="Arizona"),"Beverages",
"Other")))))))))))</f>
        <v>Prepared Food</v>
      </c>
      <c r="I258" t="str">
        <f t="shared" ref="I258:I321" si="18">IF(OR(H258="Bread",H258="Rice",H258="Pasta"), "Grain",
IF(OR(H258="Milk",H258="Cheese",H258="Yogurt"), "Dairy",
IF(OR(H258="Canned Fruit",H258="Canned Vegetables"), "Fruit &amp; Vegetables",
IF(H258="Prepared Food", "Prepared Food",
IF(H258="Protein", "Protein",
IF(H258="Beverages", "Beverages",
"Other"))))))</f>
        <v>Prepared Food</v>
      </c>
      <c r="J258">
        <v>5.29</v>
      </c>
      <c r="K258">
        <f>Table1[[#This Row],[Target_product_price]]/Table1[[#This Row],[product_price_per_oz]]</f>
        <v>9.0582191780821927E-2</v>
      </c>
    </row>
    <row r="259" spans="1:11" x14ac:dyDescent="0.2">
      <c r="A259" t="s">
        <v>732</v>
      </c>
      <c r="B259" t="s">
        <v>733</v>
      </c>
      <c r="C259" t="s">
        <v>734</v>
      </c>
      <c r="D259" t="str">
        <f>SUBSTITUTE(Table1[[#This Row],[Target_product_name]], "oz", " oz")</f>
        <v>Cheerios Protein Cinnamon Breakfast Cereal - 15 oz</v>
      </c>
      <c r="E259" t="str">
        <f t="shared" ref="E259:E287" si="19">TRIM(RIGHT(C259, LEN(C259) - FIND("-", C259)))</f>
        <v>15oz</v>
      </c>
      <c r="F259" t="str">
        <f>LEFT(Table1[[#This Row],[Target_product_quantity]], FIND("o", Table1[[#This Row],[Target_product_quantity]])-1)</f>
        <v>15</v>
      </c>
      <c r="G259" t="str" cm="1">
        <f t="array" ref="G259">_xlfn.TEXTJOIN("", TRUE, IF(ISNUMBER(SEARCH($K$1010:$K$1054, C259)), $K$1010:$K$1054, ""))</f>
        <v>Cheerios</v>
      </c>
      <c r="H259" t="str">
        <f t="shared" si="17"/>
        <v>Prepared Food</v>
      </c>
      <c r="I259" t="str">
        <f t="shared" si="18"/>
        <v>Prepared Food</v>
      </c>
      <c r="J259">
        <v>5.29</v>
      </c>
      <c r="K259">
        <f>Table1[[#This Row],[Target_product_price]]/Table1[[#This Row],[product_price_per_oz]]</f>
        <v>0.35266666666666668</v>
      </c>
    </row>
    <row r="260" spans="1:11" x14ac:dyDescent="0.2">
      <c r="A260" t="s">
        <v>735</v>
      </c>
      <c r="B260" t="s">
        <v>736</v>
      </c>
      <c r="C260" t="s">
        <v>737</v>
      </c>
      <c r="D260" t="str">
        <f>SUBSTITUTE(Table1[[#This Row],[Target_product_name]], "oz", " oz")</f>
        <v>Cheerios Protein Strawberry Breakfast Cereal - 15 oz</v>
      </c>
      <c r="E260" t="str">
        <f t="shared" si="19"/>
        <v>15oz</v>
      </c>
      <c r="F260" t="str">
        <f>LEFT(Table1[[#This Row],[Target_product_quantity]], FIND("o", Table1[[#This Row],[Target_product_quantity]])-1)</f>
        <v>15</v>
      </c>
      <c r="G260" t="str" cm="1">
        <f t="array" ref="G260">_xlfn.TEXTJOIN("", TRUE, IF(ISNUMBER(SEARCH($K$1010:$K$1054, C260)), $K$1010:$K$1054, ""))</f>
        <v>Cheerios</v>
      </c>
      <c r="H260" t="str">
        <f t="shared" si="17"/>
        <v>Prepared Food</v>
      </c>
      <c r="I260" t="str">
        <f t="shared" si="18"/>
        <v>Prepared Food</v>
      </c>
      <c r="J260">
        <v>5.29</v>
      </c>
      <c r="K260">
        <f>Table1[[#This Row],[Target_product_price]]/Table1[[#This Row],[product_price_per_oz]]</f>
        <v>0.35266666666666668</v>
      </c>
    </row>
    <row r="261" spans="1:11" x14ac:dyDescent="0.2">
      <c r="A261" t="s">
        <v>738</v>
      </c>
      <c r="B261" t="s">
        <v>739</v>
      </c>
      <c r="C261" t="s">
        <v>740</v>
      </c>
      <c r="D261" t="str">
        <f>SUBSTITUTE(Table1[[#This Row],[Target_product_name]], "oz", " oz")</f>
        <v>Chobani 20g Cherry Vanilla Yogurt Drink - 10 fl  oz</v>
      </c>
      <c r="E261" t="s">
        <v>485</v>
      </c>
      <c r="F261" t="str">
        <f>LEFT(Table1[[#This Row],[Target_product_quantity]], FIND("o", Table1[[#This Row],[Target_product_quantity]])-1)</f>
        <v>10</v>
      </c>
      <c r="G261" t="str" cm="1">
        <f t="array" ref="G261">_xlfn.TEXTJOIN("", TRUE, IF(ISNUMBER(SEARCH($K$1010:$K$1054, C261)), $K$1010:$K$1054, ""))</f>
        <v>Chobani</v>
      </c>
      <c r="H261" t="str">
        <f t="shared" si="17"/>
        <v>Yogurt</v>
      </c>
      <c r="I261" t="str">
        <f t="shared" si="18"/>
        <v>Dairy</v>
      </c>
      <c r="J261" s="4">
        <v>2.69</v>
      </c>
      <c r="K261">
        <f>Table1[[#This Row],[Target_product_price]]/Table1[[#This Row],[product_price_per_oz]]</f>
        <v>0.26900000000000002</v>
      </c>
    </row>
    <row r="262" spans="1:11" x14ac:dyDescent="0.2">
      <c r="A262" t="s">
        <v>741</v>
      </c>
      <c r="B262" t="s">
        <v>742</v>
      </c>
      <c r="C262" t="s">
        <v>743</v>
      </c>
      <c r="D262" t="str">
        <f>SUBSTITUTE(Table1[[#This Row],[Target_product_name]], "oz", " oz")</f>
        <v>Chobani 20g Protein Mango Greek Yogurt - 6.7 oz</v>
      </c>
      <c r="E262" t="str">
        <f t="shared" si="19"/>
        <v>6.7oz</v>
      </c>
      <c r="F262" t="str">
        <f>LEFT(Table1[[#This Row],[Target_product_quantity]], FIND("o", Table1[[#This Row],[Target_product_quantity]])-1)</f>
        <v>6.7</v>
      </c>
      <c r="G262" t="str" cm="1">
        <f t="array" ref="G262">_xlfn.TEXTJOIN("", TRUE, IF(ISNUMBER(SEARCH($K$1010:$K$1054, C262)), $K$1010:$K$1054, ""))</f>
        <v>Chobani</v>
      </c>
      <c r="H262" t="str">
        <f t="shared" si="17"/>
        <v>Yogurt</v>
      </c>
      <c r="I262" t="str">
        <f t="shared" si="18"/>
        <v>Dairy</v>
      </c>
      <c r="J262" s="4">
        <v>1.99</v>
      </c>
      <c r="K262">
        <f>Table1[[#This Row],[Target_product_price]]/Table1[[#This Row],[product_price_per_oz]]</f>
        <v>0.29701492537313434</v>
      </c>
    </row>
    <row r="263" spans="1:11" x14ac:dyDescent="0.2">
      <c r="A263" t="s">
        <v>744</v>
      </c>
      <c r="B263" t="s">
        <v>745</v>
      </c>
      <c r="C263" t="s">
        <v>746</v>
      </c>
      <c r="D263" t="str">
        <f>SUBSTITUTE(Table1[[#This Row],[Target_product_name]], "oz", " oz")</f>
        <v>Chobani 20g Protein Mixed Berry Vanilla Yogurt Drink - 10 fl  oz</v>
      </c>
      <c r="E263" t="s">
        <v>485</v>
      </c>
      <c r="F263" t="str">
        <f>LEFT(Table1[[#This Row],[Target_product_quantity]], FIND("o", Table1[[#This Row],[Target_product_quantity]])-1)</f>
        <v>10</v>
      </c>
      <c r="G263" t="str" cm="1">
        <f t="array" ref="G263">_xlfn.TEXTJOIN("", TRUE, IF(ISNUMBER(SEARCH($K$1010:$K$1054, C263)), $K$1010:$K$1054, ""))</f>
        <v>Chobani</v>
      </c>
      <c r="H263" t="str">
        <f t="shared" si="17"/>
        <v>Yogurt</v>
      </c>
      <c r="I263" t="str">
        <f t="shared" si="18"/>
        <v>Dairy</v>
      </c>
      <c r="J263" s="4">
        <v>2.69</v>
      </c>
      <c r="K263">
        <f>Table1[[#This Row],[Target_product_price]]/Table1[[#This Row],[product_price_per_oz]]</f>
        <v>0.26900000000000002</v>
      </c>
    </row>
    <row r="264" spans="1:11" x14ac:dyDescent="0.2">
      <c r="A264" t="s">
        <v>744</v>
      </c>
      <c r="B264" t="s">
        <v>745</v>
      </c>
      <c r="C264" t="s">
        <v>746</v>
      </c>
      <c r="D264" t="str">
        <f>SUBSTITUTE(Table1[[#This Row],[Target_product_name]], "oz", " oz")</f>
        <v>Chobani 20g Protein Mixed Berry Vanilla Yogurt Drink - 10 fl  oz</v>
      </c>
      <c r="E264" t="s">
        <v>485</v>
      </c>
      <c r="F264" t="str">
        <f>LEFT(Table1[[#This Row],[Target_product_quantity]], FIND("o", Table1[[#This Row],[Target_product_quantity]])-1)</f>
        <v>10</v>
      </c>
      <c r="G264" t="str" cm="1">
        <f t="array" ref="G264">_xlfn.TEXTJOIN("", TRUE, IF(ISNUMBER(SEARCH($K$1010:$K$1054, C264)), $K$1010:$K$1054, ""))</f>
        <v>Chobani</v>
      </c>
      <c r="H264" t="str">
        <f t="shared" si="17"/>
        <v>Yogurt</v>
      </c>
      <c r="I264" t="str">
        <f t="shared" si="18"/>
        <v>Dairy</v>
      </c>
      <c r="J264" s="4">
        <v>2.69</v>
      </c>
      <c r="K264">
        <f>Table1[[#This Row],[Target_product_price]]/Table1[[#This Row],[product_price_per_oz]]</f>
        <v>0.26900000000000002</v>
      </c>
    </row>
    <row r="265" spans="1:11" x14ac:dyDescent="0.2">
      <c r="A265" t="s">
        <v>747</v>
      </c>
      <c r="B265" t="s">
        <v>748</v>
      </c>
      <c r="C265" t="s">
        <v>749</v>
      </c>
      <c r="D265" t="str">
        <f>SUBSTITUTE(Table1[[#This Row],[Target_product_name]], "oz", " oz")</f>
        <v>Chobani 20g Protein Raspberry Lemonade Greek Yogurt - 6.7 oz</v>
      </c>
      <c r="E265" t="str">
        <f t="shared" si="19"/>
        <v>6.7oz</v>
      </c>
      <c r="F265" t="str">
        <f>LEFT(Table1[[#This Row],[Target_product_quantity]], FIND("o", Table1[[#This Row],[Target_product_quantity]])-1)</f>
        <v>6.7</v>
      </c>
      <c r="G265" t="str" cm="1">
        <f t="array" ref="G265">_xlfn.TEXTJOIN("", TRUE, IF(ISNUMBER(SEARCH($K$1010:$K$1054, C265)), $K$1010:$K$1054, ""))</f>
        <v>Chobani</v>
      </c>
      <c r="H265" t="str">
        <f t="shared" si="17"/>
        <v>Yogurt</v>
      </c>
      <c r="I265" t="str">
        <f t="shared" si="18"/>
        <v>Dairy</v>
      </c>
      <c r="J265" s="4">
        <v>1.99</v>
      </c>
      <c r="K265">
        <f>Table1[[#This Row],[Target_product_price]]/Table1[[#This Row],[product_price_per_oz]]</f>
        <v>0.29701492537313434</v>
      </c>
    </row>
    <row r="266" spans="1:11" x14ac:dyDescent="0.2">
      <c r="A266" t="s">
        <v>747</v>
      </c>
      <c r="B266" t="s">
        <v>748</v>
      </c>
      <c r="C266" t="s">
        <v>749</v>
      </c>
      <c r="D266" t="str">
        <f>SUBSTITUTE(Table1[[#This Row],[Target_product_name]], "oz", " oz")</f>
        <v>Chobani 20g Protein Raspberry Lemonade Greek Yogurt - 6.7 oz</v>
      </c>
      <c r="E266" t="str">
        <f t="shared" si="19"/>
        <v>6.7oz</v>
      </c>
      <c r="F266" t="str">
        <f>LEFT(Table1[[#This Row],[Target_product_quantity]], FIND("o", Table1[[#This Row],[Target_product_quantity]])-1)</f>
        <v>6.7</v>
      </c>
      <c r="G266" t="str" cm="1">
        <f t="array" ref="G266">_xlfn.TEXTJOIN("", TRUE, IF(ISNUMBER(SEARCH($K$1010:$K$1054, C266)), $K$1010:$K$1054, ""))</f>
        <v>Chobani</v>
      </c>
      <c r="H266" t="str">
        <f t="shared" si="17"/>
        <v>Yogurt</v>
      </c>
      <c r="I266" t="str">
        <f t="shared" si="18"/>
        <v>Dairy</v>
      </c>
      <c r="J266" s="4">
        <v>1.99</v>
      </c>
      <c r="K266">
        <f>Table1[[#This Row],[Target_product_price]]/Table1[[#This Row],[product_price_per_oz]]</f>
        <v>0.29701492537313434</v>
      </c>
    </row>
    <row r="267" spans="1:11" x14ac:dyDescent="0.2">
      <c r="A267" t="s">
        <v>750</v>
      </c>
      <c r="B267" t="s">
        <v>751</v>
      </c>
      <c r="C267" t="s">
        <v>752</v>
      </c>
      <c r="D267" t="str">
        <f>SUBSTITUTE(Table1[[#This Row],[Target_product_name]], "oz", " oz")</f>
        <v>Chobani 20g Protein Strawberries and Cream Yogurt Drink - 10 fl  oz</v>
      </c>
      <c r="E267" t="s">
        <v>485</v>
      </c>
      <c r="F267" t="str">
        <f>LEFT(Table1[[#This Row],[Target_product_quantity]], FIND("o", Table1[[#This Row],[Target_product_quantity]])-1)</f>
        <v>10</v>
      </c>
      <c r="G267" t="str" cm="1">
        <f t="array" ref="G267">_xlfn.TEXTJOIN("", TRUE, IF(ISNUMBER(SEARCH($K$1010:$K$1054, C267)), $K$1010:$K$1054, ""))</f>
        <v>Chobani</v>
      </c>
      <c r="H267" t="str">
        <f t="shared" si="17"/>
        <v>Yogurt</v>
      </c>
      <c r="I267" t="str">
        <f t="shared" si="18"/>
        <v>Dairy</v>
      </c>
      <c r="J267" s="4">
        <v>2.69</v>
      </c>
      <c r="K267">
        <f>Table1[[#This Row],[Target_product_price]]/Table1[[#This Row],[product_price_per_oz]]</f>
        <v>0.26900000000000002</v>
      </c>
    </row>
    <row r="268" spans="1:11" x14ac:dyDescent="0.2">
      <c r="A268" t="s">
        <v>750</v>
      </c>
      <c r="B268" t="s">
        <v>751</v>
      </c>
      <c r="C268" t="s">
        <v>752</v>
      </c>
      <c r="D268" t="str">
        <f>SUBSTITUTE(Table1[[#This Row],[Target_product_name]], "oz", " oz")</f>
        <v>Chobani 20g Protein Strawberries and Cream Yogurt Drink - 10 fl  oz</v>
      </c>
      <c r="E268" t="s">
        <v>485</v>
      </c>
      <c r="F268" t="str">
        <f>LEFT(Table1[[#This Row],[Target_product_quantity]], FIND("o", Table1[[#This Row],[Target_product_quantity]])-1)</f>
        <v>10</v>
      </c>
      <c r="G268" t="str" cm="1">
        <f t="array" ref="G268">_xlfn.TEXTJOIN("", TRUE, IF(ISNUMBER(SEARCH($K$1010:$K$1054, C268)), $K$1010:$K$1054, ""))</f>
        <v>Chobani</v>
      </c>
      <c r="H268" t="str">
        <f t="shared" si="17"/>
        <v>Yogurt</v>
      </c>
      <c r="I268" t="str">
        <f t="shared" si="18"/>
        <v>Dairy</v>
      </c>
      <c r="J268" s="4">
        <v>2.69</v>
      </c>
      <c r="K268">
        <f>Table1[[#This Row],[Target_product_price]]/Table1[[#This Row],[product_price_per_oz]]</f>
        <v>0.26900000000000002</v>
      </c>
    </row>
    <row r="269" spans="1:11" x14ac:dyDescent="0.2">
      <c r="A269" t="s">
        <v>753</v>
      </c>
      <c r="B269" t="s">
        <v>754</v>
      </c>
      <c r="C269" t="s">
        <v>755</v>
      </c>
      <c r="D269" t="str">
        <f>SUBSTITUTE(Table1[[#This Row],[Target_product_name]], "oz", " oz")</f>
        <v>Chobani 20g Protein Strawberry Kiwi Greek Yogurt - 6.7 oz</v>
      </c>
      <c r="E269" t="str">
        <f t="shared" si="19"/>
        <v>6.7oz</v>
      </c>
      <c r="F269" t="str">
        <f>LEFT(Table1[[#This Row],[Target_product_quantity]], FIND("o", Table1[[#This Row],[Target_product_quantity]])-1)</f>
        <v>6.7</v>
      </c>
      <c r="G269" t="str" cm="1">
        <f t="array" ref="G269">_xlfn.TEXTJOIN("", TRUE, IF(ISNUMBER(SEARCH($K$1010:$K$1054, C269)), $K$1010:$K$1054, ""))</f>
        <v>Chobani</v>
      </c>
      <c r="H269" t="str">
        <f t="shared" si="17"/>
        <v>Yogurt</v>
      </c>
      <c r="I269" t="str">
        <f t="shared" si="18"/>
        <v>Dairy</v>
      </c>
      <c r="J269" s="4">
        <v>1.99</v>
      </c>
      <c r="K269">
        <f>Table1[[#This Row],[Target_product_price]]/Table1[[#This Row],[product_price_per_oz]]</f>
        <v>0.29701492537313434</v>
      </c>
    </row>
    <row r="270" spans="1:11" x14ac:dyDescent="0.2">
      <c r="A270" t="s">
        <v>756</v>
      </c>
      <c r="B270" t="s">
        <v>757</v>
      </c>
      <c r="C270" t="s">
        <v>758</v>
      </c>
      <c r="D270" t="str">
        <f>SUBSTITUTE(Table1[[#This Row],[Target_product_name]], "oz", " oz")</f>
        <v>Chobani 30g Protein Strawberries and Cream Greek Probiotic Yogurt Drink - 14 fl  oz</v>
      </c>
      <c r="E270" t="s">
        <v>3038</v>
      </c>
      <c r="F270" t="str">
        <f>LEFT(Table1[[#This Row],[Target_product_quantity]], FIND("o", Table1[[#This Row],[Target_product_quantity]])-1)</f>
        <v>14</v>
      </c>
      <c r="G270" t="str" cm="1">
        <f t="array" ref="G270">_xlfn.TEXTJOIN("", TRUE, IF(ISNUMBER(SEARCH($K$1010:$K$1054, C270)), $K$1010:$K$1054, ""))</f>
        <v>Chobani</v>
      </c>
      <c r="H270" t="str">
        <f t="shared" si="17"/>
        <v>Yogurt</v>
      </c>
      <c r="I270" t="str">
        <f t="shared" si="18"/>
        <v>Dairy</v>
      </c>
      <c r="J270" s="4">
        <v>3.79</v>
      </c>
      <c r="K270">
        <f>Table1[[#This Row],[Target_product_price]]/Table1[[#This Row],[product_price_per_oz]]</f>
        <v>0.27071428571428574</v>
      </c>
    </row>
    <row r="271" spans="1:11" x14ac:dyDescent="0.2">
      <c r="A271" t="s">
        <v>759</v>
      </c>
      <c r="B271" t="s">
        <v>760</v>
      </c>
      <c r="C271" t="s">
        <v>761</v>
      </c>
      <c r="D271" t="str">
        <f>SUBSTITUTE(Table1[[#This Row],[Target_product_name]], "oz", " oz")</f>
        <v>Chobani 30g Protein Vanilla Ice Cream Greek Yogurt Drink - 14 fl  oz</v>
      </c>
      <c r="E271" t="s">
        <v>3038</v>
      </c>
      <c r="F271" t="str">
        <f>LEFT(Table1[[#This Row],[Target_product_quantity]], FIND("o", Table1[[#This Row],[Target_product_quantity]])-1)</f>
        <v>14</v>
      </c>
      <c r="G271" t="str" cm="1">
        <f t="array" ref="G271">_xlfn.TEXTJOIN("", TRUE, IF(ISNUMBER(SEARCH($K$1010:$K$1054, C271)), $K$1010:$K$1054, ""))</f>
        <v>Chobani</v>
      </c>
      <c r="H271" t="str">
        <f t="shared" si="17"/>
        <v>Yogurt</v>
      </c>
      <c r="I271" t="str">
        <f t="shared" si="18"/>
        <v>Dairy</v>
      </c>
      <c r="J271" s="4">
        <v>3.79</v>
      </c>
      <c r="K271">
        <f>Table1[[#This Row],[Target_product_price]]/Table1[[#This Row],[product_price_per_oz]]</f>
        <v>0.27071428571428574</v>
      </c>
    </row>
    <row r="272" spans="1:11" x14ac:dyDescent="0.2">
      <c r="A272" t="s">
        <v>762</v>
      </c>
      <c r="B272" t="s">
        <v>763</v>
      </c>
      <c r="C272" t="s">
        <v>764</v>
      </c>
      <c r="D272" t="str">
        <f>SUBSTITUTE(Table1[[#This Row],[Target_product_name]], "oz", " oz")</f>
        <v>Chobani Black Cherry on the Bottom Nonfat Greek Yogurt - 4ct/5.3 oz Cups</v>
      </c>
      <c r="E272" t="s">
        <v>3003</v>
      </c>
      <c r="F272" t="str">
        <f>LEFT(Table1[[#This Row],[Target_product_quantity]], FIND("o", Table1[[#This Row],[Target_product_quantity]])-1)</f>
        <v>21.2</v>
      </c>
      <c r="G272" t="str" cm="1">
        <f t="array" ref="G272">_xlfn.TEXTJOIN("", TRUE, IF(ISNUMBER(SEARCH($K$1010:$K$1054, C272)), $K$1010:$K$1054, ""))</f>
        <v>Chobani</v>
      </c>
      <c r="H272" t="str">
        <f t="shared" si="17"/>
        <v>Yogurt</v>
      </c>
      <c r="I272" t="str">
        <f t="shared" si="18"/>
        <v>Dairy</v>
      </c>
      <c r="J272" s="4">
        <v>4.59</v>
      </c>
      <c r="K272">
        <f>Table1[[#This Row],[Target_product_price]]/Table1[[#This Row],[product_price_per_oz]]</f>
        <v>0.21650943396226416</v>
      </c>
    </row>
    <row r="273" spans="1:16" x14ac:dyDescent="0.2">
      <c r="A273" t="s">
        <v>765</v>
      </c>
      <c r="B273" t="s">
        <v>766</v>
      </c>
      <c r="C273" t="s">
        <v>767</v>
      </c>
      <c r="D273" t="str">
        <f>SUBSTITUTE(Table1[[#This Row],[Target_product_name]], "oz", " oz")</f>
        <v>Chobani Blueberry on the Bottom Nonfat Greek Yogurt - 4ct/5.3 oz Cups</v>
      </c>
      <c r="E273" t="s">
        <v>3003</v>
      </c>
      <c r="F273" t="str">
        <f>LEFT(Table1[[#This Row],[Target_product_quantity]], FIND("o", Table1[[#This Row],[Target_product_quantity]])-1)</f>
        <v>21.2</v>
      </c>
      <c r="G273" t="str" cm="1">
        <f t="array" ref="G273">_xlfn.TEXTJOIN("", TRUE, IF(ISNUMBER(SEARCH($K$1010:$K$1054, C273)), $K$1010:$K$1054, ""))</f>
        <v>Chobani</v>
      </c>
      <c r="H273" t="str">
        <f t="shared" si="17"/>
        <v>Yogurt</v>
      </c>
      <c r="I273" t="str">
        <f t="shared" si="18"/>
        <v>Dairy</v>
      </c>
      <c r="J273" s="4">
        <v>4.59</v>
      </c>
      <c r="K273">
        <f>Table1[[#This Row],[Target_product_price]]/Table1[[#This Row],[product_price_per_oz]]</f>
        <v>0.21650943396226416</v>
      </c>
    </row>
    <row r="274" spans="1:16" x14ac:dyDescent="0.2">
      <c r="A274" t="s">
        <v>768</v>
      </c>
      <c r="B274" t="s">
        <v>769</v>
      </c>
      <c r="C274" t="s">
        <v>770</v>
      </c>
      <c r="D274" t="str">
        <f>SUBSTITUTE(Table1[[#This Row],[Target_product_name]], "oz", " oz")</f>
        <v>Chobani Creations Apple Pie a la Mode Greek Yogurt - 5.3 oz</v>
      </c>
      <c r="E274" t="str">
        <f t="shared" si="19"/>
        <v>5.3oz</v>
      </c>
      <c r="F274" t="str">
        <f>LEFT(Table1[[#This Row],[Target_product_quantity]], FIND("o", Table1[[#This Row],[Target_product_quantity]])-1)</f>
        <v>5.3</v>
      </c>
      <c r="G274" t="str" cm="1">
        <f t="array" ref="G274">_xlfn.TEXTJOIN("", TRUE, IF(ISNUMBER(SEARCH($K$1010:$K$1054, C274)), $K$1010:$K$1054, ""))</f>
        <v>Chobani</v>
      </c>
      <c r="H274" t="str">
        <f t="shared" si="17"/>
        <v>Yogurt</v>
      </c>
      <c r="I274" t="str">
        <f t="shared" si="18"/>
        <v>Dairy</v>
      </c>
      <c r="J274" s="4">
        <v>1.69</v>
      </c>
      <c r="K274">
        <f>Table1[[#This Row],[Target_product_price]]/Table1[[#This Row],[product_price_per_oz]]</f>
        <v>0.31886792452830187</v>
      </c>
    </row>
    <row r="275" spans="1:16" x14ac:dyDescent="0.2">
      <c r="A275" t="s">
        <v>771</v>
      </c>
      <c r="B275" t="s">
        <v>772</v>
      </c>
      <c r="C275" t="s">
        <v>773</v>
      </c>
      <c r="D275" t="str">
        <f>SUBSTITUTE(Table1[[#This Row],[Target_product_name]], "oz", " oz")</f>
        <v>Chobani Creations Mocha Tiramisu Greek Yogurt - 5.3 oz</v>
      </c>
      <c r="E275" t="str">
        <f t="shared" si="19"/>
        <v>5.3oz</v>
      </c>
      <c r="F275" t="str">
        <f>LEFT(Table1[[#This Row],[Target_product_quantity]], FIND("o", Table1[[#This Row],[Target_product_quantity]])-1)</f>
        <v>5.3</v>
      </c>
      <c r="G275" t="str" cm="1">
        <f t="array" ref="G275">_xlfn.TEXTJOIN("", TRUE, IF(ISNUMBER(SEARCH($K$1010:$K$1054, C275)), $K$1010:$K$1054, ""))</f>
        <v>Chobani</v>
      </c>
      <c r="H275" t="str">
        <f t="shared" si="17"/>
        <v>Yogurt</v>
      </c>
      <c r="I275" t="str">
        <f t="shared" si="18"/>
        <v>Dairy</v>
      </c>
      <c r="J275" s="4">
        <v>1.69</v>
      </c>
      <c r="K275">
        <f>Table1[[#This Row],[Target_product_price]]/Table1[[#This Row],[product_price_per_oz]]</f>
        <v>0.31886792452830187</v>
      </c>
    </row>
    <row r="276" spans="1:16" x14ac:dyDescent="0.2">
      <c r="A276" t="s">
        <v>771</v>
      </c>
      <c r="B276" t="s">
        <v>772</v>
      </c>
      <c r="C276" t="s">
        <v>773</v>
      </c>
      <c r="D276" t="str">
        <f>SUBSTITUTE(Table1[[#This Row],[Target_product_name]], "oz", " oz")</f>
        <v>Chobani Creations Mocha Tiramisu Greek Yogurt - 5.3 oz</v>
      </c>
      <c r="E276" t="str">
        <f t="shared" si="19"/>
        <v>5.3oz</v>
      </c>
      <c r="F276" t="str">
        <f>LEFT(Table1[[#This Row],[Target_product_quantity]], FIND("o", Table1[[#This Row],[Target_product_quantity]])-1)</f>
        <v>5.3</v>
      </c>
      <c r="G276" t="str" cm="1">
        <f t="array" ref="G276">_xlfn.TEXTJOIN("", TRUE, IF(ISNUMBER(SEARCH($K$1010:$K$1054, C276)), $K$1010:$K$1054, ""))</f>
        <v>Chobani</v>
      </c>
      <c r="H276" t="str">
        <f t="shared" si="17"/>
        <v>Yogurt</v>
      </c>
      <c r="I276" t="str">
        <f t="shared" si="18"/>
        <v>Dairy</v>
      </c>
      <c r="J276" s="4">
        <v>1.69</v>
      </c>
      <c r="K276">
        <f>Table1[[#This Row],[Target_product_price]]/Table1[[#This Row],[product_price_per_oz]]</f>
        <v>0.31886792452830187</v>
      </c>
    </row>
    <row r="277" spans="1:16" x14ac:dyDescent="0.2">
      <c r="A277" t="s">
        <v>774</v>
      </c>
      <c r="B277" t="s">
        <v>775</v>
      </c>
      <c r="C277" t="s">
        <v>776</v>
      </c>
      <c r="D277" t="str">
        <f>SUBSTITUTE(Table1[[#This Row],[Target_product_name]], "oz", " oz")</f>
        <v>Chobani Extra Creamy Plant Based Oatmilk  - 52 fl  oz</v>
      </c>
      <c r="E277" t="s">
        <v>3039</v>
      </c>
      <c r="F277" t="str">
        <f>LEFT(Table1[[#This Row],[Target_product_quantity]], FIND("o", Table1[[#This Row],[Target_product_quantity]])-1)</f>
        <v>52</v>
      </c>
      <c r="G277" t="str" cm="1">
        <f t="array" ref="G277">_xlfn.TEXTJOIN("", TRUE, IF(ISNUMBER(SEARCH($K$1010:$K$1054, C277)), $K$1010:$K$1054, ""))</f>
        <v>Chobani</v>
      </c>
      <c r="H277" t="str">
        <f t="shared" si="17"/>
        <v>Yogurt</v>
      </c>
      <c r="I277" t="str">
        <f t="shared" si="18"/>
        <v>Dairy</v>
      </c>
      <c r="J277" s="4">
        <v>4.8899999999999997</v>
      </c>
      <c r="K277">
        <f>Table1[[#This Row],[Target_product_price]]/Table1[[#This Row],[product_price_per_oz]]</f>
        <v>9.4038461538461529E-2</v>
      </c>
    </row>
    <row r="278" spans="1:16" x14ac:dyDescent="0.2">
      <c r="A278" t="s">
        <v>777</v>
      </c>
      <c r="B278" t="s">
        <v>778</v>
      </c>
      <c r="C278" t="s">
        <v>779</v>
      </c>
      <c r="D278" t="str">
        <f>SUBSTITUTE(Table1[[#This Row],[Target_product_name]], "oz", " oz")</f>
        <v>Chobani Flip Almond Coco Loco Low Fat Greek Yogurt - 4.5 oz</v>
      </c>
      <c r="E278" t="str">
        <f t="shared" si="19"/>
        <v>4.5oz</v>
      </c>
      <c r="F278" t="str">
        <f>LEFT(Table1[[#This Row],[Target_product_quantity]], FIND("o", Table1[[#This Row],[Target_product_quantity]])-1)</f>
        <v>4.5</v>
      </c>
      <c r="G278" t="str" cm="1">
        <f t="array" ref="G278">_xlfn.TEXTJOIN("", TRUE, IF(ISNUMBER(SEARCH($K$1010:$K$1054, C278)), $K$1010:$K$1054, ""))</f>
        <v>Chobani</v>
      </c>
      <c r="H278" t="str">
        <f t="shared" si="17"/>
        <v>Yogurt</v>
      </c>
      <c r="I278" t="str">
        <f t="shared" si="18"/>
        <v>Dairy</v>
      </c>
      <c r="J278" s="4">
        <v>1.49</v>
      </c>
      <c r="K278">
        <f>Table1[[#This Row],[Target_product_price]]/Table1[[#This Row],[product_price_per_oz]]</f>
        <v>0.33111111111111113</v>
      </c>
    </row>
    <row r="279" spans="1:16" x14ac:dyDescent="0.2">
      <c r="A279" t="s">
        <v>780</v>
      </c>
      <c r="B279" t="s">
        <v>781</v>
      </c>
      <c r="C279" t="s">
        <v>782</v>
      </c>
      <c r="D279" t="str">
        <f>SUBSTITUTE(Table1[[#This Row],[Target_product_name]], "oz", " oz")</f>
        <v>Chobani Flip Chocolate Almond Coco Loco Greek Yogurt - 4ct/4.5 oz Cups</v>
      </c>
      <c r="E279" t="s">
        <v>18</v>
      </c>
      <c r="F279" t="str">
        <f>LEFT(Table1[[#This Row],[Target_product_quantity]], FIND("o", Table1[[#This Row],[Target_product_quantity]])-1)</f>
        <v>18</v>
      </c>
      <c r="G279" t="str" cm="1">
        <f t="array" ref="G279">_xlfn.TEXTJOIN("", TRUE, IF(ISNUMBER(SEARCH($K$1010:$K$1054, C279)), $K$1010:$K$1054, ""))</f>
        <v>Chobani</v>
      </c>
      <c r="H279" t="str">
        <f t="shared" si="17"/>
        <v>Yogurt</v>
      </c>
      <c r="I279" t="str">
        <f t="shared" si="18"/>
        <v>Dairy</v>
      </c>
      <c r="J279" s="4">
        <v>5.19</v>
      </c>
      <c r="K279">
        <f>Table1[[#This Row],[Target_product_price]]/Table1[[#This Row],[product_price_per_oz]]</f>
        <v>0.28833333333333333</v>
      </c>
    </row>
    <row r="280" spans="1:16" x14ac:dyDescent="0.2">
      <c r="A280" t="s">
        <v>783</v>
      </c>
      <c r="B280" t="s">
        <v>784</v>
      </c>
      <c r="C280" t="s">
        <v>785</v>
      </c>
      <c r="D280" t="str">
        <f>SUBSTITUTE(Table1[[#This Row],[Target_product_name]], "oz", " oz")</f>
        <v>Chobani Flip Coconut Caramel Cookie Greek Yogurt - 4.5 oz</v>
      </c>
      <c r="E280" t="str">
        <f t="shared" si="19"/>
        <v>4.5oz</v>
      </c>
      <c r="F280" t="str">
        <f>LEFT(Table1[[#This Row],[Target_product_quantity]], FIND("o", Table1[[#This Row],[Target_product_quantity]])-1)</f>
        <v>4.5</v>
      </c>
      <c r="G280" t="str" cm="1">
        <f t="array" ref="G280">_xlfn.TEXTJOIN("", TRUE, IF(ISNUMBER(SEARCH($K$1010:$K$1054, C280)), $K$1010:$K$1054, ""))</f>
        <v>Chobani</v>
      </c>
      <c r="H280" t="str">
        <f t="shared" si="17"/>
        <v>Yogurt</v>
      </c>
      <c r="I280" t="str">
        <f t="shared" si="18"/>
        <v>Dairy</v>
      </c>
      <c r="J280" s="4">
        <v>1.49</v>
      </c>
      <c r="K280">
        <f>Table1[[#This Row],[Target_product_price]]/Table1[[#This Row],[product_price_per_oz]]</f>
        <v>0.33111111111111113</v>
      </c>
    </row>
    <row r="281" spans="1:16" x14ac:dyDescent="0.2">
      <c r="A281" t="s">
        <v>783</v>
      </c>
      <c r="B281" t="s">
        <v>784</v>
      </c>
      <c r="C281" t="s">
        <v>785</v>
      </c>
      <c r="D281" t="str">
        <f>SUBSTITUTE(Table1[[#This Row],[Target_product_name]], "oz", " oz")</f>
        <v>Chobani Flip Coconut Caramel Cookie Greek Yogurt - 4.5 oz</v>
      </c>
      <c r="E281" t="str">
        <f t="shared" si="19"/>
        <v>4.5oz</v>
      </c>
      <c r="F281" t="str">
        <f>LEFT(Table1[[#This Row],[Target_product_quantity]], FIND("o", Table1[[#This Row],[Target_product_quantity]])-1)</f>
        <v>4.5</v>
      </c>
      <c r="G281" t="str" cm="1">
        <f t="array" ref="G281">_xlfn.TEXTJOIN("", TRUE, IF(ISNUMBER(SEARCH($K$1010:$K$1054, C281)), $K$1010:$K$1054, ""))</f>
        <v>Chobani</v>
      </c>
      <c r="H281" t="str">
        <f t="shared" si="17"/>
        <v>Yogurt</v>
      </c>
      <c r="I281" t="str">
        <f t="shared" si="18"/>
        <v>Dairy</v>
      </c>
      <c r="J281" s="4">
        <v>1.49</v>
      </c>
      <c r="K281">
        <f>Table1[[#This Row],[Target_product_price]]/Table1[[#This Row],[product_price_per_oz]]</f>
        <v>0.33111111111111113</v>
      </c>
    </row>
    <row r="282" spans="1:16" x14ac:dyDescent="0.2">
      <c r="A282" t="s">
        <v>786</v>
      </c>
      <c r="B282" t="s">
        <v>787</v>
      </c>
      <c r="C282" t="s">
        <v>788</v>
      </c>
      <c r="D282" t="str">
        <f>SUBSTITUTE(Table1[[#This Row],[Target_product_name]], "oz", " oz")</f>
        <v>Chobani Flip Confetti Birthday Cake Yogurt - 4.5 oz/4 Pack</v>
      </c>
      <c r="E282" t="s">
        <v>18</v>
      </c>
      <c r="F282" t="str">
        <f>LEFT(Table1[[#This Row],[Target_product_quantity]], FIND("o", Table1[[#This Row],[Target_product_quantity]])-1)</f>
        <v>18</v>
      </c>
      <c r="G282" t="str" cm="1">
        <f t="array" ref="G282">_xlfn.TEXTJOIN("", TRUE, IF(ISNUMBER(SEARCH($K$1010:$K$1054, C282)), $K$1010:$K$1054, ""))</f>
        <v>Chobani</v>
      </c>
      <c r="H282" t="str">
        <f t="shared" si="17"/>
        <v>Yogurt</v>
      </c>
      <c r="I282" t="str">
        <f t="shared" si="18"/>
        <v>Dairy</v>
      </c>
      <c r="J282" s="4">
        <v>5.19</v>
      </c>
      <c r="K282">
        <f>Table1[[#This Row],[Target_product_price]]/Table1[[#This Row],[product_price_per_oz]]</f>
        <v>0.28833333333333333</v>
      </c>
    </row>
    <row r="283" spans="1:16" x14ac:dyDescent="0.2">
      <c r="A283" t="s">
        <v>786</v>
      </c>
      <c r="B283" t="s">
        <v>787</v>
      </c>
      <c r="C283" t="s">
        <v>788</v>
      </c>
      <c r="D283" t="str">
        <f>SUBSTITUTE(Table1[[#This Row],[Target_product_name]], "oz", " oz")</f>
        <v>Chobani Flip Confetti Birthday Cake Yogurt - 4.5 oz/4 Pack</v>
      </c>
      <c r="E283" t="s">
        <v>18</v>
      </c>
      <c r="F283" t="str">
        <f>LEFT(Table1[[#This Row],[Target_product_quantity]], FIND("o", Table1[[#This Row],[Target_product_quantity]])-1)</f>
        <v>18</v>
      </c>
      <c r="G283" t="str" cm="1">
        <f t="array" ref="G283">_xlfn.TEXTJOIN("", TRUE, IF(ISNUMBER(SEARCH($K$1010:$K$1054, C283)), $K$1010:$K$1054, ""))</f>
        <v>Chobani</v>
      </c>
      <c r="H283" t="str">
        <f t="shared" si="17"/>
        <v>Yogurt</v>
      </c>
      <c r="I283" t="str">
        <f t="shared" si="18"/>
        <v>Dairy</v>
      </c>
      <c r="J283" s="4">
        <v>5.19</v>
      </c>
      <c r="K283">
        <f>Table1[[#This Row],[Target_product_price]]/Table1[[#This Row],[product_price_per_oz]]</f>
        <v>0.28833333333333333</v>
      </c>
    </row>
    <row r="284" spans="1:16" x14ac:dyDescent="0.2">
      <c r="A284" t="s">
        <v>789</v>
      </c>
      <c r="B284" t="s">
        <v>790</v>
      </c>
      <c r="C284" t="s">
        <v>791</v>
      </c>
      <c r="D284" t="str">
        <f>SUBSTITUTE(Table1[[#This Row],[Target_product_name]], "oz", " oz")</f>
        <v>Chobani Flip Cookie Dough Greek Yogurt - 4.5 oz</v>
      </c>
      <c r="E284" t="str">
        <f t="shared" si="19"/>
        <v>4.5oz</v>
      </c>
      <c r="F284" t="str">
        <f>LEFT(Table1[[#This Row],[Target_product_quantity]], FIND("o", Table1[[#This Row],[Target_product_quantity]])-1)</f>
        <v>4.5</v>
      </c>
      <c r="G284" t="str" cm="1">
        <f t="array" ref="G284">_xlfn.TEXTJOIN("", TRUE, IF(ISNUMBER(SEARCH($K$1010:$K$1054, C284)), $K$1010:$K$1054, ""))</f>
        <v>Chobani</v>
      </c>
      <c r="H284" t="str">
        <f t="shared" si="17"/>
        <v>Yogurt</v>
      </c>
      <c r="I284" t="str">
        <f t="shared" si="18"/>
        <v>Dairy</v>
      </c>
      <c r="J284" s="4">
        <v>1.49</v>
      </c>
      <c r="K284">
        <f>Table1[[#This Row],[Target_product_price]]/Table1[[#This Row],[product_price_per_oz]]</f>
        <v>0.33111111111111113</v>
      </c>
    </row>
    <row r="285" spans="1:16" x14ac:dyDescent="0.2">
      <c r="A285" t="s">
        <v>789</v>
      </c>
      <c r="B285" t="s">
        <v>790</v>
      </c>
      <c r="C285" t="s">
        <v>791</v>
      </c>
      <c r="D285" t="str">
        <f>SUBSTITUTE(Table1[[#This Row],[Target_product_name]], "oz", " oz")</f>
        <v>Chobani Flip Cookie Dough Greek Yogurt - 4.5 oz</v>
      </c>
      <c r="E285" t="str">
        <f t="shared" si="19"/>
        <v>4.5oz</v>
      </c>
      <c r="F285" t="str">
        <f>LEFT(Table1[[#This Row],[Target_product_quantity]], FIND("o", Table1[[#This Row],[Target_product_quantity]])-1)</f>
        <v>4.5</v>
      </c>
      <c r="G285" t="str" cm="1">
        <f t="array" ref="G285">_xlfn.TEXTJOIN("", TRUE, IF(ISNUMBER(SEARCH($K$1010:$K$1054, C285)), $K$1010:$K$1054, ""))</f>
        <v>Chobani</v>
      </c>
      <c r="H285" t="str">
        <f t="shared" si="17"/>
        <v>Yogurt</v>
      </c>
      <c r="I285" t="str">
        <f t="shared" si="18"/>
        <v>Dairy</v>
      </c>
      <c r="J285" s="4">
        <v>1.49</v>
      </c>
      <c r="K285">
        <f>Table1[[#This Row],[Target_product_price]]/Table1[[#This Row],[product_price_per_oz]]</f>
        <v>0.33111111111111113</v>
      </c>
    </row>
    <row r="286" spans="1:16" x14ac:dyDescent="0.2">
      <c r="A286" t="s">
        <v>789</v>
      </c>
      <c r="B286" t="s">
        <v>790</v>
      </c>
      <c r="C286" t="s">
        <v>791</v>
      </c>
      <c r="D286" t="str">
        <f>SUBSTITUTE(Table1[[#This Row],[Target_product_name]], "oz", " oz")</f>
        <v>Chobani Flip Cookie Dough Greek Yogurt - 4.5 oz</v>
      </c>
      <c r="E286" t="str">
        <f t="shared" si="19"/>
        <v>4.5oz</v>
      </c>
      <c r="F286" t="str">
        <f>LEFT(Table1[[#This Row],[Target_product_quantity]], FIND("o", Table1[[#This Row],[Target_product_quantity]])-1)</f>
        <v>4.5</v>
      </c>
      <c r="G286" t="str" cm="1">
        <f t="array" ref="G286">_xlfn.TEXTJOIN("", TRUE, IF(ISNUMBER(SEARCH($K$1010:$K$1054, C286)), $K$1010:$K$1054, ""))</f>
        <v>Chobani</v>
      </c>
      <c r="H286" t="str">
        <f t="shared" si="17"/>
        <v>Yogurt</v>
      </c>
      <c r="I286" t="str">
        <f t="shared" si="18"/>
        <v>Dairy</v>
      </c>
      <c r="J286" s="4">
        <v>1.49</v>
      </c>
      <c r="K286">
        <f>Table1[[#This Row],[Target_product_price]]/Table1[[#This Row],[product_price_per_oz]]</f>
        <v>0.33111111111111113</v>
      </c>
    </row>
    <row r="287" spans="1:16" x14ac:dyDescent="0.2">
      <c r="A287" t="s">
        <v>792</v>
      </c>
      <c r="B287" t="s">
        <v>793</v>
      </c>
      <c r="C287" t="s">
        <v>794</v>
      </c>
      <c r="D287" t="str">
        <f>SUBSTITUTE(Table1[[#This Row],[Target_product_name]], "oz", " oz")</f>
        <v>Chobani Flip Cookies &amp; Cream Low Fat Greek Yogurt - 4.5 oz</v>
      </c>
      <c r="E287" t="str">
        <f t="shared" si="19"/>
        <v>4.5oz</v>
      </c>
      <c r="F287" t="str">
        <f>LEFT(Table1[[#This Row],[Target_product_quantity]], FIND("o", Table1[[#This Row],[Target_product_quantity]])-1)</f>
        <v>4.5</v>
      </c>
      <c r="G287" t="str" cm="1">
        <f t="array" ref="G287">_xlfn.TEXTJOIN("", TRUE, IF(ISNUMBER(SEARCH($K$1010:$K$1054, C287)), $K$1010:$K$1054, ""))</f>
        <v>Chobani</v>
      </c>
      <c r="H287" t="str">
        <f t="shared" si="17"/>
        <v>Yogurt</v>
      </c>
      <c r="I287" t="str">
        <f t="shared" si="18"/>
        <v>Dairy</v>
      </c>
      <c r="J287" s="4">
        <v>1.49</v>
      </c>
      <c r="K287">
        <f>Table1[[#This Row],[Target_product_price]]/Table1[[#This Row],[product_price_per_oz]]</f>
        <v>0.33111111111111113</v>
      </c>
    </row>
    <row r="288" spans="1:16" x14ac:dyDescent="0.2">
      <c r="A288" t="s">
        <v>795</v>
      </c>
      <c r="B288" t="s">
        <v>796</v>
      </c>
      <c r="C288" t="s">
        <v>797</v>
      </c>
      <c r="D288" t="str">
        <f>SUBSTITUTE(Table1[[#This Row],[Target_product_name]], "oz", " oz")</f>
        <v>Chobani Flip Cookies &amp; Cream Low Fat Greek Yogurt - 4ct/4.5 oz</v>
      </c>
      <c r="E288" t="s">
        <v>18</v>
      </c>
      <c r="F288" t="str">
        <f>LEFT(Table1[[#This Row],[Target_product_quantity]], FIND("o", Table1[[#This Row],[Target_product_quantity]])-1)</f>
        <v>18</v>
      </c>
      <c r="G288" t="str" cm="1">
        <f t="array" ref="G288">_xlfn.TEXTJOIN("", TRUE, IF(ISNUMBER(SEARCH($K$1010:$K$1054, C288)), $K$1010:$K$1054, ""))</f>
        <v>Chobani</v>
      </c>
      <c r="H288" t="str">
        <f t="shared" si="17"/>
        <v>Yogurt</v>
      </c>
      <c r="I288" t="str">
        <f t="shared" si="18"/>
        <v>Dairy</v>
      </c>
      <c r="J288" s="4">
        <v>5.19</v>
      </c>
      <c r="K288">
        <f>Table1[[#This Row],[Target_product_price]]/Table1[[#This Row],[product_price_per_oz]]</f>
        <v>0.28833333333333333</v>
      </c>
      <c r="P288" s="1"/>
    </row>
    <row r="289" spans="1:16" x14ac:dyDescent="0.2">
      <c r="A289" t="s">
        <v>795</v>
      </c>
      <c r="B289" t="s">
        <v>796</v>
      </c>
      <c r="C289" t="s">
        <v>797</v>
      </c>
      <c r="D289" t="str">
        <f>SUBSTITUTE(Table1[[#This Row],[Target_product_name]], "oz", " oz")</f>
        <v>Chobani Flip Cookies &amp; Cream Low Fat Greek Yogurt - 4ct/4.5 oz</v>
      </c>
      <c r="E289" t="s">
        <v>18</v>
      </c>
      <c r="F289" t="str">
        <f>LEFT(Table1[[#This Row],[Target_product_quantity]], FIND("o", Table1[[#This Row],[Target_product_quantity]])-1)</f>
        <v>18</v>
      </c>
      <c r="G289" t="str" cm="1">
        <f t="array" ref="G289">_xlfn.TEXTJOIN("", TRUE, IF(ISNUMBER(SEARCH($K$1010:$K$1054, C289)), $K$1010:$K$1054, ""))</f>
        <v>Chobani</v>
      </c>
      <c r="H289" t="str">
        <f t="shared" si="17"/>
        <v>Yogurt</v>
      </c>
      <c r="I289" t="str">
        <f t="shared" si="18"/>
        <v>Dairy</v>
      </c>
      <c r="J289" s="4">
        <v>5.19</v>
      </c>
      <c r="K289">
        <f>Table1[[#This Row],[Target_product_price]]/Table1[[#This Row],[product_price_per_oz]]</f>
        <v>0.28833333333333333</v>
      </c>
    </row>
    <row r="290" spans="1:16" x14ac:dyDescent="0.2">
      <c r="A290" t="s">
        <v>798</v>
      </c>
      <c r="B290" t="s">
        <v>799</v>
      </c>
      <c r="C290" t="s">
        <v>800</v>
      </c>
      <c r="D290" t="str">
        <f>SUBSTITUTE(Table1[[#This Row],[Target_product_name]], "oz", " oz")</f>
        <v>Chobani Flip Key Lime Crumble Low Fat Greek Yogurt - 4.5 oz</v>
      </c>
      <c r="E290" t="str">
        <f t="shared" ref="E290:E319" si="20">TRIM(RIGHT(C290, LEN(C290) - FIND("-", C290)))</f>
        <v>4.5oz</v>
      </c>
      <c r="F290" t="str">
        <f>LEFT(Table1[[#This Row],[Target_product_quantity]], FIND("o", Table1[[#This Row],[Target_product_quantity]])-1)</f>
        <v>4.5</v>
      </c>
      <c r="G290" t="str" cm="1">
        <f t="array" ref="G290">_xlfn.TEXTJOIN("", TRUE, IF(ISNUMBER(SEARCH($K$1010:$K$1054, C290)), $K$1010:$K$1054, ""))</f>
        <v>Chobani</v>
      </c>
      <c r="H290" t="str">
        <f t="shared" si="17"/>
        <v>Yogurt</v>
      </c>
      <c r="I290" t="str">
        <f t="shared" si="18"/>
        <v>Dairy</v>
      </c>
      <c r="J290" s="4">
        <v>1.49</v>
      </c>
      <c r="K290">
        <f>Table1[[#This Row],[Target_product_price]]/Table1[[#This Row],[product_price_per_oz]]</f>
        <v>0.33111111111111113</v>
      </c>
      <c r="P290" s="1"/>
    </row>
    <row r="291" spans="1:16" x14ac:dyDescent="0.2">
      <c r="A291" t="s">
        <v>801</v>
      </c>
      <c r="B291" t="s">
        <v>802</v>
      </c>
      <c r="C291" t="s">
        <v>803</v>
      </c>
      <c r="D291" t="str">
        <f>SUBSTITUTE(Table1[[#This Row],[Target_product_name]], "oz", " oz")</f>
        <v>Chobani Flip Key Lime Crumble Low Fat Greek Yogurt - 4ct/4.5 oz Cups</v>
      </c>
      <c r="E291" t="s">
        <v>18</v>
      </c>
      <c r="F291" t="str">
        <f>LEFT(Table1[[#This Row],[Target_product_quantity]], FIND("o", Table1[[#This Row],[Target_product_quantity]])-1)</f>
        <v>18</v>
      </c>
      <c r="G291" t="str" cm="1">
        <f t="array" ref="G291">_xlfn.TEXTJOIN("", TRUE, IF(ISNUMBER(SEARCH($K$1010:$K$1054, C291)), $K$1010:$K$1054, ""))</f>
        <v>Chobani</v>
      </c>
      <c r="H291" t="str">
        <f t="shared" si="17"/>
        <v>Yogurt</v>
      </c>
      <c r="I291" t="str">
        <f t="shared" si="18"/>
        <v>Dairy</v>
      </c>
      <c r="J291" s="4">
        <v>5.19</v>
      </c>
      <c r="K291">
        <f>Table1[[#This Row],[Target_product_price]]/Table1[[#This Row],[product_price_per_oz]]</f>
        <v>0.28833333333333333</v>
      </c>
      <c r="P291" s="1"/>
    </row>
    <row r="292" spans="1:16" x14ac:dyDescent="0.2">
      <c r="A292" t="s">
        <v>804</v>
      </c>
      <c r="B292" t="s">
        <v>805</v>
      </c>
      <c r="C292" t="s">
        <v>806</v>
      </c>
      <c r="D292" t="str">
        <f>SUBSTITUTE(Table1[[#This Row],[Target_product_name]], "oz", " oz")</f>
        <v>Chobani Flip Low Fat Chocolate Hazelnut Haze Craze Greek Yogurt - 4.5 oz</v>
      </c>
      <c r="E292" t="str">
        <f t="shared" si="20"/>
        <v>4.5oz</v>
      </c>
      <c r="F292" t="str">
        <f>LEFT(Table1[[#This Row],[Target_product_quantity]], FIND("o", Table1[[#This Row],[Target_product_quantity]])-1)</f>
        <v>4.5</v>
      </c>
      <c r="G292" t="str" cm="1">
        <f t="array" ref="G292">_xlfn.TEXTJOIN("", TRUE, IF(ISNUMBER(SEARCH($K$1010:$K$1054, C292)), $K$1010:$K$1054, ""))</f>
        <v>Chobani</v>
      </c>
      <c r="H292" t="str">
        <f t="shared" si="17"/>
        <v>Yogurt</v>
      </c>
      <c r="I292" t="str">
        <f t="shared" si="18"/>
        <v>Dairy</v>
      </c>
      <c r="J292" s="4">
        <v>1.49</v>
      </c>
      <c r="K292">
        <f>Table1[[#This Row],[Target_product_price]]/Table1[[#This Row],[product_price_per_oz]]</f>
        <v>0.33111111111111113</v>
      </c>
      <c r="P292" s="1"/>
    </row>
    <row r="293" spans="1:16" x14ac:dyDescent="0.2">
      <c r="A293" t="s">
        <v>807</v>
      </c>
      <c r="B293" t="s">
        <v>808</v>
      </c>
      <c r="C293" t="s">
        <v>809</v>
      </c>
      <c r="D293" t="str">
        <f>SUBSTITUTE(Table1[[#This Row],[Target_product_name]], "oz", " oz")</f>
        <v>Chobani Flip Low Fat Chocolate Peanut Butter Cup Greek Yogurt - 4.5 oz</v>
      </c>
      <c r="E293" t="str">
        <f t="shared" si="20"/>
        <v>4.5oz</v>
      </c>
      <c r="F293" t="str">
        <f>LEFT(Table1[[#This Row],[Target_product_quantity]], FIND("o", Table1[[#This Row],[Target_product_quantity]])-1)</f>
        <v>4.5</v>
      </c>
      <c r="G293" t="str" cm="1">
        <f t="array" ref="G293">_xlfn.TEXTJOIN("", TRUE, IF(ISNUMBER(SEARCH($K$1010:$K$1054, C293)), $K$1010:$K$1054, ""))</f>
        <v>Chobani</v>
      </c>
      <c r="H293" t="str">
        <f t="shared" si="17"/>
        <v>Yogurt</v>
      </c>
      <c r="I293" t="str">
        <f t="shared" si="18"/>
        <v>Dairy</v>
      </c>
      <c r="J293" s="4">
        <v>1.49</v>
      </c>
      <c r="K293">
        <f>Table1[[#This Row],[Target_product_price]]/Table1[[#This Row],[product_price_per_oz]]</f>
        <v>0.33111111111111113</v>
      </c>
    </row>
    <row r="294" spans="1:16" x14ac:dyDescent="0.2">
      <c r="A294" t="s">
        <v>807</v>
      </c>
      <c r="B294" t="s">
        <v>808</v>
      </c>
      <c r="C294" t="s">
        <v>809</v>
      </c>
      <c r="D294" t="str">
        <f>SUBSTITUTE(Table1[[#This Row],[Target_product_name]], "oz", " oz")</f>
        <v>Chobani Flip Low Fat Chocolate Peanut Butter Cup Greek Yogurt - 4.5 oz</v>
      </c>
      <c r="E294" t="str">
        <f t="shared" si="20"/>
        <v>4.5oz</v>
      </c>
      <c r="F294" t="str">
        <f>LEFT(Table1[[#This Row],[Target_product_quantity]], FIND("o", Table1[[#This Row],[Target_product_quantity]])-1)</f>
        <v>4.5</v>
      </c>
      <c r="G294" t="str" cm="1">
        <f t="array" ref="G294">_xlfn.TEXTJOIN("", TRUE, IF(ISNUMBER(SEARCH($K$1010:$K$1054, C294)), $K$1010:$K$1054, ""))</f>
        <v>Chobani</v>
      </c>
      <c r="H294" t="str">
        <f t="shared" si="17"/>
        <v>Yogurt</v>
      </c>
      <c r="I294" t="str">
        <f t="shared" si="18"/>
        <v>Dairy</v>
      </c>
      <c r="J294" s="4">
        <v>1.49</v>
      </c>
      <c r="K294">
        <f>Table1[[#This Row],[Target_product_price]]/Table1[[#This Row],[product_price_per_oz]]</f>
        <v>0.33111111111111113</v>
      </c>
    </row>
    <row r="295" spans="1:16" x14ac:dyDescent="0.2">
      <c r="A295" t="s">
        <v>807</v>
      </c>
      <c r="B295" t="s">
        <v>808</v>
      </c>
      <c r="C295" t="s">
        <v>809</v>
      </c>
      <c r="D295" t="str">
        <f>SUBSTITUTE(Table1[[#This Row],[Target_product_name]], "oz", " oz")</f>
        <v>Chobani Flip Low Fat Chocolate Peanut Butter Cup Greek Yogurt - 4.5 oz</v>
      </c>
      <c r="E295" t="str">
        <f t="shared" si="20"/>
        <v>4.5oz</v>
      </c>
      <c r="F295" t="str">
        <f>LEFT(Table1[[#This Row],[Target_product_quantity]], FIND("o", Table1[[#This Row],[Target_product_quantity]])-1)</f>
        <v>4.5</v>
      </c>
      <c r="G295" t="str" cm="1">
        <f t="array" ref="G295">_xlfn.TEXTJOIN("", TRUE, IF(ISNUMBER(SEARCH($K$1010:$K$1054, C295)), $K$1010:$K$1054, ""))</f>
        <v>Chobani</v>
      </c>
      <c r="H295" t="str">
        <f t="shared" si="17"/>
        <v>Yogurt</v>
      </c>
      <c r="I295" t="str">
        <f t="shared" si="18"/>
        <v>Dairy</v>
      </c>
      <c r="J295" s="4">
        <v>1.49</v>
      </c>
      <c r="K295">
        <f>Table1[[#This Row],[Target_product_price]]/Table1[[#This Row],[product_price_per_oz]]</f>
        <v>0.33111111111111113</v>
      </c>
    </row>
    <row r="296" spans="1:16" x14ac:dyDescent="0.2">
      <c r="A296" t="s">
        <v>810</v>
      </c>
      <c r="B296" t="s">
        <v>811</v>
      </c>
      <c r="C296" t="s">
        <v>812</v>
      </c>
      <c r="D296" t="str">
        <f>SUBSTITUTE(Table1[[#This Row],[Target_product_name]], "oz", " oz")</f>
        <v>Chobani Flip Low Fat Chocolate S'more S'mores Greek Yogurt - 4.5 oz</v>
      </c>
      <c r="E296" t="str">
        <f t="shared" si="20"/>
        <v>4.5oz</v>
      </c>
      <c r="F296" t="str">
        <f>LEFT(Table1[[#This Row],[Target_product_quantity]], FIND("o", Table1[[#This Row],[Target_product_quantity]])-1)</f>
        <v>4.5</v>
      </c>
      <c r="G296" t="str" cm="1">
        <f t="array" ref="G296">_xlfn.TEXTJOIN("", TRUE, IF(ISNUMBER(SEARCH($K$1010:$K$1054, C296)), $K$1010:$K$1054, ""))</f>
        <v>Chobani</v>
      </c>
      <c r="H296" t="str">
        <f t="shared" si="17"/>
        <v>Yogurt</v>
      </c>
      <c r="I296" t="str">
        <f t="shared" si="18"/>
        <v>Dairy</v>
      </c>
      <c r="J296" s="4">
        <v>1.49</v>
      </c>
      <c r="K296">
        <f>Table1[[#This Row],[Target_product_price]]/Table1[[#This Row],[product_price_per_oz]]</f>
        <v>0.33111111111111113</v>
      </c>
    </row>
    <row r="297" spans="1:16" x14ac:dyDescent="0.2">
      <c r="A297" t="s">
        <v>813</v>
      </c>
      <c r="B297" t="s">
        <v>814</v>
      </c>
      <c r="C297" t="s">
        <v>815</v>
      </c>
      <c r="D297" t="str">
        <f>SUBSTITUTE(Table1[[#This Row],[Target_product_name]], "oz", " oz")</f>
        <v>Chobani Flip Low Fat Chocolate S'more S'mores Greek Yogurt - 4ct/4.5 oz Cups</v>
      </c>
      <c r="E297" t="s">
        <v>18</v>
      </c>
      <c r="F297" t="str">
        <f>LEFT(Table1[[#This Row],[Target_product_quantity]], FIND("o", Table1[[#This Row],[Target_product_quantity]])-1)</f>
        <v>18</v>
      </c>
      <c r="G297" t="str" cm="1">
        <f t="array" ref="G297">_xlfn.TEXTJOIN("", TRUE, IF(ISNUMBER(SEARCH($K$1010:$K$1054, C297)), $K$1010:$K$1054, ""))</f>
        <v>Chobani</v>
      </c>
      <c r="H297" t="str">
        <f t="shared" si="17"/>
        <v>Yogurt</v>
      </c>
      <c r="I297" t="str">
        <f t="shared" si="18"/>
        <v>Dairy</v>
      </c>
      <c r="J297" s="4">
        <v>5.19</v>
      </c>
      <c r="K297">
        <f>Table1[[#This Row],[Target_product_price]]/Table1[[#This Row],[product_price_per_oz]]</f>
        <v>0.28833333333333333</v>
      </c>
    </row>
    <row r="298" spans="1:16" x14ac:dyDescent="0.2">
      <c r="A298" t="s">
        <v>816</v>
      </c>
      <c r="B298" t="s">
        <v>817</v>
      </c>
      <c r="C298" t="s">
        <v>818</v>
      </c>
      <c r="D298" t="str">
        <f>SUBSTITUTE(Table1[[#This Row],[Target_product_name]], "oz", " oz")</f>
        <v>Chobani Flip Low Fat Lemon Meringue Pie Greek Yogurt - 4.5 oz</v>
      </c>
      <c r="E298" t="str">
        <f t="shared" si="20"/>
        <v>4.5oz</v>
      </c>
      <c r="F298" t="str">
        <f>LEFT(Table1[[#This Row],[Target_product_quantity]], FIND("o", Table1[[#This Row],[Target_product_quantity]])-1)</f>
        <v>4.5</v>
      </c>
      <c r="G298" t="str" cm="1">
        <f t="array" ref="G298">_xlfn.TEXTJOIN("", TRUE, IF(ISNUMBER(SEARCH($K$1010:$K$1054, C298)), $K$1010:$K$1054, ""))</f>
        <v>Chobani</v>
      </c>
      <c r="H298" t="str">
        <f t="shared" si="17"/>
        <v>Yogurt</v>
      </c>
      <c r="I298" t="str">
        <f t="shared" si="18"/>
        <v>Dairy</v>
      </c>
      <c r="J298" s="4">
        <v>1.49</v>
      </c>
      <c r="K298">
        <f>Table1[[#This Row],[Target_product_price]]/Table1[[#This Row],[product_price_per_oz]]</f>
        <v>0.33111111111111113</v>
      </c>
    </row>
    <row r="299" spans="1:16" x14ac:dyDescent="0.2">
      <c r="A299" t="s">
        <v>819</v>
      </c>
      <c r="B299" t="s">
        <v>820</v>
      </c>
      <c r="C299" t="s">
        <v>821</v>
      </c>
      <c r="D299" t="str">
        <f>SUBSTITUTE(Table1[[#This Row],[Target_product_name]], "oz", " oz")</f>
        <v>Chobani Flip Red Velvet Greek Yogurt - 4.5 oz</v>
      </c>
      <c r="E299" t="str">
        <f t="shared" si="20"/>
        <v>4.5oz</v>
      </c>
      <c r="F299" t="str">
        <f>LEFT(Table1[[#This Row],[Target_product_quantity]], FIND("o", Table1[[#This Row],[Target_product_quantity]])-1)</f>
        <v>4.5</v>
      </c>
      <c r="G299" t="str" cm="1">
        <f t="array" ref="G299">_xlfn.TEXTJOIN("", TRUE, IF(ISNUMBER(SEARCH($K$1010:$K$1054, C299)), $K$1010:$K$1054, ""))</f>
        <v>Chobani</v>
      </c>
      <c r="H299" t="str">
        <f t="shared" si="17"/>
        <v>Yogurt</v>
      </c>
      <c r="I299" t="str">
        <f t="shared" si="18"/>
        <v>Dairy</v>
      </c>
      <c r="J299" s="4">
        <v>1.49</v>
      </c>
      <c r="K299">
        <f>Table1[[#This Row],[Target_product_price]]/Table1[[#This Row],[product_price_per_oz]]</f>
        <v>0.33111111111111113</v>
      </c>
    </row>
    <row r="300" spans="1:16" x14ac:dyDescent="0.2">
      <c r="A300" t="s">
        <v>822</v>
      </c>
      <c r="B300" t="s">
        <v>823</v>
      </c>
      <c r="C300" t="s">
        <v>824</v>
      </c>
      <c r="D300" t="str">
        <f>SUBSTITUTE(Table1[[#This Row],[Target_product_name]], "oz", " oz")</f>
        <v>Chobani Flip Strawberry Cheesecake Low Fat Greek Yogurt - 4.5 oz</v>
      </c>
      <c r="E300" t="str">
        <f t="shared" si="20"/>
        <v>4.5oz</v>
      </c>
      <c r="F300" t="str">
        <f>LEFT(Table1[[#This Row],[Target_product_quantity]], FIND("o", Table1[[#This Row],[Target_product_quantity]])-1)</f>
        <v>4.5</v>
      </c>
      <c r="G300" t="str" cm="1">
        <f t="array" ref="G300">_xlfn.TEXTJOIN("", TRUE, IF(ISNUMBER(SEARCH($K$1010:$K$1054, C300)), $K$1010:$K$1054, ""))</f>
        <v>Chobani</v>
      </c>
      <c r="H300" t="str">
        <f t="shared" si="17"/>
        <v>Yogurt</v>
      </c>
      <c r="I300" t="str">
        <f t="shared" si="18"/>
        <v>Dairy</v>
      </c>
      <c r="J300" s="4">
        <v>1.49</v>
      </c>
      <c r="K300">
        <f>Table1[[#This Row],[Target_product_price]]/Table1[[#This Row],[product_price_per_oz]]</f>
        <v>0.33111111111111113</v>
      </c>
    </row>
    <row r="301" spans="1:16" x14ac:dyDescent="0.2">
      <c r="A301" t="s">
        <v>822</v>
      </c>
      <c r="B301" t="s">
        <v>823</v>
      </c>
      <c r="C301" t="s">
        <v>824</v>
      </c>
      <c r="D301" t="str">
        <f>SUBSTITUTE(Table1[[#This Row],[Target_product_name]], "oz", " oz")</f>
        <v>Chobani Flip Strawberry Cheesecake Low Fat Greek Yogurt - 4.5 oz</v>
      </c>
      <c r="E301" t="str">
        <f t="shared" si="20"/>
        <v>4.5oz</v>
      </c>
      <c r="F301" t="str">
        <f>LEFT(Table1[[#This Row],[Target_product_quantity]], FIND("o", Table1[[#This Row],[Target_product_quantity]])-1)</f>
        <v>4.5</v>
      </c>
      <c r="G301" t="str" cm="1">
        <f t="array" ref="G301">_xlfn.TEXTJOIN("", TRUE, IF(ISNUMBER(SEARCH($K$1010:$K$1054, C301)), $K$1010:$K$1054, ""))</f>
        <v>Chobani</v>
      </c>
      <c r="H301" t="str">
        <f t="shared" si="17"/>
        <v>Yogurt</v>
      </c>
      <c r="I301" t="str">
        <f t="shared" si="18"/>
        <v>Dairy</v>
      </c>
      <c r="J301" s="4">
        <v>1.49</v>
      </c>
      <c r="K301">
        <f>Table1[[#This Row],[Target_product_price]]/Table1[[#This Row],[product_price_per_oz]]</f>
        <v>0.33111111111111113</v>
      </c>
    </row>
    <row r="302" spans="1:16" x14ac:dyDescent="0.2">
      <c r="A302" t="s">
        <v>822</v>
      </c>
      <c r="B302" t="s">
        <v>823</v>
      </c>
      <c r="C302" t="s">
        <v>824</v>
      </c>
      <c r="D302" t="str">
        <f>SUBSTITUTE(Table1[[#This Row],[Target_product_name]], "oz", " oz")</f>
        <v>Chobani Flip Strawberry Cheesecake Low Fat Greek Yogurt - 4.5 oz</v>
      </c>
      <c r="E302" t="str">
        <f t="shared" si="20"/>
        <v>4.5oz</v>
      </c>
      <c r="F302" t="str">
        <f>LEFT(Table1[[#This Row],[Target_product_quantity]], FIND("o", Table1[[#This Row],[Target_product_quantity]])-1)</f>
        <v>4.5</v>
      </c>
      <c r="G302" t="str" cm="1">
        <f t="array" ref="G302">_xlfn.TEXTJOIN("", TRUE, IF(ISNUMBER(SEARCH($K$1010:$K$1054, C302)), $K$1010:$K$1054, ""))</f>
        <v>Chobani</v>
      </c>
      <c r="H302" t="str">
        <f t="shared" si="17"/>
        <v>Yogurt</v>
      </c>
      <c r="I302" t="str">
        <f t="shared" si="18"/>
        <v>Dairy</v>
      </c>
      <c r="J302" s="4">
        <v>1.49</v>
      </c>
      <c r="K302">
        <f>Table1[[#This Row],[Target_product_price]]/Table1[[#This Row],[product_price_per_oz]]</f>
        <v>0.33111111111111113</v>
      </c>
    </row>
    <row r="303" spans="1:16" x14ac:dyDescent="0.2">
      <c r="A303" t="s">
        <v>825</v>
      </c>
      <c r="B303" t="s">
        <v>826</v>
      </c>
      <c r="C303" t="s">
        <v>827</v>
      </c>
      <c r="D303" t="str">
        <f>SUBSTITUTE(Table1[[#This Row],[Target_product_name]], "oz", " oz")</f>
        <v>Chobani Greek Yogurt Flip Cinnamon French Toast - 4.5 oz</v>
      </c>
      <c r="E303" t="str">
        <f t="shared" si="20"/>
        <v>4.5oz</v>
      </c>
      <c r="F303" t="str">
        <f>LEFT(Table1[[#This Row],[Target_product_quantity]], FIND("o", Table1[[#This Row],[Target_product_quantity]])-1)</f>
        <v>4.5</v>
      </c>
      <c r="G303" t="str" cm="1">
        <f t="array" ref="G303">_xlfn.TEXTJOIN("", TRUE, IF(ISNUMBER(SEARCH($K$1010:$K$1054, C303)), $K$1010:$K$1054, ""))</f>
        <v>Chobani</v>
      </c>
      <c r="H303" t="str">
        <f t="shared" si="17"/>
        <v>Yogurt</v>
      </c>
      <c r="I303" t="str">
        <f t="shared" si="18"/>
        <v>Dairy</v>
      </c>
      <c r="J303" s="4">
        <v>1.49</v>
      </c>
      <c r="K303">
        <f>Table1[[#This Row],[Target_product_price]]/Table1[[#This Row],[product_price_per_oz]]</f>
        <v>0.33111111111111113</v>
      </c>
    </row>
    <row r="304" spans="1:16" x14ac:dyDescent="0.2">
      <c r="A304" t="s">
        <v>828</v>
      </c>
      <c r="B304" t="s">
        <v>829</v>
      </c>
      <c r="C304" t="s">
        <v>830</v>
      </c>
      <c r="D304" t="str">
        <f>SUBSTITUTE(Table1[[#This Row],[Target_product_name]], "oz", " oz")</f>
        <v>Chobani Greek Yogurt Flip Cookie Dough - 4pk/4.5 oz Cups</v>
      </c>
      <c r="E304" t="s">
        <v>18</v>
      </c>
      <c r="F304" t="str">
        <f>LEFT(Table1[[#This Row],[Target_product_quantity]], FIND("o", Table1[[#This Row],[Target_product_quantity]])-1)</f>
        <v>18</v>
      </c>
      <c r="G304" t="str" cm="1">
        <f t="array" ref="G304">_xlfn.TEXTJOIN("", TRUE, IF(ISNUMBER(SEARCH($K$1010:$K$1054, C304)), $K$1010:$K$1054, ""))</f>
        <v>Chobani</v>
      </c>
      <c r="H304" t="str">
        <f t="shared" si="17"/>
        <v>Yogurt</v>
      </c>
      <c r="I304" t="str">
        <f t="shared" si="18"/>
        <v>Dairy</v>
      </c>
      <c r="J304" s="4">
        <v>5.19</v>
      </c>
      <c r="K304">
        <f>Table1[[#This Row],[Target_product_price]]/Table1[[#This Row],[product_price_per_oz]]</f>
        <v>0.28833333333333333</v>
      </c>
    </row>
    <row r="305" spans="1:11" x14ac:dyDescent="0.2">
      <c r="A305" t="s">
        <v>828</v>
      </c>
      <c r="B305" t="s">
        <v>829</v>
      </c>
      <c r="C305" t="s">
        <v>830</v>
      </c>
      <c r="D305" t="str">
        <f>SUBSTITUTE(Table1[[#This Row],[Target_product_name]], "oz", " oz")</f>
        <v>Chobani Greek Yogurt Flip Cookie Dough - 4pk/4.5 oz Cups</v>
      </c>
      <c r="E305" t="s">
        <v>18</v>
      </c>
      <c r="F305" t="str">
        <f>LEFT(Table1[[#This Row],[Target_product_quantity]], FIND("o", Table1[[#This Row],[Target_product_quantity]])-1)</f>
        <v>18</v>
      </c>
      <c r="G305" t="str" cm="1">
        <f t="array" ref="G305">_xlfn.TEXTJOIN("", TRUE, IF(ISNUMBER(SEARCH($K$1010:$K$1054, C305)), $K$1010:$K$1054, ""))</f>
        <v>Chobani</v>
      </c>
      <c r="H305" t="str">
        <f t="shared" si="17"/>
        <v>Yogurt</v>
      </c>
      <c r="I305" t="str">
        <f t="shared" si="18"/>
        <v>Dairy</v>
      </c>
      <c r="J305" s="4">
        <v>5.19</v>
      </c>
      <c r="K305">
        <f>Table1[[#This Row],[Target_product_price]]/Table1[[#This Row],[product_price_per_oz]]</f>
        <v>0.28833333333333333</v>
      </c>
    </row>
    <row r="306" spans="1:11" x14ac:dyDescent="0.2">
      <c r="A306" t="s">
        <v>831</v>
      </c>
      <c r="B306" t="s">
        <v>832</v>
      </c>
      <c r="C306" t="s">
        <v>833</v>
      </c>
      <c r="D306" t="str">
        <f>SUBSTITUTE(Table1[[#This Row],[Target_product_name]], "oz", " oz")</f>
        <v>Chobani Greek Yogurt Flip Peanut Butter Cup - 4pk/4.5 oz Cups</v>
      </c>
      <c r="E306" t="s">
        <v>18</v>
      </c>
      <c r="F306" t="str">
        <f>LEFT(Table1[[#This Row],[Target_product_quantity]], FIND("o", Table1[[#This Row],[Target_product_quantity]])-1)</f>
        <v>18</v>
      </c>
      <c r="G306" t="str" cm="1">
        <f t="array" ref="G306">_xlfn.TEXTJOIN("", TRUE, IF(ISNUMBER(SEARCH($K$1010:$K$1054, C306)), $K$1010:$K$1054, ""))</f>
        <v>Chobani</v>
      </c>
      <c r="H306" t="str">
        <f t="shared" si="17"/>
        <v>Yogurt</v>
      </c>
      <c r="I306" t="str">
        <f t="shared" si="18"/>
        <v>Dairy</v>
      </c>
      <c r="J306" s="4">
        <v>5.19</v>
      </c>
      <c r="K306">
        <f>Table1[[#This Row],[Target_product_price]]/Table1[[#This Row],[product_price_per_oz]]</f>
        <v>0.28833333333333333</v>
      </c>
    </row>
    <row r="307" spans="1:11" x14ac:dyDescent="0.2">
      <c r="A307" t="s">
        <v>834</v>
      </c>
      <c r="B307" t="s">
        <v>835</v>
      </c>
      <c r="C307" t="s">
        <v>836</v>
      </c>
      <c r="D307" t="str">
        <f>SUBSTITUTE(Table1[[#This Row],[Target_product_name]], "oz", " oz")</f>
        <v>Chobani Key Lime Blended Low Fat Greek Yogurt - 4ct/5.3 oz Cups</v>
      </c>
      <c r="E307" t="s">
        <v>18</v>
      </c>
      <c r="F307" t="str">
        <f>LEFT(Table1[[#This Row],[Target_product_quantity]], FIND("o", Table1[[#This Row],[Target_product_quantity]])-1)</f>
        <v>18</v>
      </c>
      <c r="G307" t="str" cm="1">
        <f t="array" ref="G307">_xlfn.TEXTJOIN("", TRUE, IF(ISNUMBER(SEARCH($K$1010:$K$1054, C307)), $K$1010:$K$1054, ""))</f>
        <v>Chobani</v>
      </c>
      <c r="H307" t="str">
        <f t="shared" si="17"/>
        <v>Yogurt</v>
      </c>
      <c r="I307" t="str">
        <f t="shared" si="18"/>
        <v>Dairy</v>
      </c>
      <c r="J307" s="4">
        <v>4.99</v>
      </c>
      <c r="K307">
        <f>Table1[[#This Row],[Target_product_price]]/Table1[[#This Row],[product_price_per_oz]]</f>
        <v>0.27722222222222226</v>
      </c>
    </row>
    <row r="308" spans="1:11" x14ac:dyDescent="0.2">
      <c r="A308" t="s">
        <v>837</v>
      </c>
      <c r="B308" t="s">
        <v>838</v>
      </c>
      <c r="C308" t="s">
        <v>839</v>
      </c>
      <c r="D308" t="str">
        <f>SUBSTITUTE(Table1[[#This Row],[Target_product_name]], "oz", " oz")</f>
        <v>Chobani Less Sugar Low Fat Blended Madagascar Vanilla &amp; Cinnamon Greek Yogurt - 5.3 oz</v>
      </c>
      <c r="E308" t="str">
        <f t="shared" si="20"/>
        <v>5.3oz</v>
      </c>
      <c r="F308" t="str">
        <f>LEFT(Table1[[#This Row],[Target_product_quantity]], FIND("o", Table1[[#This Row],[Target_product_quantity]])-1)</f>
        <v>5.3</v>
      </c>
      <c r="G308" t="str" cm="1">
        <f t="array" ref="G308">_xlfn.TEXTJOIN("", TRUE, IF(ISNUMBER(SEARCH($K$1010:$K$1054, C308)), $K$1010:$K$1054, ""))</f>
        <v>Chobani</v>
      </c>
      <c r="H308" t="str">
        <f t="shared" si="17"/>
        <v>Yogurt</v>
      </c>
      <c r="I308" t="str">
        <f t="shared" si="18"/>
        <v>Dairy</v>
      </c>
      <c r="J308" s="4">
        <v>1.29</v>
      </c>
      <c r="K308">
        <f>Table1[[#This Row],[Target_product_price]]/Table1[[#This Row],[product_price_per_oz]]</f>
        <v>0.24339622641509434</v>
      </c>
    </row>
    <row r="309" spans="1:11" x14ac:dyDescent="0.2">
      <c r="A309" t="s">
        <v>840</v>
      </c>
      <c r="B309" t="s">
        <v>841</v>
      </c>
      <c r="C309" t="s">
        <v>842</v>
      </c>
      <c r="D309" t="str">
        <f>SUBSTITUTE(Table1[[#This Row],[Target_product_name]], "oz", " oz")</f>
        <v>Chobani Low Fat Greek Yogurt Drink Mixed Berry - 7 fl  oz/4pk</v>
      </c>
      <c r="E309" t="s">
        <v>2868</v>
      </c>
      <c r="F309" t="str">
        <f>LEFT(Table1[[#This Row],[Target_product_quantity]], FIND("o", Table1[[#This Row],[Target_product_quantity]])-1)</f>
        <v>28</v>
      </c>
      <c r="G309" t="str" cm="1">
        <f t="array" ref="G309">_xlfn.TEXTJOIN("", TRUE, IF(ISNUMBER(SEARCH($K$1010:$K$1054, C309)), $K$1010:$K$1054, ""))</f>
        <v>Chobani</v>
      </c>
      <c r="H309" t="str">
        <f t="shared" si="17"/>
        <v>Yogurt</v>
      </c>
      <c r="I309" t="str">
        <f t="shared" si="18"/>
        <v>Dairy</v>
      </c>
      <c r="J309" s="4">
        <v>6.99</v>
      </c>
      <c r="K309">
        <f>Table1[[#This Row],[Target_product_price]]/Table1[[#This Row],[product_price_per_oz]]</f>
        <v>0.24964285714285714</v>
      </c>
    </row>
    <row r="310" spans="1:11" x14ac:dyDescent="0.2">
      <c r="A310" t="s">
        <v>840</v>
      </c>
      <c r="B310" t="s">
        <v>841</v>
      </c>
      <c r="C310" t="s">
        <v>842</v>
      </c>
      <c r="D310" t="str">
        <f>SUBSTITUTE(Table1[[#This Row],[Target_product_name]], "oz", " oz")</f>
        <v>Chobani Low Fat Greek Yogurt Drink Mixed Berry - 7 fl  oz/4pk</v>
      </c>
      <c r="E310" t="s">
        <v>2868</v>
      </c>
      <c r="F310" t="str">
        <f>LEFT(Table1[[#This Row],[Target_product_quantity]], FIND("o", Table1[[#This Row],[Target_product_quantity]])-1)</f>
        <v>28</v>
      </c>
      <c r="G310" t="str" cm="1">
        <f t="array" ref="G310">_xlfn.TEXTJOIN("", TRUE, IF(ISNUMBER(SEARCH($K$1010:$K$1054, C310)), $K$1010:$K$1054, ""))</f>
        <v>Chobani</v>
      </c>
      <c r="H310" t="str">
        <f t="shared" si="17"/>
        <v>Yogurt</v>
      </c>
      <c r="I310" t="str">
        <f t="shared" si="18"/>
        <v>Dairy</v>
      </c>
      <c r="J310" s="4">
        <v>6.99</v>
      </c>
      <c r="K310">
        <f>Table1[[#This Row],[Target_product_price]]/Table1[[#This Row],[product_price_per_oz]]</f>
        <v>0.24964285714285714</v>
      </c>
    </row>
    <row r="311" spans="1:11" x14ac:dyDescent="0.2">
      <c r="A311" t="s">
        <v>843</v>
      </c>
      <c r="B311" t="s">
        <v>844</v>
      </c>
      <c r="C311" t="s">
        <v>845</v>
      </c>
      <c r="D311" t="str">
        <f>SUBSTITUTE(Table1[[#This Row],[Target_product_name]], "oz", " oz")</f>
        <v>Chobani LowFat Greek Yogurt Drink Strawberry Banana - 28 fl  oz/4ct</v>
      </c>
      <c r="E311" t="s">
        <v>2868</v>
      </c>
      <c r="F311" t="str">
        <f>LEFT(Table1[[#This Row],[Target_product_quantity]], FIND("o", Table1[[#This Row],[Target_product_quantity]])-1)</f>
        <v>28</v>
      </c>
      <c r="G311" t="str" cm="1">
        <f t="array" ref="G311">_xlfn.TEXTJOIN("", TRUE, IF(ISNUMBER(SEARCH($K$1010:$K$1054, C311)), $K$1010:$K$1054, ""))</f>
        <v>Chobani</v>
      </c>
      <c r="H311" t="str">
        <f t="shared" si="17"/>
        <v>Yogurt</v>
      </c>
      <c r="I311" t="str">
        <f t="shared" si="18"/>
        <v>Dairy</v>
      </c>
      <c r="J311" s="4">
        <v>6.99</v>
      </c>
      <c r="K311">
        <f>Table1[[#This Row],[Target_product_price]]/Table1[[#This Row],[product_price_per_oz]]</f>
        <v>0.24964285714285714</v>
      </c>
    </row>
    <row r="312" spans="1:11" x14ac:dyDescent="0.2">
      <c r="A312" t="s">
        <v>846</v>
      </c>
      <c r="B312" t="s">
        <v>847</v>
      </c>
      <c r="C312" t="s">
        <v>848</v>
      </c>
      <c r="D312" t="str">
        <f>SUBSTITUTE(Table1[[#This Row],[Target_product_name]], "oz", " oz")</f>
        <v>Chobani Mango Low Fat Greek Yogurt Drink - 7 fl  oz</v>
      </c>
      <c r="E312" t="str">
        <f t="shared" si="20"/>
        <v>7 fl oz</v>
      </c>
      <c r="F312" t="str">
        <f>LEFT(Table1[[#This Row],[Target_product_quantity]], FIND("o", Table1[[#This Row],[Target_product_quantity]])-1)</f>
        <v xml:space="preserve">7 fl </v>
      </c>
      <c r="G312" t="str" cm="1">
        <f t="array" ref="G312">_xlfn.TEXTJOIN("", TRUE, IF(ISNUMBER(SEARCH($K$1010:$K$1054, C312)), $K$1010:$K$1054, ""))</f>
        <v>Chobani</v>
      </c>
      <c r="H312" t="str">
        <f t="shared" si="17"/>
        <v>Yogurt</v>
      </c>
      <c r="I312" t="str">
        <f t="shared" si="18"/>
        <v>Dairy</v>
      </c>
      <c r="J312" s="4">
        <v>1.89</v>
      </c>
      <c r="K312" t="e">
        <f>Table1[[#This Row],[Target_product_price]]/Table1[[#This Row],[product_price_per_oz]]</f>
        <v>#VALUE!</v>
      </c>
    </row>
    <row r="313" spans="1:11" x14ac:dyDescent="0.2">
      <c r="A313" t="s">
        <v>849</v>
      </c>
      <c r="B313" t="s">
        <v>850</v>
      </c>
      <c r="C313" t="s">
        <v>851</v>
      </c>
      <c r="D313" t="str">
        <f>SUBSTITUTE(Table1[[#This Row],[Target_product_name]], "oz", " oz")</f>
        <v>Chobani Mixed Berries Greek Style Yogurt Drink - 7 fl  oz</v>
      </c>
      <c r="E313" t="str">
        <f t="shared" si="20"/>
        <v>7 fl oz</v>
      </c>
      <c r="F313" t="str">
        <f>LEFT(Table1[[#This Row],[Target_product_quantity]], FIND("o", Table1[[#This Row],[Target_product_quantity]])-1)</f>
        <v xml:space="preserve">7 fl </v>
      </c>
      <c r="G313" t="str" cm="1">
        <f t="array" ref="G313">_xlfn.TEXTJOIN("", TRUE, IF(ISNUMBER(SEARCH($K$1010:$K$1054, C313)), $K$1010:$K$1054, ""))</f>
        <v>Chobani</v>
      </c>
      <c r="H313" t="str">
        <f t="shared" si="17"/>
        <v>Yogurt</v>
      </c>
      <c r="I313" t="str">
        <f t="shared" si="18"/>
        <v>Dairy</v>
      </c>
      <c r="J313" s="4">
        <v>1.89</v>
      </c>
      <c r="K313" t="e">
        <f>Table1[[#This Row],[Target_product_price]]/Table1[[#This Row],[product_price_per_oz]]</f>
        <v>#VALUE!</v>
      </c>
    </row>
    <row r="314" spans="1:11" x14ac:dyDescent="0.2">
      <c r="A314" t="s">
        <v>849</v>
      </c>
      <c r="B314" t="s">
        <v>850</v>
      </c>
      <c r="C314" t="s">
        <v>851</v>
      </c>
      <c r="D314" t="str">
        <f>SUBSTITUTE(Table1[[#This Row],[Target_product_name]], "oz", " oz")</f>
        <v>Chobani Mixed Berries Greek Style Yogurt Drink - 7 fl  oz</v>
      </c>
      <c r="E314" t="str">
        <f t="shared" si="20"/>
        <v>7 fl oz</v>
      </c>
      <c r="F314" t="str">
        <f>LEFT(Table1[[#This Row],[Target_product_quantity]], FIND("o", Table1[[#This Row],[Target_product_quantity]])-1)</f>
        <v xml:space="preserve">7 fl </v>
      </c>
      <c r="G314" t="str" cm="1">
        <f t="array" ref="G314">_xlfn.TEXTJOIN("", TRUE, IF(ISNUMBER(SEARCH($K$1010:$K$1054, C314)), $K$1010:$K$1054, ""))</f>
        <v>Chobani</v>
      </c>
      <c r="H314" t="str">
        <f t="shared" si="17"/>
        <v>Yogurt</v>
      </c>
      <c r="I314" t="str">
        <f t="shared" si="18"/>
        <v>Dairy</v>
      </c>
      <c r="J314" s="4">
        <v>1.89</v>
      </c>
      <c r="K314" t="e">
        <f>Table1[[#This Row],[Target_product_price]]/Table1[[#This Row],[product_price_per_oz]]</f>
        <v>#VALUE!</v>
      </c>
    </row>
    <row r="315" spans="1:11" x14ac:dyDescent="0.2">
      <c r="A315" t="s">
        <v>852</v>
      </c>
      <c r="B315" t="s">
        <v>853</v>
      </c>
      <c r="C315" t="s">
        <v>854</v>
      </c>
      <c r="D315" t="str">
        <f>SUBSTITUTE(Table1[[#This Row],[Target_product_name]], "oz", " oz")</f>
        <v>Chobani Mixed Berry on the Bottom Low Fat Vanilla Greek Yogurt - 4ct/5.3 oz Cups</v>
      </c>
      <c r="E315" t="s">
        <v>3003</v>
      </c>
      <c r="F315" t="str">
        <f>LEFT(Table1[[#This Row],[Target_product_quantity]], FIND("o", Table1[[#This Row],[Target_product_quantity]])-1)</f>
        <v>21.2</v>
      </c>
      <c r="G315" t="str" cm="1">
        <f t="array" ref="G315">_xlfn.TEXTJOIN("", TRUE, IF(ISNUMBER(SEARCH($K$1010:$K$1054, C315)), $K$1010:$K$1054, ""))</f>
        <v>Chobani</v>
      </c>
      <c r="H315" t="str">
        <f t="shared" si="17"/>
        <v>Yogurt</v>
      </c>
      <c r="I315" t="str">
        <f t="shared" si="18"/>
        <v>Dairy</v>
      </c>
      <c r="J315" s="4">
        <v>4.6900000000000004</v>
      </c>
      <c r="K315">
        <f>Table1[[#This Row],[Target_product_price]]/Table1[[#This Row],[product_price_per_oz]]</f>
        <v>0.22122641509433966</v>
      </c>
    </row>
    <row r="316" spans="1:11" x14ac:dyDescent="0.2">
      <c r="A316" t="s">
        <v>855</v>
      </c>
      <c r="B316" t="s">
        <v>856</v>
      </c>
      <c r="C316" t="s">
        <v>857</v>
      </c>
      <c r="D316" t="str">
        <f>SUBSTITUTE(Table1[[#This Row],[Target_product_name]], "oz", " oz")</f>
        <v>Chobani Monterey Strawberry Low Fat Blended Greek Yogurt - 5.3 oz</v>
      </c>
      <c r="E316" t="str">
        <f t="shared" si="20"/>
        <v>5.3oz</v>
      </c>
      <c r="F316" t="str">
        <f>LEFT(Table1[[#This Row],[Target_product_quantity]], FIND("o", Table1[[#This Row],[Target_product_quantity]])-1)</f>
        <v>5.3</v>
      </c>
      <c r="G316" t="str" cm="1">
        <f t="array" ref="G316">_xlfn.TEXTJOIN("", TRUE, IF(ISNUMBER(SEARCH($K$1010:$K$1054, C316)), $K$1010:$K$1054, ""))</f>
        <v>Chobani</v>
      </c>
      <c r="H316" t="str">
        <f t="shared" si="17"/>
        <v>Yogurt</v>
      </c>
      <c r="I316" t="str">
        <f t="shared" si="18"/>
        <v>Dairy</v>
      </c>
      <c r="J316" s="4">
        <v>1.29</v>
      </c>
      <c r="K316">
        <f>Table1[[#This Row],[Target_product_price]]/Table1[[#This Row],[product_price_per_oz]]</f>
        <v>0.24339622641509434</v>
      </c>
    </row>
    <row r="317" spans="1:11" x14ac:dyDescent="0.2">
      <c r="A317" t="s">
        <v>858</v>
      </c>
      <c r="B317" t="s">
        <v>859</v>
      </c>
      <c r="C317" t="s">
        <v>860</v>
      </c>
      <c r="D317" t="str">
        <f>SUBSTITUTE(Table1[[#This Row],[Target_product_name]], "oz", " oz")</f>
        <v>Chobani Peach Greek Yogurt Drink - 7 fl  oz</v>
      </c>
      <c r="E317" t="s">
        <v>2991</v>
      </c>
      <c r="F317" t="str">
        <f>LEFT(Table1[[#This Row],[Target_product_quantity]], FIND("o", Table1[[#This Row],[Target_product_quantity]])-1)</f>
        <v>7</v>
      </c>
      <c r="G317" t="str" cm="1">
        <f t="array" ref="G317">_xlfn.TEXTJOIN("", TRUE, IF(ISNUMBER(SEARCH($K$1010:$K$1054, C317)), $K$1010:$K$1054, ""))</f>
        <v>Chobani</v>
      </c>
      <c r="H317" t="str">
        <f t="shared" si="17"/>
        <v>Yogurt</v>
      </c>
      <c r="I317" t="str">
        <f t="shared" si="18"/>
        <v>Dairy</v>
      </c>
      <c r="J317" s="4">
        <v>1.89</v>
      </c>
      <c r="K317">
        <f>Table1[[#This Row],[Target_product_price]]/Table1[[#This Row],[product_price_per_oz]]</f>
        <v>0.26999999999999996</v>
      </c>
    </row>
    <row r="318" spans="1:11" x14ac:dyDescent="0.2">
      <c r="A318" t="s">
        <v>861</v>
      </c>
      <c r="B318" t="s">
        <v>862</v>
      </c>
      <c r="C318" t="s">
        <v>863</v>
      </c>
      <c r="D318" t="str">
        <f>SUBSTITUTE(Table1[[#This Row],[Target_product_name]], "oz", " oz")</f>
        <v>Chobani Peach on the Bottom Nonfat Greek Yogurt - 4ct/5.3 oz Cups</v>
      </c>
      <c r="E318" t="s">
        <v>3003</v>
      </c>
      <c r="F318" t="str">
        <f>LEFT(Table1[[#This Row],[Target_product_quantity]], FIND("o", Table1[[#This Row],[Target_product_quantity]])-1)</f>
        <v>21.2</v>
      </c>
      <c r="G318" t="str" cm="1">
        <f t="array" ref="G318">_xlfn.TEXTJOIN("", TRUE, IF(ISNUMBER(SEARCH($K$1010:$K$1054, C318)), $K$1010:$K$1054, ""))</f>
        <v>Chobani</v>
      </c>
      <c r="H318" t="str">
        <f t="shared" si="17"/>
        <v>Yogurt</v>
      </c>
      <c r="I318" t="str">
        <f t="shared" si="18"/>
        <v>Dairy</v>
      </c>
      <c r="J318" s="4">
        <v>4.6900000000000004</v>
      </c>
      <c r="K318">
        <f>Table1[[#This Row],[Target_product_price]]/Table1[[#This Row],[product_price_per_oz]]</f>
        <v>0.22122641509433966</v>
      </c>
    </row>
    <row r="319" spans="1:11" x14ac:dyDescent="0.2">
      <c r="A319" t="s">
        <v>864</v>
      </c>
      <c r="B319" t="s">
        <v>865</v>
      </c>
      <c r="C319" t="s">
        <v>866</v>
      </c>
      <c r="D319" t="str">
        <f>SUBSTITUTE(Table1[[#This Row],[Target_product_name]], "oz", " oz")</f>
        <v>Chobani Plain Nonfat Greek Yogurt - 32 oz</v>
      </c>
      <c r="E319" t="str">
        <f t="shared" si="20"/>
        <v>32oz</v>
      </c>
      <c r="F319" t="str">
        <f>LEFT(Table1[[#This Row],[Target_product_quantity]], FIND("o", Table1[[#This Row],[Target_product_quantity]])-1)</f>
        <v>32</v>
      </c>
      <c r="G319" t="str" cm="1">
        <f t="array" ref="G319">_xlfn.TEXTJOIN("", TRUE, IF(ISNUMBER(SEARCH($K$1010:$K$1054, C319)), $K$1010:$K$1054, ""))</f>
        <v>Chobani</v>
      </c>
      <c r="H319" t="str">
        <f t="shared" si="17"/>
        <v>Yogurt</v>
      </c>
      <c r="I319" t="str">
        <f t="shared" si="18"/>
        <v>Dairy</v>
      </c>
      <c r="J319" s="4">
        <v>5.59</v>
      </c>
      <c r="K319">
        <f>Table1[[#This Row],[Target_product_price]]/Table1[[#This Row],[product_price_per_oz]]</f>
        <v>0.1746875</v>
      </c>
    </row>
    <row r="320" spans="1:11" x14ac:dyDescent="0.2">
      <c r="A320" t="s">
        <v>867</v>
      </c>
      <c r="B320" t="s">
        <v>868</v>
      </c>
      <c r="C320" t="s">
        <v>869</v>
      </c>
      <c r="D320" t="str">
        <f>SUBSTITUTE(Table1[[#This Row],[Target_product_name]], "oz", " oz")</f>
        <v>Chobani Plain Plant Based Oatmilk - 52 fl  oz</v>
      </c>
      <c r="E320" t="s">
        <v>3039</v>
      </c>
      <c r="F320" t="str">
        <f>LEFT(Table1[[#This Row],[Target_product_quantity]], FIND("o", Table1[[#This Row],[Target_product_quantity]])-1)</f>
        <v>52</v>
      </c>
      <c r="G320" t="str" cm="1">
        <f t="array" ref="G320">_xlfn.TEXTJOIN("", TRUE, IF(ISNUMBER(SEARCH($K$1010:$K$1054, C320)), $K$1010:$K$1054, ""))</f>
        <v>Chobani</v>
      </c>
      <c r="H320" t="str">
        <f t="shared" si="17"/>
        <v>Yogurt</v>
      </c>
      <c r="I320" t="str">
        <f t="shared" si="18"/>
        <v>Dairy</v>
      </c>
      <c r="J320" s="4">
        <v>4.8899999999999997</v>
      </c>
      <c r="K320">
        <f>Table1[[#This Row],[Target_product_price]]/Table1[[#This Row],[product_price_per_oz]]</f>
        <v>9.4038461538461529E-2</v>
      </c>
    </row>
    <row r="321" spans="1:11" x14ac:dyDescent="0.2">
      <c r="A321" t="s">
        <v>870</v>
      </c>
      <c r="B321" t="s">
        <v>871</v>
      </c>
      <c r="C321" t="s">
        <v>872</v>
      </c>
      <c r="D321" t="str">
        <f>SUBSTITUTE(Table1[[#This Row],[Target_product_name]], "oz", " oz")</f>
        <v>Chobani Strawberry Banana Greek Style Yogurt Drink - 7 fl  oz</v>
      </c>
      <c r="E321" t="s">
        <v>2991</v>
      </c>
      <c r="F321" t="str">
        <f>LEFT(Table1[[#This Row],[Target_product_quantity]], FIND("o", Table1[[#This Row],[Target_product_quantity]])-1)</f>
        <v>7</v>
      </c>
      <c r="G321" t="str" cm="1">
        <f t="array" ref="G321">_xlfn.TEXTJOIN("", TRUE, IF(ISNUMBER(SEARCH($K$1010:$K$1054, C321)), $K$1010:$K$1054, ""))</f>
        <v>Chobani</v>
      </c>
      <c r="H321" t="str">
        <f t="shared" si="17"/>
        <v>Yogurt</v>
      </c>
      <c r="I321" t="str">
        <f t="shared" si="18"/>
        <v>Dairy</v>
      </c>
      <c r="J321" s="4">
        <v>1.89</v>
      </c>
      <c r="K321">
        <f>Table1[[#This Row],[Target_product_price]]/Table1[[#This Row],[product_price_per_oz]]</f>
        <v>0.26999999999999996</v>
      </c>
    </row>
    <row r="322" spans="1:11" x14ac:dyDescent="0.2">
      <c r="A322" t="s">
        <v>870</v>
      </c>
      <c r="B322" t="s">
        <v>871</v>
      </c>
      <c r="C322" t="s">
        <v>872</v>
      </c>
      <c r="D322" t="str">
        <f>SUBSTITUTE(Table1[[#This Row],[Target_product_name]], "oz", " oz")</f>
        <v>Chobani Strawberry Banana Greek Style Yogurt Drink - 7 fl  oz</v>
      </c>
      <c r="E322" t="s">
        <v>2991</v>
      </c>
      <c r="F322" t="str">
        <f>LEFT(Table1[[#This Row],[Target_product_quantity]], FIND("o", Table1[[#This Row],[Target_product_quantity]])-1)</f>
        <v>7</v>
      </c>
      <c r="G322" t="str" cm="1">
        <f t="array" ref="G322">_xlfn.TEXTJOIN("", TRUE, IF(ISNUMBER(SEARCH($K$1010:$K$1054, C322)), $K$1010:$K$1054, ""))</f>
        <v>Chobani</v>
      </c>
      <c r="H322" t="str">
        <f t="shared" ref="H322:H385" si="21">IF(OR(G322="Mission",G322="Nature's Own",G322="Sara Lee"),"Bread",
IF(OR(G322="Del Monte",G322="Dole",G322="Mott's"),"Canned Fruit",
IF(OR(G322="Goya",G322="Hunt's",G322="Birds Eye"),"Canned Vegetables",
IF(OR(G322="Fairlife",G322="Horizon Organic",G322="Lactaid",G322="Ben &amp; Jerry's"),"Milk",
IF(OR(G322="BelGioioso",G322="Kraft",G322="Philadelphia"),"Cheese",
IF(OR(G322="Chobani",G322="Oikos",G322="Light + Fit"),"Yogurt",
IF(OR(G322="Barilla",G322="Annie's",G322="Rao's Homemade"),"Pasta",
IF(OR(G322="Hershey's",G322="Lay's",G322="Totino's",G322="Cheerios",G322="Jif",G322="Skippy",G322="Nature Valley",G322="Oreo",G322="DiGiorno",G322="Eggo"),"Prepared Food",
IF(OR(G322="Ben's Original",G322="Lundberg",G322="Quaker"),"Rice",
IF(OR(G322="Bush's",G322="Hillshire Farm",G322="Oscar Mayer",G322="SPAM"),"Protein",
IF(OR(G322="Starbucks",G322="Sparkling Ice",G322="Coca-Cola",G322="San Pellegrino",G322="Gatorade",G322="Arizona"),"Beverages",
"Other")))))))))))</f>
        <v>Yogurt</v>
      </c>
      <c r="I322" t="str">
        <f t="shared" ref="I322:I385" si="22">IF(OR(H322="Bread",H322="Rice",H322="Pasta"), "Grain",
IF(OR(H322="Milk",H322="Cheese",H322="Yogurt"), "Dairy",
IF(OR(H322="Canned Fruit",H322="Canned Vegetables"), "Fruit &amp; Vegetables",
IF(H322="Prepared Food", "Prepared Food",
IF(H322="Protein", "Protein",
IF(H322="Beverages", "Beverages",
"Other"))))))</f>
        <v>Dairy</v>
      </c>
      <c r="J322" s="4">
        <v>1.89</v>
      </c>
      <c r="K322">
        <f>Table1[[#This Row],[Target_product_price]]/Table1[[#This Row],[product_price_per_oz]]</f>
        <v>0.26999999999999996</v>
      </c>
    </row>
    <row r="323" spans="1:11" x14ac:dyDescent="0.2">
      <c r="A323" t="s">
        <v>873</v>
      </c>
      <c r="B323" t="s">
        <v>874</v>
      </c>
      <c r="C323" t="s">
        <v>875</v>
      </c>
      <c r="D323" t="str">
        <f>SUBSTITUTE(Table1[[#This Row],[Target_product_name]], "oz", " oz")</f>
        <v>Chobani Strawberry Banana on the Bottom Low Fat Greek Yogurt - 4ct/5.3 oz Cups</v>
      </c>
      <c r="E323" t="s">
        <v>3003</v>
      </c>
      <c r="F323" t="str">
        <f>LEFT(Table1[[#This Row],[Target_product_quantity]], FIND("o", Table1[[#This Row],[Target_product_quantity]])-1)</f>
        <v>21.2</v>
      </c>
      <c r="G323" t="str" cm="1">
        <f t="array" ref="G323">_xlfn.TEXTJOIN("", TRUE, IF(ISNUMBER(SEARCH($K$1010:$K$1054, C323)), $K$1010:$K$1054, ""))</f>
        <v>Chobani</v>
      </c>
      <c r="H323" t="str">
        <f t="shared" si="21"/>
        <v>Yogurt</v>
      </c>
      <c r="I323" t="str">
        <f t="shared" si="22"/>
        <v>Dairy</v>
      </c>
      <c r="J323" s="4">
        <v>4.59</v>
      </c>
      <c r="K323">
        <f>Table1[[#This Row],[Target_product_price]]/Table1[[#This Row],[product_price_per_oz]]</f>
        <v>0.21650943396226416</v>
      </c>
    </row>
    <row r="324" spans="1:11" x14ac:dyDescent="0.2">
      <c r="A324" t="s">
        <v>876</v>
      </c>
      <c r="B324" t="s">
        <v>877</v>
      </c>
      <c r="C324" t="s">
        <v>878</v>
      </c>
      <c r="D324" t="str">
        <f>SUBSTITUTE(Table1[[#This Row],[Target_product_name]], "oz", " oz")</f>
        <v>Chobani Strawberry Blended Nonfat Greek Yogurt - 32 oz</v>
      </c>
      <c r="E324" t="str">
        <f t="shared" ref="E324:E339" si="23">TRIM(RIGHT(C324, LEN(C324) - FIND("-", C324)))</f>
        <v>32oz</v>
      </c>
      <c r="F324" t="str">
        <f>LEFT(Table1[[#This Row],[Target_product_quantity]], FIND("o", Table1[[#This Row],[Target_product_quantity]])-1)</f>
        <v>32</v>
      </c>
      <c r="G324" t="str" cm="1">
        <f t="array" ref="G324">_xlfn.TEXTJOIN("", TRUE, IF(ISNUMBER(SEARCH($K$1010:$K$1054, C324)), $K$1010:$K$1054, ""))</f>
        <v>Chobani</v>
      </c>
      <c r="H324" t="str">
        <f t="shared" si="21"/>
        <v>Yogurt</v>
      </c>
      <c r="I324" t="str">
        <f t="shared" si="22"/>
        <v>Dairy</v>
      </c>
      <c r="J324" s="4">
        <v>5.59</v>
      </c>
      <c r="K324">
        <f>Table1[[#This Row],[Target_product_price]]/Table1[[#This Row],[product_price_per_oz]]</f>
        <v>0.1746875</v>
      </c>
    </row>
    <row r="325" spans="1:11" x14ac:dyDescent="0.2">
      <c r="A325" t="s">
        <v>879</v>
      </c>
      <c r="B325" t="s">
        <v>880</v>
      </c>
      <c r="C325" t="s">
        <v>881</v>
      </c>
      <c r="D325" t="str">
        <f>SUBSTITUTE(Table1[[#This Row],[Target_product_name]], "oz", " oz")</f>
        <v>Chobani Strawberry Greek Yogurt Drink - 7 fl  oz</v>
      </c>
      <c r="E325" t="s">
        <v>2991</v>
      </c>
      <c r="F325" t="str">
        <f>LEFT(Table1[[#This Row],[Target_product_quantity]], FIND("o", Table1[[#This Row],[Target_product_quantity]])-1)</f>
        <v>7</v>
      </c>
      <c r="G325" t="str" cm="1">
        <f t="array" ref="G325">_xlfn.TEXTJOIN("", TRUE, IF(ISNUMBER(SEARCH($K$1010:$K$1054, C325)), $K$1010:$K$1054, ""))</f>
        <v>Chobani</v>
      </c>
      <c r="H325" t="str">
        <f t="shared" si="21"/>
        <v>Yogurt</v>
      </c>
      <c r="I325" t="str">
        <f t="shared" si="22"/>
        <v>Dairy</v>
      </c>
      <c r="J325" s="4">
        <v>1.89</v>
      </c>
      <c r="K325">
        <f>Table1[[#This Row],[Target_product_price]]/Table1[[#This Row],[product_price_per_oz]]</f>
        <v>0.26999999999999996</v>
      </c>
    </row>
    <row r="326" spans="1:11" x14ac:dyDescent="0.2">
      <c r="A326" t="s">
        <v>882</v>
      </c>
      <c r="B326" t="s">
        <v>883</v>
      </c>
      <c r="C326" t="s">
        <v>884</v>
      </c>
      <c r="D326" t="str">
        <f>SUBSTITUTE(Table1[[#This Row],[Target_product_name]], "oz", " oz")</f>
        <v>Chobani Strawberry on the Bottom Nonfat Greek Yogurt - 4ct/5.3 oz Cups</v>
      </c>
      <c r="E326" t="s">
        <v>3003</v>
      </c>
      <c r="F326" t="str">
        <f>LEFT(Table1[[#This Row],[Target_product_quantity]], FIND("o", Table1[[#This Row],[Target_product_quantity]])-1)</f>
        <v>21.2</v>
      </c>
      <c r="G326" t="str" cm="1">
        <f t="array" ref="G326">_xlfn.TEXTJOIN("", TRUE, IF(ISNUMBER(SEARCH($K$1010:$K$1054, C326)), $K$1010:$K$1054, ""))</f>
        <v>Chobani</v>
      </c>
      <c r="H326" t="str">
        <f t="shared" si="21"/>
        <v>Yogurt</v>
      </c>
      <c r="I326" t="str">
        <f t="shared" si="22"/>
        <v>Dairy</v>
      </c>
      <c r="J326" s="4">
        <v>4.6900000000000004</v>
      </c>
      <c r="K326">
        <f>Table1[[#This Row],[Target_product_price]]/Table1[[#This Row],[product_price_per_oz]]</f>
        <v>0.22122641509433966</v>
      </c>
    </row>
    <row r="327" spans="1:11" x14ac:dyDescent="0.2">
      <c r="A327" t="s">
        <v>885</v>
      </c>
      <c r="B327" t="s">
        <v>886</v>
      </c>
      <c r="C327" t="s">
        <v>887</v>
      </c>
      <c r="D327" t="str">
        <f>SUBSTITUTE(Table1[[#This Row],[Target_product_name]], "oz", " oz")</f>
        <v>Chobani Vanilla Blended Non Fat Greek Yogurt - 4ct/5.3 oz Cups</v>
      </c>
      <c r="E327" t="s">
        <v>3003</v>
      </c>
      <c r="F327" t="str">
        <f>LEFT(Table1[[#This Row],[Target_product_quantity]], FIND("o", Table1[[#This Row],[Target_product_quantity]])-1)</f>
        <v>21.2</v>
      </c>
      <c r="G327" t="str" cm="1">
        <f t="array" ref="G327">_xlfn.TEXTJOIN("", TRUE, IF(ISNUMBER(SEARCH($K$1010:$K$1054, C327)), $K$1010:$K$1054, ""))</f>
        <v>Chobani</v>
      </c>
      <c r="H327" t="str">
        <f t="shared" si="21"/>
        <v>Yogurt</v>
      </c>
      <c r="I327" t="str">
        <f t="shared" si="22"/>
        <v>Dairy</v>
      </c>
      <c r="J327" s="4">
        <v>4.6900000000000004</v>
      </c>
      <c r="K327">
        <f>Table1[[#This Row],[Target_product_price]]/Table1[[#This Row],[product_price_per_oz]]</f>
        <v>0.22122641509433966</v>
      </c>
    </row>
    <row r="328" spans="1:11" x14ac:dyDescent="0.2">
      <c r="A328" t="s">
        <v>888</v>
      </c>
      <c r="B328" t="s">
        <v>889</v>
      </c>
      <c r="C328" t="s">
        <v>890</v>
      </c>
      <c r="D328" t="str">
        <f>SUBSTITUTE(Table1[[#This Row],[Target_product_name]], "oz", " oz")</f>
        <v>Chobani Vanilla Blended Nonfat Greek Yogurt - 32 oz</v>
      </c>
      <c r="E328" t="str">
        <f t="shared" si="23"/>
        <v>32oz</v>
      </c>
      <c r="F328" t="str">
        <f>LEFT(Table1[[#This Row],[Target_product_quantity]], FIND("o", Table1[[#This Row],[Target_product_quantity]])-1)</f>
        <v>32</v>
      </c>
      <c r="G328" t="str" cm="1">
        <f t="array" ref="G328">_xlfn.TEXTJOIN("", TRUE, IF(ISNUMBER(SEARCH($K$1010:$K$1054, C328)), $K$1010:$K$1054, ""))</f>
        <v>Chobani</v>
      </c>
      <c r="H328" t="str">
        <f t="shared" si="21"/>
        <v>Yogurt</v>
      </c>
      <c r="I328" t="str">
        <f t="shared" si="22"/>
        <v>Dairy</v>
      </c>
      <c r="J328" s="4">
        <v>5.59</v>
      </c>
      <c r="K328">
        <f>Table1[[#This Row],[Target_product_price]]/Table1[[#This Row],[product_price_per_oz]]</f>
        <v>0.1746875</v>
      </c>
    </row>
    <row r="329" spans="1:11" x14ac:dyDescent="0.2">
      <c r="A329" t="s">
        <v>891</v>
      </c>
      <c r="B329" t="s">
        <v>892</v>
      </c>
      <c r="C329" t="s">
        <v>893</v>
      </c>
      <c r="D329" t="str">
        <f>SUBSTITUTE(Table1[[#This Row],[Target_product_name]], "oz", " oz")</f>
        <v>Chobani Vanilla Plant Based Oatmilk - 52 fl  oz</v>
      </c>
      <c r="E329" t="s">
        <v>3039</v>
      </c>
      <c r="F329" t="str">
        <f>LEFT(Table1[[#This Row],[Target_product_quantity]], FIND("o", Table1[[#This Row],[Target_product_quantity]])-1)</f>
        <v>52</v>
      </c>
      <c r="G329" t="str" cm="1">
        <f t="array" ref="G329">_xlfn.TEXTJOIN("", TRUE, IF(ISNUMBER(SEARCH($K$1010:$K$1054, C329)), $K$1010:$K$1054, ""))</f>
        <v>Chobani</v>
      </c>
      <c r="H329" t="str">
        <f t="shared" si="21"/>
        <v>Yogurt</v>
      </c>
      <c r="I329" t="str">
        <f t="shared" si="22"/>
        <v>Dairy</v>
      </c>
      <c r="J329" s="4">
        <v>4.99</v>
      </c>
      <c r="K329">
        <f>Table1[[#This Row],[Target_product_price]]/Table1[[#This Row],[product_price_per_oz]]</f>
        <v>9.5961538461538459E-2</v>
      </c>
    </row>
    <row r="330" spans="1:11" x14ac:dyDescent="0.2">
      <c r="A330" t="s">
        <v>894</v>
      </c>
      <c r="B330" t="s">
        <v>895</v>
      </c>
      <c r="C330" t="s">
        <v>896</v>
      </c>
      <c r="D330" t="str">
        <f>SUBSTITUTE(Table1[[#This Row],[Target_product_name]], "oz", " oz")</f>
        <v>Chobani Whole Milk Plain Greek Yogurt - 32 oz</v>
      </c>
      <c r="E330" t="str">
        <f t="shared" si="23"/>
        <v>32oz</v>
      </c>
      <c r="F330" t="str">
        <f>LEFT(Table1[[#This Row],[Target_product_quantity]], FIND("o", Table1[[#This Row],[Target_product_quantity]])-1)</f>
        <v>32</v>
      </c>
      <c r="G330" t="str" cm="1">
        <f t="array" ref="G330">_xlfn.TEXTJOIN("", TRUE, IF(ISNUMBER(SEARCH($K$1010:$K$1054, C330)), $K$1010:$K$1054, ""))</f>
        <v>Chobani</v>
      </c>
      <c r="H330" t="str">
        <f t="shared" si="21"/>
        <v>Yogurt</v>
      </c>
      <c r="I330" t="str">
        <f t="shared" si="22"/>
        <v>Dairy</v>
      </c>
      <c r="J330" s="4">
        <v>5.99</v>
      </c>
      <c r="K330">
        <f>Table1[[#This Row],[Target_product_price]]/Table1[[#This Row],[product_price_per_oz]]</f>
        <v>0.18718750000000001</v>
      </c>
    </row>
    <row r="331" spans="1:11" x14ac:dyDescent="0.2">
      <c r="A331" t="s">
        <v>897</v>
      </c>
      <c r="B331" t="s">
        <v>898</v>
      </c>
      <c r="C331" t="s">
        <v>899</v>
      </c>
      <c r="D331" t="str">
        <f>SUBSTITUTE(Table1[[#This Row],[Target_product_name]], "oz", " oz")</f>
        <v>Chobani Zero Sugar Cookies &amp; Cream Yogurt Drink - 7 fl  oz</v>
      </c>
      <c r="E331" t="s">
        <v>2991</v>
      </c>
      <c r="F331" t="str">
        <f>LEFT(Table1[[#This Row],[Target_product_quantity]], FIND("o", Table1[[#This Row],[Target_product_quantity]])-1)</f>
        <v>7</v>
      </c>
      <c r="G331" t="str" cm="1">
        <f t="array" ref="G331">_xlfn.TEXTJOIN("", TRUE, IF(ISNUMBER(SEARCH($K$1010:$K$1054, C331)), $K$1010:$K$1054, ""))</f>
        <v>Chobani</v>
      </c>
      <c r="H331" t="str">
        <f t="shared" si="21"/>
        <v>Yogurt</v>
      </c>
      <c r="I331" t="str">
        <f t="shared" si="22"/>
        <v>Dairy</v>
      </c>
      <c r="J331" s="4">
        <v>1.99</v>
      </c>
      <c r="K331">
        <f>Table1[[#This Row],[Target_product_price]]/Table1[[#This Row],[product_price_per_oz]]</f>
        <v>0.28428571428571431</v>
      </c>
    </row>
    <row r="332" spans="1:11" x14ac:dyDescent="0.2">
      <c r="A332" t="s">
        <v>900</v>
      </c>
      <c r="B332" t="s">
        <v>901</v>
      </c>
      <c r="C332" t="s">
        <v>902</v>
      </c>
      <c r="D332" t="str">
        <f>SUBSTITUTE(Table1[[#This Row],[Target_product_name]], "oz", " oz")</f>
        <v>Chobani Zero Sugar Milk &amp; Cookies Greek Yogurt - 4ct/5.3 oz</v>
      </c>
      <c r="E332" t="s">
        <v>3003</v>
      </c>
      <c r="F332" t="str">
        <f>LEFT(Table1[[#This Row],[Target_product_quantity]], FIND("o", Table1[[#This Row],[Target_product_quantity]])-1)</f>
        <v>21.2</v>
      </c>
      <c r="G332" t="str" cm="1">
        <f t="array" ref="G332">_xlfn.TEXTJOIN("", TRUE, IF(ISNUMBER(SEARCH($K$1010:$K$1054, C332)), $K$1010:$K$1054, ""))</f>
        <v>Chobani</v>
      </c>
      <c r="H332" t="str">
        <f t="shared" si="21"/>
        <v>Yogurt</v>
      </c>
      <c r="I332" t="str">
        <f t="shared" si="22"/>
        <v>Dairy</v>
      </c>
      <c r="J332" s="4">
        <v>5.19</v>
      </c>
      <c r="K332">
        <f>Table1[[#This Row],[Target_product_price]]/Table1[[#This Row],[product_price_per_oz]]</f>
        <v>0.24481132075471701</v>
      </c>
    </row>
    <row r="333" spans="1:11" x14ac:dyDescent="0.2">
      <c r="A333" t="s">
        <v>903</v>
      </c>
      <c r="B333" t="s">
        <v>904</v>
      </c>
      <c r="C333" t="s">
        <v>905</v>
      </c>
      <c r="D333" t="str">
        <f>SUBSTITUTE(Table1[[#This Row],[Target_product_name]], "oz", " oz")</f>
        <v>Chobani Zero Sugar Mixed Berry Greek Yogurt - 4ct/5.3 oz Cups</v>
      </c>
      <c r="E333" t="s">
        <v>3003</v>
      </c>
      <c r="F333" t="str">
        <f>LEFT(Table1[[#This Row],[Target_product_quantity]], FIND("o", Table1[[#This Row],[Target_product_quantity]])-1)</f>
        <v>21.2</v>
      </c>
      <c r="G333" t="str" cm="1">
        <f t="array" ref="G333">_xlfn.TEXTJOIN("", TRUE, IF(ISNUMBER(SEARCH($K$1010:$K$1054, C333)), $K$1010:$K$1054, ""))</f>
        <v>Chobani</v>
      </c>
      <c r="H333" t="str">
        <f t="shared" si="21"/>
        <v>Yogurt</v>
      </c>
      <c r="I333" t="str">
        <f t="shared" si="22"/>
        <v>Dairy</v>
      </c>
      <c r="J333" s="4">
        <v>5.19</v>
      </c>
      <c r="K333">
        <f>Table1[[#This Row],[Target_product_price]]/Table1[[#This Row],[product_price_per_oz]]</f>
        <v>0.24481132075471701</v>
      </c>
    </row>
    <row r="334" spans="1:11" x14ac:dyDescent="0.2">
      <c r="A334" t="s">
        <v>903</v>
      </c>
      <c r="B334" t="s">
        <v>904</v>
      </c>
      <c r="C334" t="s">
        <v>905</v>
      </c>
      <c r="D334" t="str">
        <f>SUBSTITUTE(Table1[[#This Row],[Target_product_name]], "oz", " oz")</f>
        <v>Chobani Zero Sugar Mixed Berry Greek Yogurt - 4ct/5.3 oz Cups</v>
      </c>
      <c r="E334" t="s">
        <v>3003</v>
      </c>
      <c r="F334" t="str">
        <f>LEFT(Table1[[#This Row],[Target_product_quantity]], FIND("o", Table1[[#This Row],[Target_product_quantity]])-1)</f>
        <v>21.2</v>
      </c>
      <c r="G334" t="str" cm="1">
        <f t="array" ref="G334">_xlfn.TEXTJOIN("", TRUE, IF(ISNUMBER(SEARCH($K$1010:$K$1054, C334)), $K$1010:$K$1054, ""))</f>
        <v>Chobani</v>
      </c>
      <c r="H334" t="str">
        <f t="shared" si="21"/>
        <v>Yogurt</v>
      </c>
      <c r="I334" t="str">
        <f t="shared" si="22"/>
        <v>Dairy</v>
      </c>
      <c r="J334" s="4">
        <v>5.19</v>
      </c>
      <c r="K334">
        <f>Table1[[#This Row],[Target_product_price]]/Table1[[#This Row],[product_price_per_oz]]</f>
        <v>0.24481132075471701</v>
      </c>
    </row>
    <row r="335" spans="1:11" x14ac:dyDescent="0.2">
      <c r="A335" t="s">
        <v>903</v>
      </c>
      <c r="B335" t="s">
        <v>904</v>
      </c>
      <c r="C335" t="s">
        <v>905</v>
      </c>
      <c r="D335" t="str">
        <f>SUBSTITUTE(Table1[[#This Row],[Target_product_name]], "oz", " oz")</f>
        <v>Chobani Zero Sugar Mixed Berry Greek Yogurt - 4ct/5.3 oz Cups</v>
      </c>
      <c r="E335" t="s">
        <v>3003</v>
      </c>
      <c r="F335" t="str">
        <f>LEFT(Table1[[#This Row],[Target_product_quantity]], FIND("o", Table1[[#This Row],[Target_product_quantity]])-1)</f>
        <v>21.2</v>
      </c>
      <c r="G335" t="str" cm="1">
        <f t="array" ref="G335">_xlfn.TEXTJOIN("", TRUE, IF(ISNUMBER(SEARCH($K$1010:$K$1054, C335)), $K$1010:$K$1054, ""))</f>
        <v>Chobani</v>
      </c>
      <c r="H335" t="str">
        <f t="shared" si="21"/>
        <v>Yogurt</v>
      </c>
      <c r="I335" t="str">
        <f t="shared" si="22"/>
        <v>Dairy</v>
      </c>
      <c r="J335" s="4">
        <v>5.19</v>
      </c>
      <c r="K335">
        <f>Table1[[#This Row],[Target_product_price]]/Table1[[#This Row],[product_price_per_oz]]</f>
        <v>0.24481132075471701</v>
      </c>
    </row>
    <row r="336" spans="1:11" x14ac:dyDescent="0.2">
      <c r="A336" t="s">
        <v>906</v>
      </c>
      <c r="B336" t="s">
        <v>907</v>
      </c>
      <c r="C336" t="s">
        <v>908</v>
      </c>
      <c r="D336" t="str">
        <f>SUBSTITUTE(Table1[[#This Row],[Target_product_name]], "oz", " oz")</f>
        <v>Chobani Zero Sugar Mixed Berry Yogurt Drink - 7 fl  oz</v>
      </c>
      <c r="E336" t="s">
        <v>2991</v>
      </c>
      <c r="F336" t="str">
        <f>LEFT(Table1[[#This Row],[Target_product_quantity]], FIND("o", Table1[[#This Row],[Target_product_quantity]])-1)</f>
        <v>7</v>
      </c>
      <c r="G336" t="str" cm="1">
        <f t="array" ref="G336">_xlfn.TEXTJOIN("", TRUE, IF(ISNUMBER(SEARCH($K$1010:$K$1054, C336)), $K$1010:$K$1054, ""))</f>
        <v>Chobani</v>
      </c>
      <c r="H336" t="str">
        <f t="shared" si="21"/>
        <v>Yogurt</v>
      </c>
      <c r="I336" t="str">
        <f t="shared" si="22"/>
        <v>Dairy</v>
      </c>
      <c r="J336" s="4">
        <v>1.99</v>
      </c>
      <c r="K336">
        <f>Table1[[#This Row],[Target_product_price]]/Table1[[#This Row],[product_price_per_oz]]</f>
        <v>0.28428571428571431</v>
      </c>
    </row>
    <row r="337" spans="1:11" x14ac:dyDescent="0.2">
      <c r="A337" t="s">
        <v>909</v>
      </c>
      <c r="B337" t="s">
        <v>910</v>
      </c>
      <c r="C337" t="s">
        <v>911</v>
      </c>
      <c r="D337" t="str">
        <f>SUBSTITUTE(Table1[[#This Row],[Target_product_name]], "oz", " oz")</f>
        <v>Chobani Zero Sugar Peaches &amp; Cream Yogurt Drink - 7 fl  oz</v>
      </c>
      <c r="E337" t="s">
        <v>2991</v>
      </c>
      <c r="F337" t="str">
        <f>LEFT(Table1[[#This Row],[Target_product_quantity]], FIND("o", Table1[[#This Row],[Target_product_quantity]])-1)</f>
        <v>7</v>
      </c>
      <c r="G337" t="str" cm="1">
        <f t="array" ref="G337">_xlfn.TEXTJOIN("", TRUE, IF(ISNUMBER(SEARCH($K$1010:$K$1054, C337)), $K$1010:$K$1054, ""))</f>
        <v>Chobani</v>
      </c>
      <c r="H337" t="str">
        <f t="shared" si="21"/>
        <v>Yogurt</v>
      </c>
      <c r="I337" t="str">
        <f t="shared" si="22"/>
        <v>Dairy</v>
      </c>
      <c r="J337" s="4">
        <v>1.99</v>
      </c>
      <c r="K337">
        <f>Table1[[#This Row],[Target_product_price]]/Table1[[#This Row],[product_price_per_oz]]</f>
        <v>0.28428571428571431</v>
      </c>
    </row>
    <row r="338" spans="1:11" x14ac:dyDescent="0.2">
      <c r="A338" t="s">
        <v>912</v>
      </c>
      <c r="B338" t="s">
        <v>913</v>
      </c>
      <c r="C338" t="s">
        <v>914</v>
      </c>
      <c r="D338" t="str">
        <f>SUBSTITUTE(Table1[[#This Row],[Target_product_name]], "oz", " oz")</f>
        <v>Chobani Zero Sugar Vanilla Nonfat Greek Yogurt - 32 oz</v>
      </c>
      <c r="E338" t="str">
        <f t="shared" si="23"/>
        <v>32oz</v>
      </c>
      <c r="F338" t="str">
        <f>LEFT(Table1[[#This Row],[Target_product_quantity]], FIND("o", Table1[[#This Row],[Target_product_quantity]])-1)</f>
        <v>32</v>
      </c>
      <c r="G338" t="str" cm="1">
        <f t="array" ref="G338">_xlfn.TEXTJOIN("", TRUE, IF(ISNUMBER(SEARCH($K$1010:$K$1054, C338)), $K$1010:$K$1054, ""))</f>
        <v>Chobani</v>
      </c>
      <c r="H338" t="str">
        <f t="shared" si="21"/>
        <v>Yogurt</v>
      </c>
      <c r="I338" t="str">
        <f t="shared" si="22"/>
        <v>Dairy</v>
      </c>
      <c r="J338" s="4">
        <v>6.39</v>
      </c>
      <c r="K338">
        <f>Table1[[#This Row],[Target_product_price]]/Table1[[#This Row],[product_price_per_oz]]</f>
        <v>0.19968749999999999</v>
      </c>
    </row>
    <row r="339" spans="1:11" x14ac:dyDescent="0.2">
      <c r="A339" t="s">
        <v>912</v>
      </c>
      <c r="B339" t="s">
        <v>913</v>
      </c>
      <c r="C339" t="s">
        <v>914</v>
      </c>
      <c r="D339" t="str">
        <f>SUBSTITUTE(Table1[[#This Row],[Target_product_name]], "oz", " oz")</f>
        <v>Chobani Zero Sugar Vanilla Nonfat Greek Yogurt - 32 oz</v>
      </c>
      <c r="E339" t="str">
        <f t="shared" si="23"/>
        <v>32oz</v>
      </c>
      <c r="F339" t="str">
        <f>LEFT(Table1[[#This Row],[Target_product_quantity]], FIND("o", Table1[[#This Row],[Target_product_quantity]])-1)</f>
        <v>32</v>
      </c>
      <c r="G339" t="str" cm="1">
        <f t="array" ref="G339">_xlfn.TEXTJOIN("", TRUE, IF(ISNUMBER(SEARCH($K$1010:$K$1054, C339)), $K$1010:$K$1054, ""))</f>
        <v>Chobani</v>
      </c>
      <c r="H339" t="str">
        <f t="shared" si="21"/>
        <v>Yogurt</v>
      </c>
      <c r="I339" t="str">
        <f t="shared" si="22"/>
        <v>Dairy</v>
      </c>
      <c r="J339" s="4">
        <v>6.39</v>
      </c>
      <c r="K339">
        <f>Table1[[#This Row],[Target_product_price]]/Table1[[#This Row],[product_price_per_oz]]</f>
        <v>0.19968749999999999</v>
      </c>
    </row>
    <row r="340" spans="1:11" x14ac:dyDescent="0.2">
      <c r="A340" t="s">
        <v>915</v>
      </c>
      <c r="B340" t="s">
        <v>916</v>
      </c>
      <c r="C340" s="4" t="s">
        <v>917</v>
      </c>
      <c r="D340" t="str">
        <f>SUBSTITUTE(Table1[[#This Row],[Target_product_name]], "oz", " oz")</f>
        <v>Coca-Cola - 20 fl  oz Bottle</v>
      </c>
      <c r="E340" t="s">
        <v>918</v>
      </c>
      <c r="F340" t="str">
        <f>LEFT(Table1[[#This Row],[Target_product_quantity]], FIND("o", Table1[[#This Row],[Target_product_quantity]])-1)</f>
        <v>20</v>
      </c>
      <c r="G340" t="str" cm="1">
        <f t="array" ref="G340">_xlfn.TEXTJOIN("", TRUE, IF(ISNUMBER(SEARCH($K$1010:$K$1054, C340)), $K$1010:$K$1054, ""))</f>
        <v>Coca-Cola</v>
      </c>
      <c r="H340" t="str">
        <f t="shared" si="21"/>
        <v>Beverages</v>
      </c>
      <c r="I340" t="str">
        <f t="shared" si="22"/>
        <v>Beverages</v>
      </c>
      <c r="J340">
        <v>2.4900000000000002</v>
      </c>
      <c r="K340">
        <f>Table1[[#This Row],[Target_product_price]]/Table1[[#This Row],[product_price_per_oz]]</f>
        <v>0.12450000000000001</v>
      </c>
    </row>
    <row r="341" spans="1:11" x14ac:dyDescent="0.2">
      <c r="A341" t="s">
        <v>919</v>
      </c>
      <c r="B341" t="s">
        <v>920</v>
      </c>
      <c r="C341" s="4" t="s">
        <v>921</v>
      </c>
      <c r="D341" t="str">
        <f>SUBSTITUTE(Table1[[#This Row],[Target_product_name]], "oz", " oz")</f>
        <v>Coca-Cola Caffeine Free Diet Coke - 12 Fl Oz Can (Pack of 24)</v>
      </c>
      <c r="E341" t="s">
        <v>922</v>
      </c>
      <c r="F341" t="str">
        <f>LEFT(Table1[[#This Row],[Target_product_quantity]], FIND("o", Table1[[#This Row],[Target_product_quantity]])-1)</f>
        <v>288</v>
      </c>
      <c r="G341" t="str" cm="1">
        <f t="array" ref="G341">_xlfn.TEXTJOIN("", TRUE, IF(ISNUMBER(SEARCH($K$1010:$K$1054, C341)), $K$1010:$K$1054, ""))</f>
        <v>Coca-Cola</v>
      </c>
      <c r="H341" t="str">
        <f t="shared" si="21"/>
        <v>Beverages</v>
      </c>
      <c r="I341" t="str">
        <f t="shared" si="22"/>
        <v>Beverages</v>
      </c>
      <c r="J341">
        <v>37.99</v>
      </c>
      <c r="K341">
        <f>Table1[[#This Row],[Target_product_price]]/Table1[[#This Row],[product_price_per_oz]]</f>
        <v>0.13190972222222222</v>
      </c>
    </row>
    <row r="342" spans="1:11" x14ac:dyDescent="0.2">
      <c r="A342" t="s">
        <v>923</v>
      </c>
      <c r="B342" t="s">
        <v>924</v>
      </c>
      <c r="C342" s="4" t="s">
        <v>925</v>
      </c>
      <c r="D342" t="str">
        <f>SUBSTITUTE(Table1[[#This Row],[Target_product_name]], "oz", " oz")</f>
        <v>Coca-Cola Cherry - 20 fl  oz Bottle</v>
      </c>
      <c r="E342" t="s">
        <v>918</v>
      </c>
      <c r="F342" t="str">
        <f>LEFT(Table1[[#This Row],[Target_product_quantity]], FIND("o", Table1[[#This Row],[Target_product_quantity]])-1)</f>
        <v>20</v>
      </c>
      <c r="G342" t="str" cm="1">
        <f t="array" ref="G342">_xlfn.TEXTJOIN("", TRUE, IF(ISNUMBER(SEARCH($K$1010:$K$1054, C342)), $K$1010:$K$1054, ""))</f>
        <v>Coca-Cola</v>
      </c>
      <c r="H342" t="str">
        <f t="shared" si="21"/>
        <v>Beverages</v>
      </c>
      <c r="I342" t="str">
        <f t="shared" si="22"/>
        <v>Beverages</v>
      </c>
      <c r="J342">
        <v>2.4900000000000002</v>
      </c>
      <c r="K342">
        <f>Table1[[#This Row],[Target_product_price]]/Table1[[#This Row],[product_price_per_oz]]</f>
        <v>0.12450000000000001</v>
      </c>
    </row>
    <row r="343" spans="1:11" x14ac:dyDescent="0.2">
      <c r="A343" t="s">
        <v>926</v>
      </c>
      <c r="B343" t="s">
        <v>927</v>
      </c>
      <c r="C343" s="4" t="s">
        <v>928</v>
      </c>
      <c r="D343" t="str">
        <f>SUBSTITUTE(Table1[[#This Row],[Target_product_name]], "oz", " oz")</f>
        <v>Coca-Cola Cherry Soda - 12pk/12 fl  oz Cans</v>
      </c>
      <c r="E343" t="s">
        <v>929</v>
      </c>
      <c r="F343" t="str">
        <f>LEFT(Table1[[#This Row],[Target_product_quantity]], FIND("o", Table1[[#This Row],[Target_product_quantity]])-1)</f>
        <v>144</v>
      </c>
      <c r="G343" t="str" cm="1">
        <f t="array" ref="G343">_xlfn.TEXTJOIN("", TRUE, IF(ISNUMBER(SEARCH($K$1010:$K$1054, C343)), $K$1010:$K$1054, ""))</f>
        <v>Coca-Cola</v>
      </c>
      <c r="H343" t="str">
        <f t="shared" si="21"/>
        <v>Beverages</v>
      </c>
      <c r="I343" t="str">
        <f t="shared" si="22"/>
        <v>Beverages</v>
      </c>
      <c r="J343">
        <v>8.2899999999999991</v>
      </c>
      <c r="K343">
        <f>Table1[[#This Row],[Target_product_price]]/Table1[[#This Row],[product_price_per_oz]]</f>
        <v>5.7569444444444437E-2</v>
      </c>
    </row>
    <row r="344" spans="1:11" x14ac:dyDescent="0.2">
      <c r="A344" t="s">
        <v>930</v>
      </c>
      <c r="B344" t="s">
        <v>931</v>
      </c>
      <c r="C344" s="4" t="s">
        <v>932</v>
      </c>
      <c r="D344" t="str">
        <f>SUBSTITUTE(Table1[[#This Row],[Target_product_name]], "oz", " oz")</f>
        <v>Coca-Cola Cherry Zero Soda - 12pk/12 fl  oz Cans</v>
      </c>
      <c r="E344" t="s">
        <v>929</v>
      </c>
      <c r="F344" t="str">
        <f>LEFT(Table1[[#This Row],[Target_product_quantity]], FIND("o", Table1[[#This Row],[Target_product_quantity]])-1)</f>
        <v>144</v>
      </c>
      <c r="G344" t="str" cm="1">
        <f t="array" ref="G344">_xlfn.TEXTJOIN("", TRUE, IF(ISNUMBER(SEARCH($K$1010:$K$1054, C344)), $K$1010:$K$1054, ""))</f>
        <v>Coca-Cola</v>
      </c>
      <c r="H344" t="str">
        <f t="shared" si="21"/>
        <v>Beverages</v>
      </c>
      <c r="I344" t="str">
        <f t="shared" si="22"/>
        <v>Beverages</v>
      </c>
      <c r="J344">
        <v>8.2899999999999991</v>
      </c>
      <c r="K344">
        <f>Table1[[#This Row],[Target_product_price]]/Table1[[#This Row],[product_price_per_oz]]</f>
        <v>5.7569444444444437E-2</v>
      </c>
    </row>
    <row r="345" spans="1:11" x14ac:dyDescent="0.2">
      <c r="A345" t="s">
        <v>933</v>
      </c>
      <c r="B345" t="s">
        <v>934</v>
      </c>
      <c r="C345" s="4" t="s">
        <v>935</v>
      </c>
      <c r="D345" t="str">
        <f>SUBSTITUTE(Table1[[#This Row],[Target_product_name]], "oz", " oz")</f>
        <v>Coca-Cola de Mexico - 4pk/12 fl  oz Glass Bottles</v>
      </c>
      <c r="E345" t="s">
        <v>936</v>
      </c>
      <c r="F345" t="str">
        <f>LEFT(Table1[[#This Row],[Target_product_quantity]], FIND("o", Table1[[#This Row],[Target_product_quantity]])-1)</f>
        <v>48</v>
      </c>
      <c r="G345" t="str" cm="1">
        <f t="array" ref="G345">_xlfn.TEXTJOIN("", TRUE, IF(ISNUMBER(SEARCH($K$1010:$K$1054, C345)), $K$1010:$K$1054, ""))</f>
        <v>Coca-Cola</v>
      </c>
      <c r="H345" t="str">
        <f t="shared" si="21"/>
        <v>Beverages</v>
      </c>
      <c r="I345" t="str">
        <f t="shared" si="22"/>
        <v>Beverages</v>
      </c>
      <c r="J345">
        <v>6.99</v>
      </c>
      <c r="K345">
        <f>Table1[[#This Row],[Target_product_price]]/Table1[[#This Row],[product_price_per_oz]]</f>
        <v>0.145625</v>
      </c>
    </row>
    <row r="346" spans="1:11" x14ac:dyDescent="0.2">
      <c r="A346" t="s">
        <v>937</v>
      </c>
      <c r="B346" t="s">
        <v>938</v>
      </c>
      <c r="C346" s="4" t="s">
        <v>939</v>
      </c>
      <c r="D346" t="str">
        <f>SUBSTITUTE(Table1[[#This Row],[Target_product_name]], "oz", " oz")</f>
        <v>Coca-Cola Mini Can Variety Pack (10 Each; Coke Classic, Diet Coke, Sprite) - 7.5 Fl Oz Can (Pack of 30)</v>
      </c>
      <c r="E346" t="s">
        <v>940</v>
      </c>
      <c r="F346" t="str">
        <f>LEFT(Table1[[#This Row],[Target_product_quantity]], FIND("o", Table1[[#This Row],[Target_product_quantity]])-1)</f>
        <v>75</v>
      </c>
      <c r="G346" t="str" cm="1">
        <f t="array" ref="G346">_xlfn.TEXTJOIN("", TRUE, IF(ISNUMBER(SEARCH($K$1010:$K$1054, C346)), $K$1010:$K$1054, ""))</f>
        <v>Coca-Cola</v>
      </c>
      <c r="H346" t="str">
        <f t="shared" si="21"/>
        <v>Beverages</v>
      </c>
      <c r="I346" t="str">
        <f t="shared" si="22"/>
        <v>Beverages</v>
      </c>
      <c r="J346">
        <v>46.99</v>
      </c>
      <c r="K346">
        <f>Table1[[#This Row],[Target_product_price]]/Table1[[#This Row],[product_price_per_oz]]</f>
        <v>0.62653333333333339</v>
      </c>
    </row>
    <row r="347" spans="1:11" x14ac:dyDescent="0.2">
      <c r="A347" t="s">
        <v>941</v>
      </c>
      <c r="B347" t="s">
        <v>942</v>
      </c>
      <c r="C347" s="4" t="s">
        <v>943</v>
      </c>
      <c r="D347" t="str">
        <f>SUBSTITUTE(Table1[[#This Row],[Target_product_name]], "oz", " oz")</f>
        <v>Coca-Cola Orange Cream Soda - 12pk/12 fl  oz Cans</v>
      </c>
      <c r="E347" t="s">
        <v>929</v>
      </c>
      <c r="F347" t="str">
        <f>LEFT(Table1[[#This Row],[Target_product_quantity]], FIND("o", Table1[[#This Row],[Target_product_quantity]])-1)</f>
        <v>144</v>
      </c>
      <c r="G347" t="str" cm="1">
        <f t="array" ref="G347">_xlfn.TEXTJOIN("", TRUE, IF(ISNUMBER(SEARCH($K$1010:$K$1054, C347)), $K$1010:$K$1054, ""))</f>
        <v>Coca-Cola</v>
      </c>
      <c r="H347" t="str">
        <f t="shared" si="21"/>
        <v>Beverages</v>
      </c>
      <c r="I347" t="str">
        <f t="shared" si="22"/>
        <v>Beverages</v>
      </c>
      <c r="J347">
        <v>8.2899999999999991</v>
      </c>
      <c r="K347">
        <f>Table1[[#This Row],[Target_product_price]]/Table1[[#This Row],[product_price_per_oz]]</f>
        <v>5.7569444444444437E-2</v>
      </c>
    </row>
    <row r="348" spans="1:11" x14ac:dyDescent="0.2">
      <c r="A348" t="s">
        <v>944</v>
      </c>
      <c r="B348" t="s">
        <v>945</v>
      </c>
      <c r="C348" s="4" t="s">
        <v>946</v>
      </c>
      <c r="D348" t="str">
        <f>SUBSTITUTE(Table1[[#This Row],[Target_product_name]], "oz", " oz")</f>
        <v>Coca-Cola Soda - 12pk/12 fl  oz Cans</v>
      </c>
      <c r="E348" t="s">
        <v>929</v>
      </c>
      <c r="F348" t="str">
        <f>LEFT(Table1[[#This Row],[Target_product_quantity]], FIND("o", Table1[[#This Row],[Target_product_quantity]])-1)</f>
        <v>144</v>
      </c>
      <c r="G348" t="str" cm="1">
        <f t="array" ref="G348">_xlfn.TEXTJOIN("", TRUE, IF(ISNUMBER(SEARCH($K$1010:$K$1054, C348)), $K$1010:$K$1054, ""))</f>
        <v>Coca-Cola</v>
      </c>
      <c r="H348" t="str">
        <f t="shared" si="21"/>
        <v>Beverages</v>
      </c>
      <c r="I348" t="str">
        <f t="shared" si="22"/>
        <v>Beverages</v>
      </c>
      <c r="J348">
        <v>8.2899999999999991</v>
      </c>
      <c r="K348">
        <f>Table1[[#This Row],[Target_product_price]]/Table1[[#This Row],[product_price_per_oz]]</f>
        <v>5.7569444444444437E-2</v>
      </c>
    </row>
    <row r="349" spans="1:11" x14ac:dyDescent="0.2">
      <c r="A349" t="s">
        <v>947</v>
      </c>
      <c r="B349" t="s">
        <v>948</v>
      </c>
      <c r="C349" s="4" t="s">
        <v>949</v>
      </c>
      <c r="D349" t="str">
        <f>SUBSTITUTE(Table1[[#This Row],[Target_product_name]], "oz", " oz")</f>
        <v>Coca-Cola Soda - 2 L Bottle</v>
      </c>
      <c r="E349" t="s">
        <v>950</v>
      </c>
      <c r="F349" t="str">
        <f>LEFT(Table1[[#This Row],[Target_product_quantity]], FIND("o", Table1[[#This Row],[Target_product_quantity]])-1)</f>
        <v>67.6</v>
      </c>
      <c r="G349" t="str" cm="1">
        <f t="array" ref="G349">_xlfn.TEXTJOIN("", TRUE, IF(ISNUMBER(SEARCH($K$1010:$K$1054, C349)), $K$1010:$K$1054, ""))</f>
        <v>Coca-Cola</v>
      </c>
      <c r="H349" t="str">
        <f t="shared" si="21"/>
        <v>Beverages</v>
      </c>
      <c r="I349" t="str">
        <f t="shared" si="22"/>
        <v>Beverages</v>
      </c>
      <c r="J349">
        <v>2.79</v>
      </c>
      <c r="K349">
        <f>Table1[[#This Row],[Target_product_price]]/Table1[[#This Row],[product_price_per_oz]]</f>
        <v>4.1272189349112427E-2</v>
      </c>
    </row>
    <row r="350" spans="1:11" x14ac:dyDescent="0.2">
      <c r="A350" t="s">
        <v>951</v>
      </c>
      <c r="B350" t="s">
        <v>952</v>
      </c>
      <c r="C350" s="4" t="s">
        <v>953</v>
      </c>
      <c r="D350" t="str">
        <f>SUBSTITUTE(Table1[[#This Row],[Target_product_name]], "oz", " oz")</f>
        <v>Coca-Cola Soda - 24pk/12 fl  oz Cans</v>
      </c>
      <c r="E350" t="s">
        <v>922</v>
      </c>
      <c r="F350" t="str">
        <f>LEFT(Table1[[#This Row],[Target_product_quantity]], FIND("o", Table1[[#This Row],[Target_product_quantity]])-1)</f>
        <v>288</v>
      </c>
      <c r="G350" t="str" cm="1">
        <f t="array" ref="G350">_xlfn.TEXTJOIN("", TRUE, IF(ISNUMBER(SEARCH($K$1010:$K$1054, C350)), $K$1010:$K$1054, ""))</f>
        <v>Coca-Cola</v>
      </c>
      <c r="H350" t="str">
        <f t="shared" si="21"/>
        <v>Beverages</v>
      </c>
      <c r="I350" t="str">
        <f t="shared" si="22"/>
        <v>Beverages</v>
      </c>
      <c r="J350">
        <v>14.99</v>
      </c>
      <c r="K350">
        <f>Table1[[#This Row],[Target_product_price]]/Table1[[#This Row],[product_price_per_oz]]</f>
        <v>5.2048611111111115E-2</v>
      </c>
    </row>
    <row r="351" spans="1:11" x14ac:dyDescent="0.2">
      <c r="A351" t="s">
        <v>954</v>
      </c>
      <c r="B351" t="s">
        <v>955</v>
      </c>
      <c r="C351" s="4" t="s">
        <v>956</v>
      </c>
      <c r="D351" t="str">
        <f>SUBSTITUTE(Table1[[#This Row],[Target_product_name]], "oz", " oz")</f>
        <v>Coca-Cola Soda - 6pk/16.9 fl  oz Bottles</v>
      </c>
      <c r="E351" t="s">
        <v>3004</v>
      </c>
      <c r="F351" t="str">
        <f>LEFT(Table1[[#This Row],[Target_product_quantity]], FIND("o", Table1[[#This Row],[Target_product_quantity]])-1)</f>
        <v>101.4</v>
      </c>
      <c r="G351" t="str" cm="1">
        <f t="array" ref="G351">_xlfn.TEXTJOIN("", TRUE, IF(ISNUMBER(SEARCH($K$1010:$K$1054, C351)), $K$1010:$K$1054, ""))</f>
        <v>Coca-Cola</v>
      </c>
      <c r="H351" t="str">
        <f t="shared" si="21"/>
        <v>Beverages</v>
      </c>
      <c r="I351" t="str">
        <f t="shared" si="22"/>
        <v>Beverages</v>
      </c>
      <c r="J351">
        <v>5.99</v>
      </c>
      <c r="K351">
        <f>Table1[[#This Row],[Target_product_price]]/Table1[[#This Row],[product_price_per_oz]]</f>
        <v>5.9072978303747532E-2</v>
      </c>
    </row>
    <row r="352" spans="1:11" x14ac:dyDescent="0.2">
      <c r="A352" t="s">
        <v>957</v>
      </c>
      <c r="B352" t="s">
        <v>958</v>
      </c>
      <c r="C352" s="4" t="s">
        <v>959</v>
      </c>
      <c r="D352" t="str">
        <f>SUBSTITUTE(Table1[[#This Row],[Target_product_name]], "oz", " oz")</f>
        <v>Coca-Cola Zero Cherry - 20 fl  oz Bottle</v>
      </c>
      <c r="E352" t="s">
        <v>918</v>
      </c>
      <c r="F352" t="str">
        <f>LEFT(Table1[[#This Row],[Target_product_quantity]], FIND("o", Table1[[#This Row],[Target_product_quantity]])-1)</f>
        <v>20</v>
      </c>
      <c r="G352" t="str" cm="1">
        <f t="array" ref="G352">_xlfn.TEXTJOIN("", TRUE, IF(ISNUMBER(SEARCH($K$1010:$K$1054, C352)), $K$1010:$K$1054, ""))</f>
        <v>Coca-Cola</v>
      </c>
      <c r="H352" t="str">
        <f t="shared" si="21"/>
        <v>Beverages</v>
      </c>
      <c r="I352" t="str">
        <f t="shared" si="22"/>
        <v>Beverages</v>
      </c>
      <c r="J352">
        <v>2.4900000000000002</v>
      </c>
      <c r="K352">
        <f>Table1[[#This Row],[Target_product_price]]/Table1[[#This Row],[product_price_per_oz]]</f>
        <v>0.12450000000000001</v>
      </c>
    </row>
    <row r="353" spans="1:11" x14ac:dyDescent="0.2">
      <c r="A353" t="s">
        <v>960</v>
      </c>
      <c r="B353" t="s">
        <v>961</v>
      </c>
      <c r="C353" s="4" t="s">
        <v>962</v>
      </c>
      <c r="D353" t="str">
        <f>SUBSTITUTE(Table1[[#This Row],[Target_product_name]], "oz", " oz")</f>
        <v>Coca-Cola Zero Sugar - 20 fl  oz Bottle</v>
      </c>
      <c r="E353" t="s">
        <v>918</v>
      </c>
      <c r="F353" t="str">
        <f>LEFT(Table1[[#This Row],[Target_product_quantity]], FIND("o", Table1[[#This Row],[Target_product_quantity]])-1)</f>
        <v>20</v>
      </c>
      <c r="G353" t="str" cm="1">
        <f t="array" ref="G353">_xlfn.TEXTJOIN("", TRUE, IF(ISNUMBER(SEARCH($K$1010:$K$1054, C353)), $K$1010:$K$1054, ""))</f>
        <v>Coca-Cola</v>
      </c>
      <c r="H353" t="str">
        <f t="shared" si="21"/>
        <v>Beverages</v>
      </c>
      <c r="I353" t="str">
        <f t="shared" si="22"/>
        <v>Beverages</v>
      </c>
      <c r="J353">
        <v>2.4900000000000002</v>
      </c>
      <c r="K353">
        <f>Table1[[#This Row],[Target_product_price]]/Table1[[#This Row],[product_price_per_oz]]</f>
        <v>0.12450000000000001</v>
      </c>
    </row>
    <row r="354" spans="1:11" x14ac:dyDescent="0.2">
      <c r="A354" t="s">
        <v>963</v>
      </c>
      <c r="B354" t="s">
        <v>964</v>
      </c>
      <c r="C354" s="4" t="s">
        <v>965</v>
      </c>
      <c r="D354" t="str">
        <f>SUBSTITUTE(Table1[[#This Row],[Target_product_name]], "oz", " oz")</f>
        <v>Coca-Cola Zero Sugar Orange Cream Soda - 12pk/12 fl  oz Cans</v>
      </c>
      <c r="E354" t="s">
        <v>929</v>
      </c>
      <c r="F354" t="str">
        <f>LEFT(Table1[[#This Row],[Target_product_quantity]], FIND("o", Table1[[#This Row],[Target_product_quantity]])-1)</f>
        <v>144</v>
      </c>
      <c r="G354" t="str" cm="1">
        <f t="array" ref="G354">_xlfn.TEXTJOIN("", TRUE, IF(ISNUMBER(SEARCH($K$1010:$K$1054, C354)), $K$1010:$K$1054, ""))</f>
        <v>Coca-Cola</v>
      </c>
      <c r="H354" t="str">
        <f t="shared" si="21"/>
        <v>Beverages</v>
      </c>
      <c r="I354" t="str">
        <f t="shared" si="22"/>
        <v>Beverages</v>
      </c>
      <c r="J354">
        <v>8.2899999999999991</v>
      </c>
      <c r="K354">
        <f>Table1[[#This Row],[Target_product_price]]/Table1[[#This Row],[product_price_per_oz]]</f>
        <v>5.7569444444444437E-2</v>
      </c>
    </row>
    <row r="355" spans="1:11" x14ac:dyDescent="0.2">
      <c r="A355" t="s">
        <v>966</v>
      </c>
      <c r="B355" t="s">
        <v>967</v>
      </c>
      <c r="C355" s="4" t="s">
        <v>968</v>
      </c>
      <c r="D355" t="str">
        <f>SUBSTITUTE(Table1[[#This Row],[Target_product_name]], "oz", " oz")</f>
        <v>Coca-Cola Zero Sugar Soda - 12pk/12 fl  oz Cans</v>
      </c>
      <c r="E355" t="s">
        <v>929</v>
      </c>
      <c r="F355" t="str">
        <f>LEFT(Table1[[#This Row],[Target_product_quantity]], FIND("o", Table1[[#This Row],[Target_product_quantity]])-1)</f>
        <v>144</v>
      </c>
      <c r="G355" t="str" cm="1">
        <f t="array" ref="G355">_xlfn.TEXTJOIN("", TRUE, IF(ISNUMBER(SEARCH($K$1010:$K$1054, C355)), $K$1010:$K$1054, ""))</f>
        <v>Coca-Cola</v>
      </c>
      <c r="H355" t="str">
        <f t="shared" si="21"/>
        <v>Beverages</v>
      </c>
      <c r="I355" t="str">
        <f t="shared" si="22"/>
        <v>Beverages</v>
      </c>
      <c r="J355">
        <v>8.2899999999999991</v>
      </c>
      <c r="K355">
        <f>Table1[[#This Row],[Target_product_price]]/Table1[[#This Row],[product_price_per_oz]]</f>
        <v>5.7569444444444437E-2</v>
      </c>
    </row>
    <row r="356" spans="1:11" x14ac:dyDescent="0.2">
      <c r="A356" t="s">
        <v>969</v>
      </c>
      <c r="B356" t="s">
        <v>970</v>
      </c>
      <c r="C356" s="4" t="s">
        <v>971</v>
      </c>
      <c r="D356" t="str">
        <f>SUBSTITUTE(Table1[[#This Row],[Target_product_name]], "oz", " oz")</f>
        <v>Coca-Cola Zero Sugar Soda - 2 L Bottle</v>
      </c>
      <c r="E356" t="s">
        <v>950</v>
      </c>
      <c r="F356" t="str">
        <f>LEFT(Table1[[#This Row],[Target_product_quantity]], FIND("o", Table1[[#This Row],[Target_product_quantity]])-1)</f>
        <v>67.6</v>
      </c>
      <c r="G356" t="str" cm="1">
        <f t="array" ref="G356">_xlfn.TEXTJOIN("", TRUE, IF(ISNUMBER(SEARCH($K$1010:$K$1054, C356)), $K$1010:$K$1054, ""))</f>
        <v>Coca-Cola</v>
      </c>
      <c r="H356" t="str">
        <f t="shared" si="21"/>
        <v>Beverages</v>
      </c>
      <c r="I356" t="str">
        <f t="shared" si="22"/>
        <v>Beverages</v>
      </c>
      <c r="J356">
        <v>2.79</v>
      </c>
      <c r="K356">
        <f>Table1[[#This Row],[Target_product_price]]/Table1[[#This Row],[product_price_per_oz]]</f>
        <v>4.1272189349112427E-2</v>
      </c>
    </row>
    <row r="357" spans="1:11" x14ac:dyDescent="0.2">
      <c r="A357" t="s">
        <v>972</v>
      </c>
      <c r="B357" t="s">
        <v>973</v>
      </c>
      <c r="C357" s="4" t="s">
        <v>974</v>
      </c>
      <c r="D357" t="str">
        <f>SUBSTITUTE(Table1[[#This Row],[Target_product_name]], "oz", " oz")</f>
        <v>Coca-Cola Zero Sugar Soda - 24pk/12 fl  oz Cans</v>
      </c>
      <c r="E357" t="s">
        <v>922</v>
      </c>
      <c r="F357" t="str">
        <f>LEFT(Table1[[#This Row],[Target_product_quantity]], FIND("o", Table1[[#This Row],[Target_product_quantity]])-1)</f>
        <v>288</v>
      </c>
      <c r="G357" t="str" cm="1">
        <f t="array" ref="G357">_xlfn.TEXTJOIN("", TRUE, IF(ISNUMBER(SEARCH($K$1010:$K$1054, C357)), $K$1010:$K$1054, ""))</f>
        <v>Coca-Cola</v>
      </c>
      <c r="H357" t="str">
        <f t="shared" si="21"/>
        <v>Beverages</v>
      </c>
      <c r="I357" t="str">
        <f t="shared" si="22"/>
        <v>Beverages</v>
      </c>
      <c r="J357">
        <v>14.99</v>
      </c>
      <c r="K357">
        <f>Table1[[#This Row],[Target_product_price]]/Table1[[#This Row],[product_price_per_oz]]</f>
        <v>5.2048611111111115E-2</v>
      </c>
    </row>
    <row r="358" spans="1:11" x14ac:dyDescent="0.2">
      <c r="A358" t="s">
        <v>975</v>
      </c>
      <c r="B358" t="s">
        <v>976</v>
      </c>
      <c r="C358" s="4" t="s">
        <v>977</v>
      </c>
      <c r="D358" t="str">
        <f>SUBSTITUTE(Table1[[#This Row],[Target_product_name]], "oz", " oz")</f>
        <v>Coca-Cola Zero Sugar Soda - 6pk/16.9 fl  oz Bottles</v>
      </c>
      <c r="E358" t="s">
        <v>978</v>
      </c>
      <c r="F358" t="str">
        <f>LEFT(Table1[[#This Row],[Target_product_quantity]], FIND("o", Table1[[#This Row],[Target_product_quantity]])-1)</f>
        <v>110.4</v>
      </c>
      <c r="G358" t="str" cm="1">
        <f t="array" ref="G358">_xlfn.TEXTJOIN("", TRUE, IF(ISNUMBER(SEARCH($K$1010:$K$1054, C358)), $K$1010:$K$1054, ""))</f>
        <v>Coca-Cola</v>
      </c>
      <c r="H358" t="str">
        <f t="shared" si="21"/>
        <v>Beverages</v>
      </c>
      <c r="I358" t="str">
        <f t="shared" si="22"/>
        <v>Beverages</v>
      </c>
      <c r="J358">
        <v>5.99</v>
      </c>
      <c r="K358">
        <f>Table1[[#This Row],[Target_product_price]]/Table1[[#This Row],[product_price_per_oz]]</f>
        <v>5.4257246376811591E-2</v>
      </c>
    </row>
    <row r="359" spans="1:11" x14ac:dyDescent="0.2">
      <c r="A359" t="s">
        <v>979</v>
      </c>
      <c r="B359" t="s">
        <v>980</v>
      </c>
      <c r="C359" t="s">
        <v>981</v>
      </c>
      <c r="D359" t="str">
        <f>SUBSTITUTE(Table1[[#This Row],[Target_product_name]], "oz", " oz")</f>
        <v>Del Monte Diced Peaches Fruit Cup</v>
      </c>
      <c r="E359" t="s">
        <v>372</v>
      </c>
      <c r="F359" t="str">
        <f>LEFT(Table1[[#This Row],[Target_product_quantity]], FIND("o", Table1[[#This Row],[Target_product_quantity]])-1)</f>
        <v>16</v>
      </c>
      <c r="G359" t="str" cm="1">
        <f t="array" ref="G359">_xlfn.TEXTJOIN("", TRUE, IF(ISNUMBER(SEARCH($K$1010:$K$1054, C359)), $K$1010:$K$1054, ""))</f>
        <v>Del Monte</v>
      </c>
      <c r="H359" t="str">
        <f t="shared" si="21"/>
        <v>Canned Fruit</v>
      </c>
      <c r="I359" t="str">
        <f t="shared" si="22"/>
        <v>Fruit &amp; Vegetables</v>
      </c>
      <c r="J359" s="4">
        <v>2.89</v>
      </c>
      <c r="K359">
        <f>Table1[[#This Row],[Target_product_price]]/Table1[[#This Row],[product_price_per_oz]]</f>
        <v>0.18062500000000001</v>
      </c>
    </row>
    <row r="360" spans="1:11" x14ac:dyDescent="0.2">
      <c r="A360" t="s">
        <v>982</v>
      </c>
      <c r="B360" t="s">
        <v>983</v>
      </c>
      <c r="C360" t="s">
        <v>984</v>
      </c>
      <c r="D360" t="str">
        <f>SUBSTITUTE(Table1[[#This Row],[Target_product_name]], "oz", " oz")</f>
        <v>Del Monte Lite Yellow Cling Peach Slices in Extra Light Syrup - 15 oz</v>
      </c>
      <c r="E360" t="str">
        <f t="shared" ref="E360:E365" si="24">TRIM(RIGHT(C360, LEN(C360) - FIND("-", C360)))</f>
        <v>15oz</v>
      </c>
      <c r="F360" t="str">
        <f>LEFT(Table1[[#This Row],[Target_product_quantity]], FIND("o", Table1[[#This Row],[Target_product_quantity]])-1)</f>
        <v>15</v>
      </c>
      <c r="G360" t="str" cm="1">
        <f t="array" ref="G360">_xlfn.TEXTJOIN("", TRUE, IF(ISNUMBER(SEARCH($K$1010:$K$1054, C360)), $K$1010:$K$1054, ""))</f>
        <v>Del Monte</v>
      </c>
      <c r="H360" t="str">
        <f t="shared" si="21"/>
        <v>Canned Fruit</v>
      </c>
      <c r="I360" t="str">
        <f t="shared" si="22"/>
        <v>Fruit &amp; Vegetables</v>
      </c>
      <c r="J360" s="4">
        <v>2.59</v>
      </c>
      <c r="K360">
        <f>Table1[[#This Row],[Target_product_price]]/Table1[[#This Row],[product_price_per_oz]]</f>
        <v>0.17266666666666666</v>
      </c>
    </row>
    <row r="361" spans="1:11" x14ac:dyDescent="0.2">
      <c r="A361" t="s">
        <v>985</v>
      </c>
      <c r="B361" t="s">
        <v>986</v>
      </c>
      <c r="C361" t="s">
        <v>987</v>
      </c>
      <c r="D361" t="str">
        <f>SUBSTITUTE(Table1[[#This Row],[Target_product_name]], "oz", " oz")</f>
        <v>Del Monte No Sugar Added Diced Peaches - 4ct/16 oz</v>
      </c>
      <c r="E361" t="s">
        <v>2002</v>
      </c>
      <c r="F361" t="str">
        <f>LEFT(Table1[[#This Row],[Target_product_quantity]], FIND("o", Table1[[#This Row],[Target_product_quantity]])-1)</f>
        <v>64</v>
      </c>
      <c r="G361" t="str" cm="1">
        <f t="array" ref="G361">_xlfn.TEXTJOIN("", TRUE, IF(ISNUMBER(SEARCH($K$1010:$K$1054, C361)), $K$1010:$K$1054, ""))</f>
        <v>Del Monte</v>
      </c>
      <c r="H361" t="str">
        <f t="shared" si="21"/>
        <v>Canned Fruit</v>
      </c>
      <c r="I361" t="str">
        <f t="shared" si="22"/>
        <v>Fruit &amp; Vegetables</v>
      </c>
      <c r="J361" s="4">
        <v>2.99</v>
      </c>
      <c r="K361">
        <f>Table1[[#This Row],[Target_product_price]]/Table1[[#This Row],[product_price_per_oz]]</f>
        <v>4.6718750000000003E-2</v>
      </c>
    </row>
    <row r="362" spans="1:11" x14ac:dyDescent="0.2">
      <c r="A362" t="s">
        <v>988</v>
      </c>
      <c r="B362" t="s">
        <v>989</v>
      </c>
      <c r="C362" t="s">
        <v>990</v>
      </c>
      <c r="D362" t="str">
        <f>SUBSTITUTE(Table1[[#This Row],[Target_product_name]], "oz", " oz")</f>
        <v>Del Monte No Sugar Added Sliced Peaches - 14.5 oz</v>
      </c>
      <c r="E362" t="str">
        <f t="shared" si="24"/>
        <v>14.5oz</v>
      </c>
      <c r="F362" t="str">
        <f>LEFT(Table1[[#This Row],[Target_product_quantity]], FIND("o", Table1[[#This Row],[Target_product_quantity]])-1)</f>
        <v>14.5</v>
      </c>
      <c r="G362" t="str" cm="1">
        <f t="array" ref="G362">_xlfn.TEXTJOIN("", TRUE, IF(ISNUMBER(SEARCH($K$1010:$K$1054, C362)), $K$1010:$K$1054, ""))</f>
        <v>Del Monte</v>
      </c>
      <c r="H362" t="str">
        <f t="shared" si="21"/>
        <v>Canned Fruit</v>
      </c>
      <c r="I362" t="str">
        <f t="shared" si="22"/>
        <v>Fruit &amp; Vegetables</v>
      </c>
      <c r="J362" s="4">
        <v>2.59</v>
      </c>
      <c r="K362">
        <f>Table1[[#This Row],[Target_product_price]]/Table1[[#This Row],[product_price_per_oz]]</f>
        <v>0.17862068965517242</v>
      </c>
    </row>
    <row r="363" spans="1:11" x14ac:dyDescent="0.2">
      <c r="A363" t="s">
        <v>991</v>
      </c>
      <c r="B363" t="s">
        <v>992</v>
      </c>
      <c r="C363" t="s">
        <v>993</v>
      </c>
      <c r="D363" t="str">
        <f>SUBSTITUTE(Table1[[#This Row],[Target_product_name]], "oz", " oz")</f>
        <v>Del Monte Sliced Peaches in 100% Juice - 60 oz / 4pk</v>
      </c>
      <c r="E363" t="s">
        <v>2614</v>
      </c>
      <c r="F363" t="str">
        <f>LEFT(Table1[[#This Row],[Target_product_quantity]], FIND("o", Table1[[#This Row],[Target_product_quantity]])-1)</f>
        <v>240</v>
      </c>
      <c r="G363" t="str" cm="1">
        <f t="array" ref="G363">_xlfn.TEXTJOIN("", TRUE, IF(ISNUMBER(SEARCH($K$1010:$K$1054, C363)), $K$1010:$K$1054, ""))</f>
        <v>Del Monte</v>
      </c>
      <c r="H363" t="str">
        <f t="shared" si="21"/>
        <v>Canned Fruit</v>
      </c>
      <c r="I363" t="str">
        <f t="shared" si="22"/>
        <v>Fruit &amp; Vegetables</v>
      </c>
      <c r="J363" s="4">
        <v>8.99</v>
      </c>
      <c r="K363">
        <f>Table1[[#This Row],[Target_product_price]]/Table1[[#This Row],[product_price_per_oz]]</f>
        <v>3.7458333333333337E-2</v>
      </c>
    </row>
    <row r="364" spans="1:11" x14ac:dyDescent="0.2">
      <c r="A364" t="s">
        <v>994</v>
      </c>
      <c r="B364" t="s">
        <v>995</v>
      </c>
      <c r="C364" t="s">
        <v>996</v>
      </c>
      <c r="D364" t="str">
        <f>SUBSTITUTE(Table1[[#This Row],[Target_product_name]], "oz", " oz")</f>
        <v>Del Monte Yellow Cling Peach Chunks In Heavy Syrup - 15.25 oz</v>
      </c>
      <c r="E364" t="str">
        <f t="shared" si="24"/>
        <v>15.25oz</v>
      </c>
      <c r="F364" t="str">
        <f>LEFT(Table1[[#This Row],[Target_product_quantity]], FIND("o", Table1[[#This Row],[Target_product_quantity]])-1)</f>
        <v>15.25</v>
      </c>
      <c r="G364" t="str" cm="1">
        <f t="array" ref="G364">_xlfn.TEXTJOIN("", TRUE, IF(ISNUMBER(SEARCH($K$1010:$K$1054, C364)), $K$1010:$K$1054, ""))</f>
        <v>Del Monte</v>
      </c>
      <c r="H364" t="str">
        <f t="shared" si="21"/>
        <v>Canned Fruit</v>
      </c>
      <c r="I364" t="str">
        <f t="shared" si="22"/>
        <v>Fruit &amp; Vegetables</v>
      </c>
      <c r="J364" s="4">
        <v>2.59</v>
      </c>
      <c r="K364">
        <f>Table1[[#This Row],[Target_product_price]]/Table1[[#This Row],[product_price_per_oz]]</f>
        <v>0.16983606557377048</v>
      </c>
    </row>
    <row r="365" spans="1:11" x14ac:dyDescent="0.2">
      <c r="A365" t="s">
        <v>997</v>
      </c>
      <c r="B365" t="s">
        <v>998</v>
      </c>
      <c r="C365" t="s">
        <v>999</v>
      </c>
      <c r="D365" t="str">
        <f>SUBSTITUTE(Table1[[#This Row],[Target_product_name]], "oz", " oz")</f>
        <v>Del Monte Yellow Cling Peach Slices in 100% Real Fruit Juice - 15 oz</v>
      </c>
      <c r="E365" t="str">
        <f t="shared" si="24"/>
        <v>15oz</v>
      </c>
      <c r="F365" t="str">
        <f>LEFT(Table1[[#This Row],[Target_product_quantity]], FIND("o", Table1[[#This Row],[Target_product_quantity]])-1)</f>
        <v>15</v>
      </c>
      <c r="G365" t="str" cm="1">
        <f t="array" ref="G365">_xlfn.TEXTJOIN("", TRUE, IF(ISNUMBER(SEARCH($K$1010:$K$1054, C365)), $K$1010:$K$1054, ""))</f>
        <v>Del Monte</v>
      </c>
      <c r="H365" t="str">
        <f t="shared" si="21"/>
        <v>Canned Fruit</v>
      </c>
      <c r="I365" t="str">
        <f t="shared" si="22"/>
        <v>Fruit &amp; Vegetables</v>
      </c>
      <c r="J365" s="4">
        <v>2.59</v>
      </c>
      <c r="K365">
        <f>Table1[[#This Row],[Target_product_price]]/Table1[[#This Row],[product_price_per_oz]]</f>
        <v>0.17266666666666666</v>
      </c>
    </row>
    <row r="366" spans="1:11" x14ac:dyDescent="0.2">
      <c r="A366" t="s">
        <v>1000</v>
      </c>
      <c r="B366" t="s">
        <v>1001</v>
      </c>
      <c r="C366" s="4" t="s">
        <v>1002</v>
      </c>
      <c r="D366" t="str">
        <f>SUBSTITUTE(Table1[[#This Row],[Target_product_name]], "oz", " oz")</f>
        <v>Coca-Cola Diet - 20 fl  oz Bottle</v>
      </c>
      <c r="E366" t="s">
        <v>918</v>
      </c>
      <c r="F366" t="str">
        <f>LEFT(Table1[[#This Row],[Target_product_quantity]], FIND("o", Table1[[#This Row],[Target_product_quantity]])-1)</f>
        <v>20</v>
      </c>
      <c r="G366" t="str" cm="1">
        <f t="array" ref="G366">_xlfn.TEXTJOIN("", TRUE, IF(ISNUMBER(SEARCH($K$1010:$K$1054, C366)), $K$1010:$K$1054, ""))</f>
        <v>Coca-Cola</v>
      </c>
      <c r="H366" t="str">
        <f t="shared" si="21"/>
        <v>Beverages</v>
      </c>
      <c r="I366" t="str">
        <f t="shared" si="22"/>
        <v>Beverages</v>
      </c>
      <c r="J366">
        <v>2.4900000000000002</v>
      </c>
      <c r="K366">
        <f>Table1[[#This Row],[Target_product_price]]/Table1[[#This Row],[product_price_per_oz]]</f>
        <v>0.12450000000000001</v>
      </c>
    </row>
    <row r="367" spans="1:11" x14ac:dyDescent="0.2">
      <c r="A367" t="s">
        <v>1003</v>
      </c>
      <c r="B367" t="s">
        <v>1004</v>
      </c>
      <c r="C367" t="s">
        <v>1005</v>
      </c>
      <c r="D367" t="str">
        <f>SUBSTITUTE(Table1[[#This Row],[Target_product_name]], "oz", " oz")</f>
        <v>DiGiorno Cheese Stuffed Crust Four Cheese Fr ozen Pizza - 8.5 oz</v>
      </c>
      <c r="E367" t="str">
        <f t="shared" ref="E367:E383" si="25">TRIM(RIGHT(C367, LEN(C367) - FIND("-", C367)))</f>
        <v>8.5oz</v>
      </c>
      <c r="F367" t="str">
        <f>LEFT(Table1[[#This Row],[Target_product_quantity]], FIND("o", Table1[[#This Row],[Target_product_quantity]])-1)</f>
        <v>8.5</v>
      </c>
      <c r="G367" t="str" cm="1">
        <f t="array" ref="G367">_xlfn.TEXTJOIN("", TRUE, IF(ISNUMBER(SEARCH($K$1010:$K$1054, C367)), $K$1010:$K$1054, ""))</f>
        <v>DiGiorno</v>
      </c>
      <c r="H367" t="str">
        <f t="shared" si="21"/>
        <v>Prepared Food</v>
      </c>
      <c r="I367" t="str">
        <f t="shared" si="22"/>
        <v>Prepared Food</v>
      </c>
      <c r="J367">
        <v>3.99</v>
      </c>
      <c r="K367">
        <f>Table1[[#This Row],[Target_product_price]]/Table1[[#This Row],[product_price_per_oz]]</f>
        <v>0.46941176470588236</v>
      </c>
    </row>
    <row r="368" spans="1:11" x14ac:dyDescent="0.2">
      <c r="A368" t="s">
        <v>1006</v>
      </c>
      <c r="B368" t="s">
        <v>1007</v>
      </c>
      <c r="C368" t="s">
        <v>1008</v>
      </c>
      <c r="D368" t="str">
        <f>SUBSTITUTE(Table1[[#This Row],[Target_product_name]], "oz", " oz")</f>
        <v>DiGiorno Cheese Stuffed Crust Pepperoni Fr ozen Pizza - 8.5 oz</v>
      </c>
      <c r="E368" t="str">
        <f t="shared" si="25"/>
        <v>8.5oz</v>
      </c>
      <c r="F368" t="str">
        <f>LEFT(Table1[[#This Row],[Target_product_quantity]], FIND("o", Table1[[#This Row],[Target_product_quantity]])-1)</f>
        <v>8.5</v>
      </c>
      <c r="G368" t="str" cm="1">
        <f t="array" ref="G368">_xlfn.TEXTJOIN("", TRUE, IF(ISNUMBER(SEARCH($K$1010:$K$1054, C368)), $K$1010:$K$1054, ""))</f>
        <v>DiGiorno</v>
      </c>
      <c r="H368" t="str">
        <f t="shared" si="21"/>
        <v>Prepared Food</v>
      </c>
      <c r="I368" t="str">
        <f t="shared" si="22"/>
        <v>Prepared Food</v>
      </c>
      <c r="J368">
        <v>3.99</v>
      </c>
      <c r="K368">
        <f>Table1[[#This Row],[Target_product_price]]/Table1[[#This Row],[product_price_per_oz]]</f>
        <v>0.46941176470588236</v>
      </c>
    </row>
    <row r="369" spans="1:11" x14ac:dyDescent="0.2">
      <c r="A369" t="s">
        <v>1009</v>
      </c>
      <c r="B369" t="s">
        <v>1010</v>
      </c>
      <c r="C369" t="s">
        <v>1011</v>
      </c>
      <c r="D369" t="str">
        <f>SUBSTITUTE(Table1[[#This Row],[Target_product_name]], "oz", " oz")</f>
        <v>DiGiorno Cheese Stuffed Crust Supreme Fr ozen Pizza - 26.4 oz</v>
      </c>
      <c r="E369" t="str">
        <f t="shared" si="25"/>
        <v>26.4oz</v>
      </c>
      <c r="F369" t="str">
        <f>LEFT(Table1[[#This Row],[Target_product_quantity]], FIND("o", Table1[[#This Row],[Target_product_quantity]])-1)</f>
        <v>26.4</v>
      </c>
      <c r="G369" t="str" cm="1">
        <f t="array" ref="G369">_xlfn.TEXTJOIN("", TRUE, IF(ISNUMBER(SEARCH($K$1010:$K$1054, C369)), $K$1010:$K$1054, ""))</f>
        <v>DiGiorno</v>
      </c>
      <c r="H369" t="str">
        <f t="shared" si="21"/>
        <v>Prepared Food</v>
      </c>
      <c r="I369" t="str">
        <f t="shared" si="22"/>
        <v>Prepared Food</v>
      </c>
      <c r="J369">
        <v>8.99</v>
      </c>
      <c r="K369">
        <f>Table1[[#This Row],[Target_product_price]]/Table1[[#This Row],[product_price_per_oz]]</f>
        <v>0.34053030303030307</v>
      </c>
    </row>
    <row r="370" spans="1:11" x14ac:dyDescent="0.2">
      <c r="A370" t="s">
        <v>1012</v>
      </c>
      <c r="B370" t="s">
        <v>1013</v>
      </c>
      <c r="C370" t="s">
        <v>1014</v>
      </c>
      <c r="D370" t="str">
        <f>SUBSTITUTE(Table1[[#This Row],[Target_product_name]], "oz", " oz")</f>
        <v>DiGiorno Cheese Stuffed Crust Three Meat Fr ozen Pizza - 9.2 oz</v>
      </c>
      <c r="E370" t="str">
        <f t="shared" si="25"/>
        <v>9.2oz</v>
      </c>
      <c r="F370" t="str">
        <f>LEFT(Table1[[#This Row],[Target_product_quantity]], FIND("o", Table1[[#This Row],[Target_product_quantity]])-1)</f>
        <v>9.2</v>
      </c>
      <c r="G370" t="str" cm="1">
        <f t="array" ref="G370">_xlfn.TEXTJOIN("", TRUE, IF(ISNUMBER(SEARCH($K$1010:$K$1054, C370)), $K$1010:$K$1054, ""))</f>
        <v>DiGiorno</v>
      </c>
      <c r="H370" t="str">
        <f t="shared" si="21"/>
        <v>Prepared Food</v>
      </c>
      <c r="I370" t="str">
        <f t="shared" si="22"/>
        <v>Prepared Food</v>
      </c>
      <c r="J370">
        <v>3.99</v>
      </c>
      <c r="K370">
        <f>Table1[[#This Row],[Target_product_price]]/Table1[[#This Row],[product_price_per_oz]]</f>
        <v>0.43369565217391309</v>
      </c>
    </row>
    <row r="371" spans="1:11" x14ac:dyDescent="0.2">
      <c r="A371" t="s">
        <v>1015</v>
      </c>
      <c r="B371" t="s">
        <v>1016</v>
      </c>
      <c r="C371" t="s">
        <v>1017</v>
      </c>
      <c r="D371" t="str">
        <f>SUBSTITUTE(Table1[[#This Row],[Target_product_name]], "oz", " oz")</f>
        <v>DiGiorno Five Cheese Fr ozen Pizza with Cheese Stuffed Crust - 22.2 oz</v>
      </c>
      <c r="E371" t="str">
        <f t="shared" si="25"/>
        <v>22.2oz</v>
      </c>
      <c r="F371" t="str">
        <f>LEFT(Table1[[#This Row],[Target_product_quantity]], FIND("o", Table1[[#This Row],[Target_product_quantity]])-1)</f>
        <v>22.2</v>
      </c>
      <c r="G371" t="str" cm="1">
        <f t="array" ref="G371">_xlfn.TEXTJOIN("", TRUE, IF(ISNUMBER(SEARCH($K$1010:$K$1054, C371)), $K$1010:$K$1054, ""))</f>
        <v>DiGiorno</v>
      </c>
      <c r="H371" t="str">
        <f t="shared" si="21"/>
        <v>Prepared Food</v>
      </c>
      <c r="I371" t="str">
        <f t="shared" si="22"/>
        <v>Prepared Food</v>
      </c>
      <c r="J371">
        <v>8.99</v>
      </c>
      <c r="K371">
        <f>Table1[[#This Row],[Target_product_price]]/Table1[[#This Row],[product_price_per_oz]]</f>
        <v>0.40495495495495498</v>
      </c>
    </row>
    <row r="372" spans="1:11" x14ac:dyDescent="0.2">
      <c r="A372" t="s">
        <v>1018</v>
      </c>
      <c r="B372" t="s">
        <v>1019</v>
      </c>
      <c r="C372" t="s">
        <v>1020</v>
      </c>
      <c r="D372" t="str">
        <f>SUBSTITUTE(Table1[[#This Row],[Target_product_name]], "oz", " oz")</f>
        <v>DiGiorno Pepperoni Fr ozen Pizza with Cheese Stuffed Crust - 22.2 oz</v>
      </c>
      <c r="E372" t="str">
        <f t="shared" si="25"/>
        <v>22.2oz</v>
      </c>
      <c r="F372" t="str">
        <f>LEFT(Table1[[#This Row],[Target_product_quantity]], FIND("o", Table1[[#This Row],[Target_product_quantity]])-1)</f>
        <v>22.2</v>
      </c>
      <c r="G372" t="str" cm="1">
        <f t="array" ref="G372">_xlfn.TEXTJOIN("", TRUE, IF(ISNUMBER(SEARCH($K$1010:$K$1054, C372)), $K$1010:$K$1054, ""))</f>
        <v>DiGiorno</v>
      </c>
      <c r="H372" t="str">
        <f t="shared" si="21"/>
        <v>Prepared Food</v>
      </c>
      <c r="I372" t="str">
        <f t="shared" si="22"/>
        <v>Prepared Food</v>
      </c>
      <c r="J372">
        <v>8.99</v>
      </c>
      <c r="K372">
        <f>Table1[[#This Row],[Target_product_price]]/Table1[[#This Row],[product_price_per_oz]]</f>
        <v>0.40495495495495498</v>
      </c>
    </row>
    <row r="373" spans="1:11" x14ac:dyDescent="0.2">
      <c r="A373" t="s">
        <v>1021</v>
      </c>
      <c r="B373" t="s">
        <v>1022</v>
      </c>
      <c r="C373" t="s">
        <v>1023</v>
      </c>
      <c r="D373" t="str">
        <f>SUBSTITUTE(Table1[[#This Row],[Target_product_name]], "oz", " oz")</f>
        <v>DiGiorno Pepperoni Gluten Free Fr ozen Pizza - 24.2 oz</v>
      </c>
      <c r="E373" t="str">
        <f t="shared" si="25"/>
        <v>24.2oz</v>
      </c>
      <c r="F373" t="str">
        <f>LEFT(Table1[[#This Row],[Target_product_quantity]], FIND("o", Table1[[#This Row],[Target_product_quantity]])-1)</f>
        <v>24.2</v>
      </c>
      <c r="G373" t="str" cm="1">
        <f t="array" ref="G373">_xlfn.TEXTJOIN("", TRUE, IF(ISNUMBER(SEARCH($K$1010:$K$1054, C373)), $K$1010:$K$1054, ""))</f>
        <v>DiGiorno</v>
      </c>
      <c r="H373" t="str">
        <f t="shared" si="21"/>
        <v>Prepared Food</v>
      </c>
      <c r="I373" t="str">
        <f t="shared" si="22"/>
        <v>Prepared Food</v>
      </c>
      <c r="J373">
        <v>8.99</v>
      </c>
      <c r="K373">
        <f>Table1[[#This Row],[Target_product_price]]/Table1[[#This Row],[product_price_per_oz]]</f>
        <v>0.37148760330578512</v>
      </c>
    </row>
    <row r="374" spans="1:11" x14ac:dyDescent="0.2">
      <c r="A374" t="s">
        <v>1024</v>
      </c>
      <c r="B374" t="s">
        <v>1025</v>
      </c>
      <c r="C374" t="s">
        <v>1026</v>
      </c>
      <c r="D374" t="str">
        <f>SUBSTITUTE(Table1[[#This Row],[Target_product_name]], "oz", " oz")</f>
        <v>DiGiorno Rising Crust Four Cheese Fr ozen Pizza - 24.6 oz</v>
      </c>
      <c r="E374" t="str">
        <f t="shared" si="25"/>
        <v>24.6oz</v>
      </c>
      <c r="F374" t="str">
        <f>LEFT(Table1[[#This Row],[Target_product_quantity]], FIND("o", Table1[[#This Row],[Target_product_quantity]])-1)</f>
        <v>24.6</v>
      </c>
      <c r="G374" t="str" cm="1">
        <f t="array" ref="G374">_xlfn.TEXTJOIN("", TRUE, IF(ISNUMBER(SEARCH($K$1010:$K$1054, C374)), $K$1010:$K$1054, ""))</f>
        <v>DiGiorno</v>
      </c>
      <c r="H374" t="str">
        <f t="shared" si="21"/>
        <v>Prepared Food</v>
      </c>
      <c r="I374" t="str">
        <f t="shared" si="22"/>
        <v>Prepared Food</v>
      </c>
      <c r="J374">
        <v>6.49</v>
      </c>
      <c r="K374">
        <f>Table1[[#This Row],[Target_product_price]]/Table1[[#This Row],[product_price_per_oz]]</f>
        <v>0.26382113821138209</v>
      </c>
    </row>
    <row r="375" spans="1:11" x14ac:dyDescent="0.2">
      <c r="A375" t="s">
        <v>1027</v>
      </c>
      <c r="B375" t="s">
        <v>1028</v>
      </c>
      <c r="C375" t="s">
        <v>1029</v>
      </c>
      <c r="D375" t="str">
        <f>SUBSTITUTE(Table1[[#This Row],[Target_product_name]], "oz", " oz")</f>
        <v>DiGiorno Rising Crust Pepperoni Fr ozen Pizza - 24.7 oz</v>
      </c>
      <c r="E375" t="str">
        <f t="shared" si="25"/>
        <v>24.7oz</v>
      </c>
      <c r="F375" t="str">
        <f>LEFT(Table1[[#This Row],[Target_product_quantity]], FIND("o", Table1[[#This Row],[Target_product_quantity]])-1)</f>
        <v>24.7</v>
      </c>
      <c r="G375" t="str" cm="1">
        <f t="array" ref="G375">_xlfn.TEXTJOIN("", TRUE, IF(ISNUMBER(SEARCH($K$1010:$K$1054, C375)), $K$1010:$K$1054, ""))</f>
        <v>DiGiorno</v>
      </c>
      <c r="H375" t="str">
        <f t="shared" si="21"/>
        <v>Prepared Food</v>
      </c>
      <c r="I375" t="str">
        <f t="shared" si="22"/>
        <v>Prepared Food</v>
      </c>
      <c r="J375">
        <v>6.49</v>
      </c>
      <c r="K375">
        <f>Table1[[#This Row],[Target_product_price]]/Table1[[#This Row],[product_price_per_oz]]</f>
        <v>0.26275303643724696</v>
      </c>
    </row>
    <row r="376" spans="1:11" x14ac:dyDescent="0.2">
      <c r="A376" t="s">
        <v>1030</v>
      </c>
      <c r="B376" t="s">
        <v>1031</v>
      </c>
      <c r="C376" t="s">
        <v>1032</v>
      </c>
      <c r="D376" t="str">
        <f>SUBSTITUTE(Table1[[#This Row],[Target_product_name]], "oz", " oz")</f>
        <v>DiGiorno Rising Crust Supreme Fr ozen Pizza - 29.3 oz</v>
      </c>
      <c r="E376" t="str">
        <f t="shared" si="25"/>
        <v>29.3oz</v>
      </c>
      <c r="F376" t="str">
        <f>LEFT(Table1[[#This Row],[Target_product_quantity]], FIND("o", Table1[[#This Row],[Target_product_quantity]])-1)</f>
        <v>29.3</v>
      </c>
      <c r="G376" t="str" cm="1">
        <f t="array" ref="G376">_xlfn.TEXTJOIN("", TRUE, IF(ISNUMBER(SEARCH($K$1010:$K$1054, C376)), $K$1010:$K$1054, ""))</f>
        <v>DiGiorno</v>
      </c>
      <c r="H376" t="str">
        <f t="shared" si="21"/>
        <v>Prepared Food</v>
      </c>
      <c r="I376" t="str">
        <f t="shared" si="22"/>
        <v>Prepared Food</v>
      </c>
      <c r="J376">
        <v>6.49</v>
      </c>
      <c r="K376">
        <f>Table1[[#This Row],[Target_product_price]]/Table1[[#This Row],[product_price_per_oz]]</f>
        <v>0.22150170648464165</v>
      </c>
    </row>
    <row r="377" spans="1:11" x14ac:dyDescent="0.2">
      <c r="A377" t="s">
        <v>1033</v>
      </c>
      <c r="B377" t="s">
        <v>1034</v>
      </c>
      <c r="C377" t="s">
        <v>1035</v>
      </c>
      <c r="D377" t="str">
        <f>SUBSTITUTE(Table1[[#This Row],[Target_product_name]], "oz", " oz")</f>
        <v>DiGiorno Rising Crust Three Meat Fr ozen Pizza - 27.1 oz</v>
      </c>
      <c r="E377" t="str">
        <f t="shared" si="25"/>
        <v>27.1oz</v>
      </c>
      <c r="F377" t="str">
        <f>LEFT(Table1[[#This Row],[Target_product_quantity]], FIND("o", Table1[[#This Row],[Target_product_quantity]])-1)</f>
        <v>27.1</v>
      </c>
      <c r="G377" t="str" cm="1">
        <f t="array" ref="G377">_xlfn.TEXTJOIN("", TRUE, IF(ISNUMBER(SEARCH($K$1010:$K$1054, C377)), $K$1010:$K$1054, ""))</f>
        <v>DiGiorno</v>
      </c>
      <c r="H377" t="str">
        <f t="shared" si="21"/>
        <v>Prepared Food</v>
      </c>
      <c r="I377" t="str">
        <f t="shared" si="22"/>
        <v>Prepared Food</v>
      </c>
      <c r="J377">
        <v>6.49</v>
      </c>
      <c r="K377">
        <f>Table1[[#This Row],[Target_product_price]]/Table1[[#This Row],[product_price_per_oz]]</f>
        <v>0.23948339483394834</v>
      </c>
    </row>
    <row r="378" spans="1:11" x14ac:dyDescent="0.2">
      <c r="A378" t="s">
        <v>1036</v>
      </c>
      <c r="B378" t="s">
        <v>1037</v>
      </c>
      <c r="C378" t="s">
        <v>1038</v>
      </c>
      <c r="D378" t="str">
        <f>SUBSTITUTE(Table1[[#This Row],[Target_product_name]], "oz", " oz")</f>
        <v>DiGiorno Thin &amp; Crispy Stuffed Crust Margherita Fr ozen Pizza - 21 oz</v>
      </c>
      <c r="E378" t="str">
        <f t="shared" si="25"/>
        <v>21oz</v>
      </c>
      <c r="F378" t="str">
        <f>LEFT(Table1[[#This Row],[Target_product_quantity]], FIND("o", Table1[[#This Row],[Target_product_quantity]])-1)</f>
        <v>21</v>
      </c>
      <c r="G378" t="str" cm="1">
        <f t="array" ref="G378">_xlfn.TEXTJOIN("", TRUE, IF(ISNUMBER(SEARCH($K$1010:$K$1054, C378)), $K$1010:$K$1054, ""))</f>
        <v>DiGiorno</v>
      </c>
      <c r="H378" t="str">
        <f t="shared" si="21"/>
        <v>Prepared Food</v>
      </c>
      <c r="I378" t="str">
        <f t="shared" si="22"/>
        <v>Prepared Food</v>
      </c>
      <c r="J378">
        <v>8.49</v>
      </c>
      <c r="K378">
        <f>Table1[[#This Row],[Target_product_price]]/Table1[[#This Row],[product_price_per_oz]]</f>
        <v>0.4042857142857143</v>
      </c>
    </row>
    <row r="379" spans="1:11" x14ac:dyDescent="0.2">
      <c r="A379" t="s">
        <v>1039</v>
      </c>
      <c r="B379" t="s">
        <v>1040</v>
      </c>
      <c r="C379" t="s">
        <v>1041</v>
      </c>
      <c r="D379" t="str">
        <f>SUBSTITUTE(Table1[[#This Row],[Target_product_name]], "oz", " oz")</f>
        <v>DiGiorno Thin &amp; Crispy Stuffed Crust Pepperoni &amp; Sausage Fr ozen Pizza - 21.4 oz</v>
      </c>
      <c r="E379" t="str">
        <f t="shared" si="25"/>
        <v>21.4oz</v>
      </c>
      <c r="F379" t="str">
        <f>LEFT(Table1[[#This Row],[Target_product_quantity]], FIND("o", Table1[[#This Row],[Target_product_quantity]])-1)</f>
        <v>21.4</v>
      </c>
      <c r="G379" t="str" cm="1">
        <f t="array" ref="G379">_xlfn.TEXTJOIN("", TRUE, IF(ISNUMBER(SEARCH($K$1010:$K$1054, C379)), $K$1010:$K$1054, ""))</f>
        <v>DiGiorno</v>
      </c>
      <c r="H379" t="str">
        <f t="shared" si="21"/>
        <v>Prepared Food</v>
      </c>
      <c r="I379" t="str">
        <f t="shared" si="22"/>
        <v>Prepared Food</v>
      </c>
      <c r="J379">
        <v>8.49</v>
      </c>
      <c r="K379">
        <f>Table1[[#This Row],[Target_product_price]]/Table1[[#This Row],[product_price_per_oz]]</f>
        <v>0.39672897196261686</v>
      </c>
    </row>
    <row r="380" spans="1:11" x14ac:dyDescent="0.2">
      <c r="A380" t="s">
        <v>1042</v>
      </c>
      <c r="B380" t="s">
        <v>1043</v>
      </c>
      <c r="C380" t="s">
        <v>1044</v>
      </c>
      <c r="D380" t="str">
        <f>SUBSTITUTE(Table1[[#This Row],[Target_product_name]], "oz", " oz")</f>
        <v>DiGiorno Thin Crust Pepperoni Fr ozen Pizza - 16.9 oz</v>
      </c>
      <c r="E380" t="str">
        <f t="shared" si="25"/>
        <v>16.9oz</v>
      </c>
      <c r="F380" t="str">
        <f>LEFT(Table1[[#This Row],[Target_product_quantity]], FIND("o", Table1[[#This Row],[Target_product_quantity]])-1)</f>
        <v>16.9</v>
      </c>
      <c r="G380" t="str" cm="1">
        <f t="array" ref="G380">_xlfn.TEXTJOIN("", TRUE, IF(ISNUMBER(SEARCH($K$1010:$K$1054, C380)), $K$1010:$K$1054, ""))</f>
        <v>DiGiorno</v>
      </c>
      <c r="H380" t="str">
        <f t="shared" si="21"/>
        <v>Prepared Food</v>
      </c>
      <c r="I380" t="str">
        <f t="shared" si="22"/>
        <v>Prepared Food</v>
      </c>
      <c r="J380">
        <v>6.49</v>
      </c>
      <c r="K380">
        <f>Table1[[#This Row],[Target_product_price]]/Table1[[#This Row],[product_price_per_oz]]</f>
        <v>0.38402366863905329</v>
      </c>
    </row>
    <row r="381" spans="1:11" x14ac:dyDescent="0.2">
      <c r="A381" t="s">
        <v>1045</v>
      </c>
      <c r="B381" t="s">
        <v>1046</v>
      </c>
      <c r="C381" t="s">
        <v>1047</v>
      </c>
      <c r="D381" t="str">
        <f>SUBSTITUTE(Table1[[#This Row],[Target_product_name]], "oz", " oz")</f>
        <v>DiGiorno Three Meat Fr ozen Pizza with Cheese Stuffed Crust - 24.5 oz</v>
      </c>
      <c r="E381" t="str">
        <f t="shared" si="25"/>
        <v>24.5oz</v>
      </c>
      <c r="F381" t="str">
        <f>LEFT(Table1[[#This Row],[Target_product_quantity]], FIND("o", Table1[[#This Row],[Target_product_quantity]])-1)</f>
        <v>24.5</v>
      </c>
      <c r="G381" t="str" cm="1">
        <f t="array" ref="G381">_xlfn.TEXTJOIN("", TRUE, IF(ISNUMBER(SEARCH($K$1010:$K$1054, C381)), $K$1010:$K$1054, ""))</f>
        <v>DiGiorno</v>
      </c>
      <c r="H381" t="str">
        <f t="shared" si="21"/>
        <v>Prepared Food</v>
      </c>
      <c r="I381" t="str">
        <f t="shared" si="22"/>
        <v>Prepared Food</v>
      </c>
      <c r="J381">
        <v>8.99</v>
      </c>
      <c r="K381">
        <f>Table1[[#This Row],[Target_product_price]]/Table1[[#This Row],[product_price_per_oz]]</f>
        <v>0.3669387755102041</v>
      </c>
    </row>
    <row r="382" spans="1:11" x14ac:dyDescent="0.2">
      <c r="A382" t="s">
        <v>1048</v>
      </c>
      <c r="B382" t="s">
        <v>1049</v>
      </c>
      <c r="C382" t="s">
        <v>1050</v>
      </c>
      <c r="D382" t="str">
        <f>SUBSTITUTE(Table1[[#This Row],[Target_product_name]], "oz", " oz")</f>
        <v>DiGiorno Traditional Crust Four Cheese Fr ozen Pizza - 9.2 oz</v>
      </c>
      <c r="E382" t="str">
        <f t="shared" si="25"/>
        <v>9.2oz</v>
      </c>
      <c r="F382" t="str">
        <f>LEFT(Table1[[#This Row],[Target_product_quantity]], FIND("o", Table1[[#This Row],[Target_product_quantity]])-1)</f>
        <v>9.2</v>
      </c>
      <c r="G382" t="str" cm="1">
        <f t="array" ref="G382">_xlfn.TEXTJOIN("", TRUE, IF(ISNUMBER(SEARCH($K$1010:$K$1054, C382)), $K$1010:$K$1054, ""))</f>
        <v>DiGiorno</v>
      </c>
      <c r="H382" t="str">
        <f t="shared" si="21"/>
        <v>Prepared Food</v>
      </c>
      <c r="I382" t="str">
        <f t="shared" si="22"/>
        <v>Prepared Food</v>
      </c>
      <c r="J382">
        <v>3.99</v>
      </c>
      <c r="K382">
        <f>Table1[[#This Row],[Target_product_price]]/Table1[[#This Row],[product_price_per_oz]]</f>
        <v>0.43369565217391309</v>
      </c>
    </row>
    <row r="383" spans="1:11" x14ac:dyDescent="0.2">
      <c r="A383" t="s">
        <v>1051</v>
      </c>
      <c r="B383" t="s">
        <v>1052</v>
      </c>
      <c r="C383" t="s">
        <v>1053</v>
      </c>
      <c r="D383" t="str">
        <f>SUBSTITUTE(Table1[[#This Row],[Target_product_name]], "oz", " oz")</f>
        <v>DiGiorno Traditional Crust Pepperoni Fr ozen Pizza - 9.3 oz</v>
      </c>
      <c r="E383" t="str">
        <f t="shared" si="25"/>
        <v>9.3oz</v>
      </c>
      <c r="F383" t="str">
        <f>LEFT(Table1[[#This Row],[Target_product_quantity]], FIND("o", Table1[[#This Row],[Target_product_quantity]])-1)</f>
        <v>9.3</v>
      </c>
      <c r="G383" t="str" cm="1">
        <f t="array" ref="G383">_xlfn.TEXTJOIN("", TRUE, IF(ISNUMBER(SEARCH($K$1010:$K$1054, C383)), $K$1010:$K$1054, ""))</f>
        <v>DiGiorno</v>
      </c>
      <c r="H383" t="str">
        <f t="shared" si="21"/>
        <v>Prepared Food</v>
      </c>
      <c r="I383" t="str">
        <f t="shared" si="22"/>
        <v>Prepared Food</v>
      </c>
      <c r="J383">
        <v>3.99</v>
      </c>
      <c r="K383">
        <f>Table1[[#This Row],[Target_product_price]]/Table1[[#This Row],[product_price_per_oz]]</f>
        <v>0.42903225806451611</v>
      </c>
    </row>
    <row r="384" spans="1:11" x14ac:dyDescent="0.2">
      <c r="A384" t="s">
        <v>1054</v>
      </c>
      <c r="B384" t="s">
        <v>1055</v>
      </c>
      <c r="C384" t="s">
        <v>1056</v>
      </c>
      <c r="D384" t="str">
        <f>SUBSTITUTE(Table1[[#This Row],[Target_product_name]], "oz", " oz")</f>
        <v>Dole 100% Pineapple Juice - 46 fl  oz Can</v>
      </c>
      <c r="E384" t="s">
        <v>1057</v>
      </c>
      <c r="F384" t="str">
        <f>LEFT(Table1[[#This Row],[Target_product_quantity]], FIND("o", Table1[[#This Row],[Target_product_quantity]])-1)</f>
        <v>46</v>
      </c>
      <c r="G384" t="str" cm="1">
        <f t="array" ref="G384">_xlfn.TEXTJOIN("", TRUE, IF(ISNUMBER(SEARCH($K$1010:$K$1054, C384)), $K$1010:$K$1054, ""))</f>
        <v>Dole</v>
      </c>
      <c r="H384" t="str">
        <f t="shared" si="21"/>
        <v>Canned Fruit</v>
      </c>
      <c r="I384" t="str">
        <f t="shared" si="22"/>
        <v>Fruit &amp; Vegetables</v>
      </c>
      <c r="J384" s="4">
        <v>3.99</v>
      </c>
      <c r="K384">
        <f>Table1[[#This Row],[Target_product_price]]/Table1[[#This Row],[product_price_per_oz]]</f>
        <v>8.673913043478261E-2</v>
      </c>
    </row>
    <row r="385" spans="1:11" x14ac:dyDescent="0.2">
      <c r="A385" t="s">
        <v>1058</v>
      </c>
      <c r="B385" t="s">
        <v>1059</v>
      </c>
      <c r="C385" t="s">
        <v>1060</v>
      </c>
      <c r="D385" t="str">
        <f>SUBSTITUTE(Table1[[#This Row],[Target_product_name]], "oz", " oz")</f>
        <v>Dole 100% Pineapple Juice - 6pk/6 fl  oz Cans</v>
      </c>
      <c r="E385" t="s">
        <v>3005</v>
      </c>
      <c r="F385" t="str">
        <f>LEFT(Table1[[#This Row],[Target_product_quantity]], FIND("o", Table1[[#This Row],[Target_product_quantity]])-1)</f>
        <v>36</v>
      </c>
      <c r="G385" t="str" cm="1">
        <f t="array" ref="G385">_xlfn.TEXTJOIN("", TRUE, IF(ISNUMBER(SEARCH($K$1010:$K$1054, C385)), $K$1010:$K$1054, ""))</f>
        <v>Dole</v>
      </c>
      <c r="H385" t="str">
        <f t="shared" si="21"/>
        <v>Canned Fruit</v>
      </c>
      <c r="I385" t="str">
        <f t="shared" si="22"/>
        <v>Fruit &amp; Vegetables</v>
      </c>
      <c r="J385" s="4">
        <v>4.29</v>
      </c>
      <c r="K385">
        <f>Table1[[#This Row],[Target_product_price]]/Table1[[#This Row],[product_price_per_oz]]</f>
        <v>0.11916666666666667</v>
      </c>
    </row>
    <row r="386" spans="1:11" x14ac:dyDescent="0.2">
      <c r="A386" t="s">
        <v>1061</v>
      </c>
      <c r="B386" t="s">
        <v>1062</v>
      </c>
      <c r="C386" t="s">
        <v>1063</v>
      </c>
      <c r="D386" t="str">
        <f>SUBSTITUTE(Table1[[#This Row],[Target_product_name]], "oz", " oz")</f>
        <v>Dole Lite Pineapple Juice - 6pk/6 fl  oz Cans</v>
      </c>
      <c r="E386" t="s">
        <v>3005</v>
      </c>
      <c r="F386" t="str">
        <f>LEFT(Table1[[#This Row],[Target_product_quantity]], FIND("o", Table1[[#This Row],[Target_product_quantity]])-1)</f>
        <v>36</v>
      </c>
      <c r="G386" t="str" cm="1">
        <f t="array" ref="G386">_xlfn.TEXTJOIN("", TRUE, IF(ISNUMBER(SEARCH($K$1010:$K$1054, C386)), $K$1010:$K$1054, ""))</f>
        <v>Dole</v>
      </c>
      <c r="H386" t="str">
        <f t="shared" ref="H386:H449" si="26">IF(OR(G386="Mission",G386="Nature's Own",G386="Sara Lee"),"Bread",
IF(OR(G386="Del Monte",G386="Dole",G386="Mott's"),"Canned Fruit",
IF(OR(G386="Goya",G386="Hunt's",G386="Birds Eye"),"Canned Vegetables",
IF(OR(G386="Fairlife",G386="Horizon Organic",G386="Lactaid",G386="Ben &amp; Jerry's"),"Milk",
IF(OR(G386="BelGioioso",G386="Kraft",G386="Philadelphia"),"Cheese",
IF(OR(G386="Chobani",G386="Oikos",G386="Light + Fit"),"Yogurt",
IF(OR(G386="Barilla",G386="Annie's",G386="Rao's Homemade"),"Pasta",
IF(OR(G386="Hershey's",G386="Lay's",G386="Totino's",G386="Cheerios",G386="Jif",G386="Skippy",G386="Nature Valley",G386="Oreo",G386="DiGiorno",G386="Eggo"),"Prepared Food",
IF(OR(G386="Ben's Original",G386="Lundberg",G386="Quaker"),"Rice",
IF(OR(G386="Bush's",G386="Hillshire Farm",G386="Oscar Mayer",G386="SPAM"),"Protein",
IF(OR(G386="Starbucks",G386="Sparkling Ice",G386="Coca-Cola",G386="San Pellegrino",G386="Gatorade",G386="Arizona"),"Beverages",
"Other")))))))))))</f>
        <v>Canned Fruit</v>
      </c>
      <c r="I386" t="str">
        <f t="shared" ref="I386:I449" si="27">IF(OR(H386="Bread",H386="Rice",H386="Pasta"), "Grain",
IF(OR(H386="Milk",H386="Cheese",H386="Yogurt"), "Dairy",
IF(OR(H386="Canned Fruit",H386="Canned Vegetables"), "Fruit &amp; Vegetables",
IF(H386="Prepared Food", "Prepared Food",
IF(H386="Protein", "Protein",
IF(H386="Beverages", "Beverages",
"Other"))))))</f>
        <v>Fruit &amp; Vegetables</v>
      </c>
      <c r="J386" s="4">
        <v>4.29</v>
      </c>
      <c r="K386">
        <f>Table1[[#This Row],[Target_product_price]]/Table1[[#This Row],[product_price_per_oz]]</f>
        <v>0.11916666666666667</v>
      </c>
    </row>
    <row r="387" spans="1:11" x14ac:dyDescent="0.2">
      <c r="A387" t="s">
        <v>1064</v>
      </c>
      <c r="B387" t="s">
        <v>1065</v>
      </c>
      <c r="C387" t="s">
        <v>1066</v>
      </c>
      <c r="D387" t="str">
        <f>SUBSTITUTE(Table1[[#This Row],[Target_product_name]], "oz", " oz")</f>
        <v>Dole Mandarin Oranges in 100% Juice - 4 oz/12ct</v>
      </c>
      <c r="E387" t="s">
        <v>936</v>
      </c>
      <c r="F387" t="str">
        <f>LEFT(Table1[[#This Row],[Target_product_quantity]], FIND("o", Table1[[#This Row],[Target_product_quantity]])-1)</f>
        <v>48</v>
      </c>
      <c r="G387" t="str" cm="1">
        <f t="array" ref="G387">_xlfn.TEXTJOIN("", TRUE, IF(ISNUMBER(SEARCH($K$1010:$K$1054, C387)), $K$1010:$K$1054, ""))</f>
        <v>Dole</v>
      </c>
      <c r="H387" t="str">
        <f t="shared" si="26"/>
        <v>Canned Fruit</v>
      </c>
      <c r="I387" t="str">
        <f t="shared" si="27"/>
        <v>Fruit &amp; Vegetables</v>
      </c>
      <c r="J387" s="4">
        <v>9.39</v>
      </c>
      <c r="K387">
        <f>Table1[[#This Row],[Target_product_price]]/Table1[[#This Row],[product_price_per_oz]]</f>
        <v>0.19562500000000002</v>
      </c>
    </row>
    <row r="388" spans="1:11" x14ac:dyDescent="0.2">
      <c r="A388" t="s">
        <v>1067</v>
      </c>
      <c r="B388" t="s">
        <v>1068</v>
      </c>
      <c r="C388" t="s">
        <v>1069</v>
      </c>
      <c r="D388" t="str">
        <f>SUBSTITUTE(Table1[[#This Row],[Target_product_name]], "oz", " oz")</f>
        <v>Dole Mandarin Oranges No Sugar Added - 16 oz/4ct</v>
      </c>
      <c r="E388" t="s">
        <v>2002</v>
      </c>
      <c r="F388" t="str">
        <f>LEFT(Table1[[#This Row],[Target_product_quantity]], FIND("o", Table1[[#This Row],[Target_product_quantity]])-1)</f>
        <v>64</v>
      </c>
      <c r="G388" t="str" cm="1">
        <f t="array" ref="G388">_xlfn.TEXTJOIN("", TRUE, IF(ISNUMBER(SEARCH($K$1010:$K$1054, C388)), $K$1010:$K$1054, ""))</f>
        <v>Dole</v>
      </c>
      <c r="H388" t="str">
        <f t="shared" si="26"/>
        <v>Canned Fruit</v>
      </c>
      <c r="I388" t="str">
        <f t="shared" si="27"/>
        <v>Fruit &amp; Vegetables</v>
      </c>
      <c r="J388" s="4">
        <v>2.99</v>
      </c>
      <c r="K388">
        <f>Table1[[#This Row],[Target_product_price]]/Table1[[#This Row],[product_price_per_oz]]</f>
        <v>4.6718750000000003E-2</v>
      </c>
    </row>
    <row r="389" spans="1:11" x14ac:dyDescent="0.2">
      <c r="A389" t="s">
        <v>1070</v>
      </c>
      <c r="B389" t="s">
        <v>1071</v>
      </c>
      <c r="C389" t="s">
        <v>1072</v>
      </c>
      <c r="D389" t="str">
        <f>SUBSTITUTE(Table1[[#This Row],[Target_product_name]], "oz", " oz")</f>
        <v>Dole Mandarins in 100% Juice - 16 oz/4ct</v>
      </c>
      <c r="E389" t="s">
        <v>2002</v>
      </c>
      <c r="F389" t="str">
        <f>LEFT(Table1[[#This Row],[Target_product_quantity]], FIND("o", Table1[[#This Row],[Target_product_quantity]])-1)</f>
        <v>64</v>
      </c>
      <c r="G389" t="str" cm="1">
        <f t="array" ref="G389">_xlfn.TEXTJOIN("", TRUE, IF(ISNUMBER(SEARCH($K$1010:$K$1054, C389)), $K$1010:$K$1054, ""))</f>
        <v>Dole</v>
      </c>
      <c r="H389" t="str">
        <f t="shared" si="26"/>
        <v>Canned Fruit</v>
      </c>
      <c r="I389" t="str">
        <f t="shared" si="27"/>
        <v>Fruit &amp; Vegetables</v>
      </c>
      <c r="J389" s="4">
        <v>2.99</v>
      </c>
      <c r="K389">
        <f>Table1[[#This Row],[Target_product_price]]/Table1[[#This Row],[product_price_per_oz]]</f>
        <v>4.6718750000000003E-2</v>
      </c>
    </row>
    <row r="390" spans="1:11" x14ac:dyDescent="0.2">
      <c r="A390" t="s">
        <v>1073</v>
      </c>
      <c r="B390" t="s">
        <v>1074</v>
      </c>
      <c r="C390" t="s">
        <v>1075</v>
      </c>
      <c r="D390" t="str">
        <f>SUBSTITUTE(Table1[[#This Row],[Target_product_name]], "oz", " oz")</f>
        <v>Dole Orange Peach Mango Juice - 59 fl  oz</v>
      </c>
      <c r="E390" t="s">
        <v>1076</v>
      </c>
      <c r="F390" t="str">
        <f>LEFT(Table1[[#This Row],[Target_product_quantity]], FIND("o", Table1[[#This Row],[Target_product_quantity]])-1)</f>
        <v>59</v>
      </c>
      <c r="G390" t="str" cm="1">
        <f t="array" ref="G390">_xlfn.TEXTJOIN("", TRUE, IF(ISNUMBER(SEARCH($K$1010:$K$1054, C390)), $K$1010:$K$1054, ""))</f>
        <v>Dole</v>
      </c>
      <c r="H390" t="str">
        <f t="shared" si="26"/>
        <v>Canned Fruit</v>
      </c>
      <c r="I390" t="str">
        <f t="shared" si="27"/>
        <v>Fruit &amp; Vegetables</v>
      </c>
      <c r="J390" s="4">
        <v>3.99</v>
      </c>
      <c r="K390">
        <f>Table1[[#This Row],[Target_product_price]]/Table1[[#This Row],[product_price_per_oz]]</f>
        <v>6.7627118644067799E-2</v>
      </c>
    </row>
    <row r="391" spans="1:11" x14ac:dyDescent="0.2">
      <c r="A391" t="s">
        <v>1077</v>
      </c>
      <c r="B391" t="s">
        <v>1078</v>
      </c>
      <c r="C391" t="s">
        <v>1079</v>
      </c>
      <c r="D391" t="str">
        <f>SUBSTITUTE(Table1[[#This Row],[Target_product_name]], "oz", " oz")</f>
        <v>Dole Pineapple Chunks in Juice - 20 oz</v>
      </c>
      <c r="E391" t="str">
        <f>TRIM(RIGHT(C391, LEN(C391) - FIND("-", C391)))</f>
        <v>20oz</v>
      </c>
      <c r="F391" t="str">
        <f>LEFT(Table1[[#This Row],[Target_product_quantity]], FIND("o", Table1[[#This Row],[Target_product_quantity]])-1)</f>
        <v>20</v>
      </c>
      <c r="G391" t="str" cm="1">
        <f t="array" ref="G391">_xlfn.TEXTJOIN("", TRUE, IF(ISNUMBER(SEARCH($K$1010:$K$1054, C391)), $K$1010:$K$1054, ""))</f>
        <v>Dole</v>
      </c>
      <c r="H391" t="str">
        <f t="shared" si="26"/>
        <v>Canned Fruit</v>
      </c>
      <c r="I391" t="str">
        <f t="shared" si="27"/>
        <v>Fruit &amp; Vegetables</v>
      </c>
      <c r="J391" s="4">
        <v>1.99</v>
      </c>
      <c r="K391">
        <f>Table1[[#This Row],[Target_product_price]]/Table1[[#This Row],[product_price_per_oz]]</f>
        <v>9.9500000000000005E-2</v>
      </c>
    </row>
    <row r="392" spans="1:11" x14ac:dyDescent="0.2">
      <c r="A392" t="s">
        <v>1080</v>
      </c>
      <c r="B392" t="s">
        <v>1081</v>
      </c>
      <c r="C392" t="s">
        <v>1082</v>
      </c>
      <c r="D392" t="str">
        <f>SUBSTITUTE(Table1[[#This Row],[Target_product_name]], "oz", " oz")</f>
        <v>Dole Pineapple Orange Banana Juice - 59 fl  oz</v>
      </c>
      <c r="E392" t="s">
        <v>1076</v>
      </c>
      <c r="F392" t="str">
        <f>LEFT(Table1[[#This Row],[Target_product_quantity]], FIND("o", Table1[[#This Row],[Target_product_quantity]])-1)</f>
        <v>59</v>
      </c>
      <c r="G392" t="str" cm="1">
        <f t="array" ref="G392">_xlfn.TEXTJOIN("", TRUE, IF(ISNUMBER(SEARCH($K$1010:$K$1054, C392)), $K$1010:$K$1054, ""))</f>
        <v>Dole</v>
      </c>
      <c r="H392" t="str">
        <f t="shared" si="26"/>
        <v>Canned Fruit</v>
      </c>
      <c r="I392" t="str">
        <f t="shared" si="27"/>
        <v>Fruit &amp; Vegetables</v>
      </c>
      <c r="J392" s="4">
        <v>3.99</v>
      </c>
      <c r="K392">
        <f>Table1[[#This Row],[Target_product_price]]/Table1[[#This Row],[product_price_per_oz]]</f>
        <v>6.7627118644067799E-2</v>
      </c>
    </row>
    <row r="393" spans="1:11" x14ac:dyDescent="0.2">
      <c r="A393" t="s">
        <v>1083</v>
      </c>
      <c r="B393" t="s">
        <v>1084</v>
      </c>
      <c r="C393" t="s">
        <v>1085</v>
      </c>
      <c r="D393" t="str">
        <f>SUBSTITUTE(Table1[[#This Row],[Target_product_name]], "oz", " oz")</f>
        <v>Dole Pineapple Slices in Juice - 20 oz</v>
      </c>
      <c r="E393" t="str">
        <f t="shared" ref="E393:E453" si="28">TRIM(RIGHT(C393, LEN(C393) - FIND("-", C393)))</f>
        <v>20oz</v>
      </c>
      <c r="F393" t="str">
        <f>LEFT(Table1[[#This Row],[Target_product_quantity]], FIND("o", Table1[[#This Row],[Target_product_quantity]])-1)</f>
        <v>20</v>
      </c>
      <c r="G393" t="str" cm="1">
        <f t="array" ref="G393">_xlfn.TEXTJOIN("", TRUE, IF(ISNUMBER(SEARCH($K$1010:$K$1054, C393)), $K$1010:$K$1054, ""))</f>
        <v>Dole</v>
      </c>
      <c r="H393" t="str">
        <f t="shared" si="26"/>
        <v>Canned Fruit</v>
      </c>
      <c r="I393" t="str">
        <f t="shared" si="27"/>
        <v>Fruit &amp; Vegetables</v>
      </c>
      <c r="J393" s="4">
        <v>1.99</v>
      </c>
      <c r="K393">
        <f>Table1[[#This Row],[Target_product_price]]/Table1[[#This Row],[product_price_per_oz]]</f>
        <v>9.9500000000000005E-2</v>
      </c>
    </row>
    <row r="394" spans="1:11" x14ac:dyDescent="0.2">
      <c r="A394" t="s">
        <v>1086</v>
      </c>
      <c r="B394" t="s">
        <v>1087</v>
      </c>
      <c r="C394" s="4" t="s">
        <v>1088</v>
      </c>
      <c r="D394" t="str">
        <f>SUBSTITUTE(Table1[[#This Row],[Target_product_name]], "oz", " oz")</f>
        <v>Eggo Bites Pouches Chocolatey Chip Fr ozen Pancakes - 8.4 oz/5ct</v>
      </c>
      <c r="E394" t="s">
        <v>2553</v>
      </c>
      <c r="F394" t="str">
        <f>LEFT(Table1[[#This Row],[Target_product_quantity]], FIND("o", Table1[[#This Row],[Target_product_quantity]])-1)</f>
        <v>42</v>
      </c>
      <c r="G394" t="str" cm="1">
        <f t="array" ref="G394">_xlfn.TEXTJOIN("", TRUE, IF(ISNUMBER(SEARCH($K$1010:$K$1054, C394)), $K$1010:$K$1054, ""))</f>
        <v>Eggo</v>
      </c>
      <c r="H394" t="str">
        <f t="shared" si="26"/>
        <v>Prepared Food</v>
      </c>
      <c r="I394" t="str">
        <f t="shared" si="27"/>
        <v>Prepared Food</v>
      </c>
      <c r="J394">
        <v>3.49</v>
      </c>
      <c r="K394">
        <f>Table1[[#This Row],[Target_product_price]]/Table1[[#This Row],[product_price_per_oz]]</f>
        <v>8.3095238095238097E-2</v>
      </c>
    </row>
    <row r="395" spans="1:11" x14ac:dyDescent="0.2">
      <c r="A395" t="s">
        <v>1089</v>
      </c>
      <c r="B395" t="s">
        <v>1090</v>
      </c>
      <c r="C395" t="s">
        <v>1091</v>
      </c>
      <c r="D395" t="str">
        <f>SUBSTITUTE(Table1[[#This Row],[Target_product_name]], "oz", " oz")</f>
        <v>Eggo Blueberry Fr ozen Waffles - 12.3 oz/10ct</v>
      </c>
      <c r="E395" t="s">
        <v>3006</v>
      </c>
      <c r="F395" t="str">
        <f>LEFT(Table1[[#This Row],[Target_product_quantity]], FIND("o", Table1[[#This Row],[Target_product_quantity]])-1)</f>
        <v>123</v>
      </c>
      <c r="G395" t="str" cm="1">
        <f t="array" ref="G395">_xlfn.TEXTJOIN("", TRUE, IF(ISNUMBER(SEARCH($K$1010:$K$1054, C395)), $K$1010:$K$1054, ""))</f>
        <v>Eggo</v>
      </c>
      <c r="H395" t="str">
        <f t="shared" si="26"/>
        <v>Prepared Food</v>
      </c>
      <c r="I395" t="str">
        <f t="shared" si="27"/>
        <v>Prepared Food</v>
      </c>
      <c r="J395">
        <v>2.99</v>
      </c>
      <c r="K395">
        <f>Table1[[#This Row],[Target_product_price]]/Table1[[#This Row],[product_price_per_oz]]</f>
        <v>2.4308943089430896E-2</v>
      </c>
    </row>
    <row r="396" spans="1:11" x14ac:dyDescent="0.2">
      <c r="A396" t="s">
        <v>1092</v>
      </c>
      <c r="B396" t="s">
        <v>1093</v>
      </c>
      <c r="C396" t="s">
        <v>1094</v>
      </c>
      <c r="D396" t="str">
        <f>SUBSTITUTE(Table1[[#This Row],[Target_product_name]], "oz", " oz")</f>
        <v>Eggo Buttermilk Fr ozen Waffles - 12.3 oz/10ct</v>
      </c>
      <c r="E396" t="s">
        <v>3006</v>
      </c>
      <c r="F396" t="str">
        <f>LEFT(Table1[[#This Row],[Target_product_quantity]], FIND("o", Table1[[#This Row],[Target_product_quantity]])-1)</f>
        <v>123</v>
      </c>
      <c r="G396" t="str" cm="1">
        <f t="array" ref="G396">_xlfn.TEXTJOIN("", TRUE, IF(ISNUMBER(SEARCH($K$1010:$K$1054, C396)), $K$1010:$K$1054, ""))</f>
        <v>Eggo</v>
      </c>
      <c r="H396" t="str">
        <f t="shared" si="26"/>
        <v>Prepared Food</v>
      </c>
      <c r="I396" t="str">
        <f t="shared" si="27"/>
        <v>Prepared Food</v>
      </c>
      <c r="J396">
        <v>2.99</v>
      </c>
      <c r="K396">
        <f>Table1[[#This Row],[Target_product_price]]/Table1[[#This Row],[product_price_per_oz]]</f>
        <v>2.4308943089430896E-2</v>
      </c>
    </row>
    <row r="397" spans="1:11" x14ac:dyDescent="0.2">
      <c r="A397" t="s">
        <v>1095</v>
      </c>
      <c r="B397" t="s">
        <v>1096</v>
      </c>
      <c r="C397" s="4" t="s">
        <v>1097</v>
      </c>
      <c r="D397" t="str">
        <f>SUBSTITUTE(Table1[[#This Row],[Target_product_name]], "oz", " oz")</f>
        <v>Eggo Buttermilk Fr ozen Waffles - 29.6 oz/24ct</v>
      </c>
      <c r="E397" t="s">
        <v>3007</v>
      </c>
      <c r="F397" t="str">
        <f>LEFT(Table1[[#This Row],[Target_product_quantity]], FIND("o", Table1[[#This Row],[Target_product_quantity]])-1)</f>
        <v>705.6</v>
      </c>
      <c r="G397" t="str" cm="1">
        <f t="array" ref="G397">_xlfn.TEXTJOIN("", TRUE, IF(ISNUMBER(SEARCH($K$1010:$K$1054, C397)), $K$1010:$K$1054, ""))</f>
        <v>Eggo</v>
      </c>
      <c r="H397" t="str">
        <f t="shared" si="26"/>
        <v>Prepared Food</v>
      </c>
      <c r="I397" t="str">
        <f t="shared" si="27"/>
        <v>Prepared Food</v>
      </c>
      <c r="J397">
        <v>6.39</v>
      </c>
      <c r="K397">
        <f>Table1[[#This Row],[Target_product_price]]/Table1[[#This Row],[product_price_per_oz]]</f>
        <v>9.0561224489795911E-3</v>
      </c>
    </row>
    <row r="398" spans="1:11" x14ac:dyDescent="0.2">
      <c r="A398" t="s">
        <v>1098</v>
      </c>
      <c r="B398" t="s">
        <v>1099</v>
      </c>
      <c r="C398" t="s">
        <v>1100</v>
      </c>
      <c r="D398" t="str">
        <f>SUBSTITUTE(Table1[[#This Row],[Target_product_name]], "oz", " oz")</f>
        <v>Eggo Buttermilk Vanilla Protein Fr ozen Waffles - 12.3 oz/10ct</v>
      </c>
      <c r="E398" t="s">
        <v>3006</v>
      </c>
      <c r="F398" t="str">
        <f>LEFT(Table1[[#This Row],[Target_product_quantity]], FIND("o", Table1[[#This Row],[Target_product_quantity]])-1)</f>
        <v>123</v>
      </c>
      <c r="G398" t="str" cm="1">
        <f t="array" ref="G398">_xlfn.TEXTJOIN("", TRUE, IF(ISNUMBER(SEARCH($K$1010:$K$1054, C398)), $K$1010:$K$1054, ""))</f>
        <v>Eggo</v>
      </c>
      <c r="H398" t="str">
        <f t="shared" si="26"/>
        <v>Prepared Food</v>
      </c>
      <c r="I398" t="str">
        <f t="shared" si="27"/>
        <v>Prepared Food</v>
      </c>
      <c r="J398">
        <v>5.49</v>
      </c>
      <c r="K398">
        <f>Table1[[#This Row],[Target_product_price]]/Table1[[#This Row],[product_price_per_oz]]</f>
        <v>4.463414634146342E-2</v>
      </c>
    </row>
    <row r="399" spans="1:11" x14ac:dyDescent="0.2">
      <c r="A399" t="s">
        <v>1101</v>
      </c>
      <c r="B399" t="s">
        <v>1102</v>
      </c>
      <c r="C399" t="s">
        <v>1103</v>
      </c>
      <c r="D399" t="str">
        <f>SUBSTITUTE(Table1[[#This Row],[Target_product_name]], "oz", " oz")</f>
        <v>Eggo Chocolatey Chip Fr ozen Waffles - 12.3 oz/10ct</v>
      </c>
      <c r="E399" t="s">
        <v>3006</v>
      </c>
      <c r="F399" t="str">
        <f>LEFT(Table1[[#This Row],[Target_product_quantity]], FIND("o", Table1[[#This Row],[Target_product_quantity]])-1)</f>
        <v>123</v>
      </c>
      <c r="G399" t="str" cm="1">
        <f t="array" ref="G399">_xlfn.TEXTJOIN("", TRUE, IF(ISNUMBER(SEARCH($K$1010:$K$1054, C399)), $K$1010:$K$1054, ""))</f>
        <v>Eggo</v>
      </c>
      <c r="H399" t="str">
        <f t="shared" si="26"/>
        <v>Prepared Food</v>
      </c>
      <c r="I399" t="str">
        <f t="shared" si="27"/>
        <v>Prepared Food</v>
      </c>
      <c r="J399">
        <v>2.99</v>
      </c>
      <c r="K399">
        <f>Table1[[#This Row],[Target_product_price]]/Table1[[#This Row],[product_price_per_oz]]</f>
        <v>2.4308943089430896E-2</v>
      </c>
    </row>
    <row r="400" spans="1:11" x14ac:dyDescent="0.2">
      <c r="A400" t="s">
        <v>1104</v>
      </c>
      <c r="B400" t="s">
        <v>1105</v>
      </c>
      <c r="C400" s="4" t="s">
        <v>1106</v>
      </c>
      <c r="D400" t="str">
        <f>SUBSTITUTE(Table1[[#This Row],[Target_product_name]], "oz", " oz")</f>
        <v>Eggo Chocolatey Chip Fr ozen Waffles 29.6 oz/24ct</v>
      </c>
      <c r="E400" t="s">
        <v>3007</v>
      </c>
      <c r="F400" t="str">
        <f>LEFT(Table1[[#This Row],[Target_product_quantity]], FIND("o", Table1[[#This Row],[Target_product_quantity]])-1)</f>
        <v>705.6</v>
      </c>
      <c r="G400" t="str" cm="1">
        <f t="array" ref="G400">_xlfn.TEXTJOIN("", TRUE, IF(ISNUMBER(SEARCH($K$1010:$K$1054, C400)), $K$1010:$K$1054, ""))</f>
        <v>Eggo</v>
      </c>
      <c r="H400" t="str">
        <f t="shared" si="26"/>
        <v>Prepared Food</v>
      </c>
      <c r="I400" t="str">
        <f t="shared" si="27"/>
        <v>Prepared Food</v>
      </c>
      <c r="J400">
        <v>6.39</v>
      </c>
      <c r="K400">
        <f>Table1[[#This Row],[Target_product_price]]/Table1[[#This Row],[product_price_per_oz]]</f>
        <v>9.0561224489795911E-3</v>
      </c>
    </row>
    <row r="401" spans="1:11" x14ac:dyDescent="0.2">
      <c r="A401" t="s">
        <v>1107</v>
      </c>
      <c r="B401" t="s">
        <v>1108</v>
      </c>
      <c r="C401" s="4" t="s">
        <v>1109</v>
      </c>
      <c r="D401" t="str">
        <f>SUBSTITUTE(Table1[[#This Row],[Target_product_name]], "oz", " oz")</f>
        <v>Eggo Cinnamon Fr ozen French Toaster Sticks - 12.7 oz/32ct</v>
      </c>
      <c r="E401" t="s">
        <v>3008</v>
      </c>
      <c r="F401" t="str">
        <f>LEFT(Table1[[#This Row],[Target_product_quantity]], FIND("o", Table1[[#This Row],[Target_product_quantity]])-1)</f>
        <v>406.4</v>
      </c>
      <c r="G401" t="str" cm="1">
        <f t="array" ref="G401">_xlfn.TEXTJOIN("", TRUE, IF(ISNUMBER(SEARCH($K$1010:$K$1054, C401)), $K$1010:$K$1054, ""))</f>
        <v>Eggo</v>
      </c>
      <c r="H401" t="str">
        <f t="shared" si="26"/>
        <v>Prepared Food</v>
      </c>
      <c r="I401" t="str">
        <f t="shared" si="27"/>
        <v>Prepared Food</v>
      </c>
      <c r="J401">
        <v>3.19</v>
      </c>
      <c r="K401">
        <f>Table1[[#This Row],[Target_product_price]]/Table1[[#This Row],[product_price_per_oz]]</f>
        <v>7.8494094488188986E-3</v>
      </c>
    </row>
    <row r="402" spans="1:11" x14ac:dyDescent="0.2">
      <c r="A402" t="s">
        <v>1110</v>
      </c>
      <c r="B402" t="s">
        <v>1111</v>
      </c>
      <c r="C402" t="s">
        <v>1112</v>
      </c>
      <c r="D402" t="str">
        <f>SUBSTITUTE(Table1[[#This Row],[Target_product_name]], "oz", " oz")</f>
        <v>Eggo Cinnamon Toast Fr ozen Waffles - 10.75 oz/10ct</v>
      </c>
      <c r="E402" t="s">
        <v>3009</v>
      </c>
      <c r="F402" t="str">
        <f>LEFT(Table1[[#This Row],[Target_product_quantity]], FIND("o", Table1[[#This Row],[Target_product_quantity]])-1)</f>
        <v>107.5</v>
      </c>
      <c r="G402" t="str" cm="1">
        <f t="array" ref="G402">_xlfn.TEXTJOIN("", TRUE, IF(ISNUMBER(SEARCH($K$1010:$K$1054, C402)), $K$1010:$K$1054, ""))</f>
        <v>Eggo</v>
      </c>
      <c r="H402" t="str">
        <f t="shared" si="26"/>
        <v>Prepared Food</v>
      </c>
      <c r="I402" t="str">
        <f t="shared" si="27"/>
        <v>Prepared Food</v>
      </c>
      <c r="J402">
        <v>2.99</v>
      </c>
      <c r="K402">
        <f>Table1[[#This Row],[Target_product_price]]/Table1[[#This Row],[product_price_per_oz]]</f>
        <v>2.7813953488372095E-2</v>
      </c>
    </row>
    <row r="403" spans="1:11" x14ac:dyDescent="0.2">
      <c r="A403" t="s">
        <v>1113</v>
      </c>
      <c r="B403" t="s">
        <v>1114</v>
      </c>
      <c r="C403" s="4" t="s">
        <v>1115</v>
      </c>
      <c r="D403" t="str">
        <f>SUBSTITUTE(Table1[[#This Row],[Target_product_name]], "oz", " oz")</f>
        <v>Eggo Fr ozen Belgian-Style Street Buttery Maple Waffles - 7.76 oz/4ct</v>
      </c>
      <c r="E403" t="s">
        <v>3010</v>
      </c>
      <c r="F403" t="str">
        <f>LEFT(Table1[[#This Row],[Target_product_quantity]], FIND("o", Table1[[#This Row],[Target_product_quantity]])-1)</f>
        <v>31</v>
      </c>
      <c r="G403" t="str" cm="1">
        <f t="array" ref="G403">_xlfn.TEXTJOIN("", TRUE, IF(ISNUMBER(SEARCH($K$1010:$K$1054, C403)), $K$1010:$K$1054, ""))</f>
        <v>Eggo</v>
      </c>
      <c r="H403" t="str">
        <f t="shared" si="26"/>
        <v>Prepared Food</v>
      </c>
      <c r="I403" t="str">
        <f t="shared" si="27"/>
        <v>Prepared Food</v>
      </c>
      <c r="J403">
        <v>5.29</v>
      </c>
      <c r="K403">
        <f>Table1[[#This Row],[Target_product_price]]/Table1[[#This Row],[product_price_per_oz]]</f>
        <v>0.17064516129032259</v>
      </c>
    </row>
    <row r="404" spans="1:11" x14ac:dyDescent="0.2">
      <c r="A404" t="s">
        <v>1116</v>
      </c>
      <c r="B404" t="s">
        <v>1117</v>
      </c>
      <c r="C404" s="4" t="s">
        <v>1118</v>
      </c>
      <c r="D404" t="str">
        <f>SUBSTITUTE(Table1[[#This Row],[Target_product_name]], "oz", " oz")</f>
        <v>Eggo Fr ozen Buttermilk Pancakes - 14.8 oz/12ct</v>
      </c>
      <c r="E404" t="s">
        <v>3011</v>
      </c>
      <c r="F404" t="str">
        <f>LEFT(Table1[[#This Row],[Target_product_quantity]], FIND("o", Table1[[#This Row],[Target_product_quantity]])-1)</f>
        <v>177.6</v>
      </c>
      <c r="G404" t="str" cm="1">
        <f t="array" ref="G404">_xlfn.TEXTJOIN("", TRUE, IF(ISNUMBER(SEARCH($K$1010:$K$1054, C404)), $K$1010:$K$1054, ""))</f>
        <v>Eggo</v>
      </c>
      <c r="H404" t="str">
        <f t="shared" si="26"/>
        <v>Prepared Food</v>
      </c>
      <c r="I404" t="str">
        <f t="shared" si="27"/>
        <v>Prepared Food</v>
      </c>
      <c r="J404">
        <v>3.49</v>
      </c>
      <c r="K404">
        <f>Table1[[#This Row],[Target_product_price]]/Table1[[#This Row],[product_price_per_oz]]</f>
        <v>1.9650900900900901E-2</v>
      </c>
    </row>
    <row r="405" spans="1:11" x14ac:dyDescent="0.2">
      <c r="A405" t="s">
        <v>1119</v>
      </c>
      <c r="B405" t="s">
        <v>1120</v>
      </c>
      <c r="C405" s="4" t="s">
        <v>1121</v>
      </c>
      <c r="D405" t="str">
        <f>SUBSTITUTE(Table1[[#This Row],[Target_product_name]], "oz", " oz")</f>
        <v>Eggo Fr ozen Chocolate Chip Pancakes - 14.8 oz/12ct</v>
      </c>
      <c r="E405" t="s">
        <v>3011</v>
      </c>
      <c r="F405" t="str">
        <f>LEFT(Table1[[#This Row],[Target_product_quantity]], FIND("o", Table1[[#This Row],[Target_product_quantity]])-1)</f>
        <v>177.6</v>
      </c>
      <c r="G405" t="str" cm="1">
        <f t="array" ref="G405">_xlfn.TEXTJOIN("", TRUE, IF(ISNUMBER(SEARCH($K$1010:$K$1054, C405)), $K$1010:$K$1054, ""))</f>
        <v>Eggo</v>
      </c>
      <c r="H405" t="str">
        <f t="shared" si="26"/>
        <v>Prepared Food</v>
      </c>
      <c r="I405" t="str">
        <f t="shared" si="27"/>
        <v>Prepared Food</v>
      </c>
      <c r="J405">
        <v>3.49</v>
      </c>
      <c r="K405">
        <f>Table1[[#This Row],[Target_product_price]]/Table1[[#This Row],[product_price_per_oz]]</f>
        <v>1.9650900900900901E-2</v>
      </c>
    </row>
    <row r="406" spans="1:11" x14ac:dyDescent="0.2">
      <c r="A406" t="s">
        <v>1122</v>
      </c>
      <c r="B406" t="s">
        <v>1123</v>
      </c>
      <c r="C406" t="s">
        <v>1124</v>
      </c>
      <c r="D406" t="str">
        <f>SUBSTITUTE(Table1[[#This Row],[Target_product_name]], "oz", " oz")</f>
        <v>Eggo Fr ozen Cinnamon Churro Waffles - 12.3 oz/10ct</v>
      </c>
      <c r="E406" t="s">
        <v>3006</v>
      </c>
      <c r="F406" t="str">
        <f>LEFT(Table1[[#This Row],[Target_product_quantity]], FIND("o", Table1[[#This Row],[Target_product_quantity]])-1)</f>
        <v>123</v>
      </c>
      <c r="G406" t="str" cm="1">
        <f t="array" ref="G406">_xlfn.TEXTJOIN("", TRUE, IF(ISNUMBER(SEARCH($K$1010:$K$1054, C406)), $K$1010:$K$1054, ""))</f>
        <v>Eggo</v>
      </c>
      <c r="H406" t="str">
        <f t="shared" si="26"/>
        <v>Prepared Food</v>
      </c>
      <c r="I406" t="str">
        <f t="shared" si="27"/>
        <v>Prepared Food</v>
      </c>
      <c r="J406">
        <v>2.99</v>
      </c>
      <c r="K406">
        <f>Table1[[#This Row],[Target_product_price]]/Table1[[#This Row],[product_price_per_oz]]</f>
        <v>2.4308943089430896E-2</v>
      </c>
    </row>
    <row r="407" spans="1:11" x14ac:dyDescent="0.2">
      <c r="A407" t="s">
        <v>1125</v>
      </c>
      <c r="B407" t="s">
        <v>1126</v>
      </c>
      <c r="C407" t="s">
        <v>1127</v>
      </c>
      <c r="D407" t="str">
        <f>SUBSTITUTE(Table1[[#This Row],[Target_product_name]], "oz", " oz")</f>
        <v>Eggo Fr ozen Fully Loaded Blueberry Pancakes - 14.8 oz/12ct</v>
      </c>
      <c r="E407" t="s">
        <v>3011</v>
      </c>
      <c r="F407" t="str">
        <f>LEFT(Table1[[#This Row],[Target_product_quantity]], FIND("o", Table1[[#This Row],[Target_product_quantity]])-1)</f>
        <v>177.6</v>
      </c>
      <c r="G407" t="str" cm="1">
        <f t="array" ref="G407">_xlfn.TEXTJOIN("", TRUE, IF(ISNUMBER(SEARCH($K$1010:$K$1054, C407)), $K$1010:$K$1054, ""))</f>
        <v>Eggo</v>
      </c>
      <c r="H407" t="str">
        <f t="shared" si="26"/>
        <v>Prepared Food</v>
      </c>
      <c r="I407" t="str">
        <f t="shared" si="27"/>
        <v>Prepared Food</v>
      </c>
      <c r="J407">
        <v>5.49</v>
      </c>
      <c r="K407">
        <f>Table1[[#This Row],[Target_product_price]]/Table1[[#This Row],[product_price_per_oz]]</f>
        <v>3.0912162162162166E-2</v>
      </c>
    </row>
    <row r="408" spans="1:11" x14ac:dyDescent="0.2">
      <c r="A408" t="s">
        <v>1128</v>
      </c>
      <c r="B408" t="s">
        <v>1129</v>
      </c>
      <c r="C408" t="s">
        <v>1130</v>
      </c>
      <c r="D408" t="str">
        <f>SUBSTITUTE(Table1[[#This Row],[Target_product_name]], "oz", " oz")</f>
        <v>Eggo Fr ozen Fully Loaded Vanilla Pancakes - 12ct/14.8 oz</v>
      </c>
      <c r="E408" t="s">
        <v>3011</v>
      </c>
      <c r="F408" t="str">
        <f>LEFT(Table1[[#This Row],[Target_product_quantity]], FIND("o", Table1[[#This Row],[Target_product_quantity]])-1)</f>
        <v>177.6</v>
      </c>
      <c r="G408" t="str" cm="1">
        <f t="array" ref="G408">_xlfn.TEXTJOIN("", TRUE, IF(ISNUMBER(SEARCH($K$1010:$K$1054, C408)), $K$1010:$K$1054, ""))</f>
        <v>Eggo</v>
      </c>
      <c r="H408" t="str">
        <f t="shared" si="26"/>
        <v>Prepared Food</v>
      </c>
      <c r="I408" t="str">
        <f t="shared" si="27"/>
        <v>Prepared Food</v>
      </c>
      <c r="J408">
        <v>5.49</v>
      </c>
      <c r="K408">
        <f>Table1[[#This Row],[Target_product_price]]/Table1[[#This Row],[product_price_per_oz]]</f>
        <v>3.0912162162162166E-2</v>
      </c>
    </row>
    <row r="409" spans="1:11" x14ac:dyDescent="0.2">
      <c r="A409" t="s">
        <v>1131</v>
      </c>
      <c r="B409" t="s">
        <v>1132</v>
      </c>
      <c r="C409" s="4" t="s">
        <v>1133</v>
      </c>
      <c r="D409" t="str">
        <f>SUBSTITUTE(Table1[[#This Row],[Target_product_name]], "oz", " oz")</f>
        <v>Eggo Fr ozen Mini Pancakes - 14.1 oz/40ct</v>
      </c>
      <c r="E409" t="s">
        <v>3012</v>
      </c>
      <c r="F409" t="str">
        <f>LEFT(Table1[[#This Row],[Target_product_quantity]], FIND("o", Table1[[#This Row],[Target_product_quantity]])-1)</f>
        <v>564</v>
      </c>
      <c r="G409" t="str" cm="1">
        <f t="array" ref="G409">_xlfn.TEXTJOIN("", TRUE, IF(ISNUMBER(SEARCH($K$1010:$K$1054, C409)), $K$1010:$K$1054, ""))</f>
        <v>Eggo</v>
      </c>
      <c r="H409" t="str">
        <f t="shared" si="26"/>
        <v>Prepared Food</v>
      </c>
      <c r="I409" t="str">
        <f t="shared" si="27"/>
        <v>Prepared Food</v>
      </c>
      <c r="J409">
        <v>3.49</v>
      </c>
      <c r="K409">
        <f>Table1[[#This Row],[Target_product_price]]/Table1[[#This Row],[product_price_per_oz]]</f>
        <v>6.1879432624113483E-3</v>
      </c>
    </row>
    <row r="410" spans="1:11" x14ac:dyDescent="0.2">
      <c r="A410" t="s">
        <v>1134</v>
      </c>
      <c r="B410" t="s">
        <v>1135</v>
      </c>
      <c r="C410" s="4" t="s">
        <v>1136</v>
      </c>
      <c r="D410" t="str">
        <f>SUBSTITUTE(Table1[[#This Row],[Target_product_name]], "oz", " oz")</f>
        <v>Eggo Fr ozen Minis Cinnamon French Toast - 9.3 oz/4ct</v>
      </c>
      <c r="E410" t="s">
        <v>3013</v>
      </c>
      <c r="F410" t="str">
        <f>LEFT(Table1[[#This Row],[Target_product_quantity]], FIND("o", Table1[[#This Row],[Target_product_quantity]])-1)</f>
        <v>37.2</v>
      </c>
      <c r="G410" t="str" cm="1">
        <f t="array" ref="G410">_xlfn.TEXTJOIN("", TRUE, IF(ISNUMBER(SEARCH($K$1010:$K$1054, C410)), $K$1010:$K$1054, ""))</f>
        <v>Eggo</v>
      </c>
      <c r="H410" t="str">
        <f t="shared" si="26"/>
        <v>Prepared Food</v>
      </c>
      <c r="I410" t="str">
        <f t="shared" si="27"/>
        <v>Prepared Food</v>
      </c>
      <c r="J410">
        <v>4.29</v>
      </c>
      <c r="K410">
        <f>Table1[[#This Row],[Target_product_price]]/Table1[[#This Row],[product_price_per_oz]]</f>
        <v>0.11532258064516128</v>
      </c>
    </row>
    <row r="411" spans="1:11" x14ac:dyDescent="0.2">
      <c r="A411" t="s">
        <v>1137</v>
      </c>
      <c r="B411" t="s">
        <v>1138</v>
      </c>
      <c r="C411" t="s">
        <v>1139</v>
      </c>
      <c r="D411" t="str">
        <f>SUBSTITUTE(Table1[[#This Row],[Target_product_name]], "oz", " oz")</f>
        <v>Eggo Fr ozen Protein Chocolate Chip Brownie Waffles - 12.3 oz/10ct</v>
      </c>
      <c r="E411" t="s">
        <v>3006</v>
      </c>
      <c r="F411" t="str">
        <f>LEFT(Table1[[#This Row],[Target_product_quantity]], FIND("o", Table1[[#This Row],[Target_product_quantity]])-1)</f>
        <v>123</v>
      </c>
      <c r="G411" t="str" cm="1">
        <f t="array" ref="G411">_xlfn.TEXTJOIN("", TRUE, IF(ISNUMBER(SEARCH($K$1010:$K$1054, C411)), $K$1010:$K$1054, ""))</f>
        <v>Eggo</v>
      </c>
      <c r="H411" t="str">
        <f t="shared" si="26"/>
        <v>Prepared Food</v>
      </c>
      <c r="I411" t="str">
        <f t="shared" si="27"/>
        <v>Prepared Food</v>
      </c>
      <c r="J411">
        <v>5.49</v>
      </c>
      <c r="K411">
        <f>Table1[[#This Row],[Target_product_price]]/Table1[[#This Row],[product_price_per_oz]]</f>
        <v>4.463414634146342E-2</v>
      </c>
    </row>
    <row r="412" spans="1:11" x14ac:dyDescent="0.2">
      <c r="A412" t="s">
        <v>1140</v>
      </c>
      <c r="B412" t="s">
        <v>1141</v>
      </c>
      <c r="C412" t="s">
        <v>1142</v>
      </c>
      <c r="D412" t="str">
        <f>SUBSTITUTE(Table1[[#This Row],[Target_product_name]], "oz", " oz")</f>
        <v>Eggo Fr ozen Protein Strawberry Delight Waffles - 12.3 oz/10ct</v>
      </c>
      <c r="E412" t="s">
        <v>3006</v>
      </c>
      <c r="F412" t="str">
        <f>LEFT(Table1[[#This Row],[Target_product_quantity]], FIND("o", Table1[[#This Row],[Target_product_quantity]])-1)</f>
        <v>123</v>
      </c>
      <c r="G412" t="str" cm="1">
        <f t="array" ref="G412">_xlfn.TEXTJOIN("", TRUE, IF(ISNUMBER(SEARCH($K$1010:$K$1054, C412)), $K$1010:$K$1054, ""))</f>
        <v>Eggo</v>
      </c>
      <c r="H412" t="str">
        <f t="shared" si="26"/>
        <v>Prepared Food</v>
      </c>
      <c r="I412" t="str">
        <f t="shared" si="27"/>
        <v>Prepared Food</v>
      </c>
      <c r="J412">
        <v>5.49</v>
      </c>
      <c r="K412">
        <f>Table1[[#This Row],[Target_product_price]]/Table1[[#This Row],[product_price_per_oz]]</f>
        <v>4.463414634146342E-2</v>
      </c>
    </row>
    <row r="413" spans="1:11" x14ac:dyDescent="0.2">
      <c r="A413" t="s">
        <v>1143</v>
      </c>
      <c r="B413" t="s">
        <v>1144</v>
      </c>
      <c r="C413" t="s">
        <v>1145</v>
      </c>
      <c r="D413" t="str">
        <f>SUBSTITUTE(Table1[[#This Row],[Target_product_name]], "oz", " oz")</f>
        <v>Eggo Homestyle Fr ozen Waffles - 12.3 oz/10ct</v>
      </c>
      <c r="E413" t="s">
        <v>3006</v>
      </c>
      <c r="F413" t="str">
        <f>LEFT(Table1[[#This Row],[Target_product_quantity]], FIND("o", Table1[[#This Row],[Target_product_quantity]])-1)</f>
        <v>123</v>
      </c>
      <c r="G413" t="str" cm="1">
        <f t="array" ref="G413">_xlfn.TEXTJOIN("", TRUE, IF(ISNUMBER(SEARCH($K$1010:$K$1054, C413)), $K$1010:$K$1054, ""))</f>
        <v>Eggo</v>
      </c>
      <c r="H413" t="str">
        <f t="shared" si="26"/>
        <v>Prepared Food</v>
      </c>
      <c r="I413" t="str">
        <f t="shared" si="27"/>
        <v>Prepared Food</v>
      </c>
      <c r="J413">
        <v>2.99</v>
      </c>
      <c r="K413">
        <f>Table1[[#This Row],[Target_product_price]]/Table1[[#This Row],[product_price_per_oz]]</f>
        <v>2.4308943089430896E-2</v>
      </c>
    </row>
    <row r="414" spans="1:11" x14ac:dyDescent="0.2">
      <c r="A414" t="s">
        <v>1146</v>
      </c>
      <c r="B414" t="s">
        <v>1147</v>
      </c>
      <c r="C414" s="4" t="s">
        <v>1148</v>
      </c>
      <c r="D414" t="str">
        <f>SUBSTITUTE(Table1[[#This Row],[Target_product_name]], "oz", " oz")</f>
        <v>Eggo Homestyle Fr ozen Waffles - 29.6 oz/24ct</v>
      </c>
      <c r="E414" t="s">
        <v>3014</v>
      </c>
      <c r="F414" t="str">
        <f>LEFT(Table1[[#This Row],[Target_product_quantity]], FIND("o", Table1[[#This Row],[Target_product_quantity]])-1)</f>
        <v>710.4</v>
      </c>
      <c r="G414" t="str" cm="1">
        <f t="array" ref="G414">_xlfn.TEXTJOIN("", TRUE, IF(ISNUMBER(SEARCH($K$1010:$K$1054, C414)), $K$1010:$K$1054, ""))</f>
        <v>Eggo</v>
      </c>
      <c r="H414" t="str">
        <f t="shared" si="26"/>
        <v>Prepared Food</v>
      </c>
      <c r="I414" t="str">
        <f t="shared" si="27"/>
        <v>Prepared Food</v>
      </c>
      <c r="J414">
        <v>6.39</v>
      </c>
      <c r="K414">
        <f>Table1[[#This Row],[Target_product_price]]/Table1[[#This Row],[product_price_per_oz]]</f>
        <v>8.9949324324324325E-3</v>
      </c>
    </row>
    <row r="415" spans="1:11" x14ac:dyDescent="0.2">
      <c r="A415" t="s">
        <v>1149</v>
      </c>
      <c r="B415" t="s">
        <v>1150</v>
      </c>
      <c r="C415" s="4" t="s">
        <v>1151</v>
      </c>
      <c r="D415" t="str">
        <f>SUBSTITUTE(Table1[[#This Row],[Target_product_name]], "oz", " oz")</f>
        <v>Eggo Original Fr ozen French Toaster Sticks - 12.7 oz/32ct</v>
      </c>
      <c r="E415" t="s">
        <v>3008</v>
      </c>
      <c r="F415" t="str">
        <f>LEFT(Table1[[#This Row],[Target_product_quantity]], FIND("o", Table1[[#This Row],[Target_product_quantity]])-1)</f>
        <v>406.4</v>
      </c>
      <c r="G415" t="str" cm="1">
        <f t="array" ref="G415">_xlfn.TEXTJOIN("", TRUE, IF(ISNUMBER(SEARCH($K$1010:$K$1054, C415)), $K$1010:$K$1054, ""))</f>
        <v>Eggo</v>
      </c>
      <c r="H415" t="str">
        <f t="shared" si="26"/>
        <v>Prepared Food</v>
      </c>
      <c r="I415" t="str">
        <f t="shared" si="27"/>
        <v>Prepared Food</v>
      </c>
      <c r="J415">
        <v>3.39</v>
      </c>
      <c r="K415">
        <f>Table1[[#This Row],[Target_product_price]]/Table1[[#This Row],[product_price_per_oz]]</f>
        <v>8.3415354330708662E-3</v>
      </c>
    </row>
    <row r="416" spans="1:11" x14ac:dyDescent="0.2">
      <c r="A416" t="s">
        <v>1152</v>
      </c>
      <c r="B416" t="s">
        <v>1153</v>
      </c>
      <c r="C416" s="4" t="s">
        <v>1154</v>
      </c>
      <c r="D416" t="str">
        <f>SUBSTITUTE(Table1[[#This Row],[Target_product_name]], "oz", " oz")</f>
        <v>Eggo Thick &amp; Fluffy Original Fr ozen Waffles - 11.6 oz/6ct</v>
      </c>
      <c r="E416" t="s">
        <v>3015</v>
      </c>
      <c r="F416" t="str">
        <f>LEFT(Table1[[#This Row],[Target_product_quantity]], FIND("o", Table1[[#This Row],[Target_product_quantity]])-1)</f>
        <v>69.6</v>
      </c>
      <c r="G416" t="str" cm="1">
        <f t="array" ref="G416">_xlfn.TEXTJOIN("", TRUE, IF(ISNUMBER(SEARCH($K$1010:$K$1054, C416)), $K$1010:$K$1054, ""))</f>
        <v>Eggo</v>
      </c>
      <c r="H416" t="str">
        <f t="shared" si="26"/>
        <v>Prepared Food</v>
      </c>
      <c r="I416" t="str">
        <f t="shared" si="27"/>
        <v>Prepared Food</v>
      </c>
      <c r="J416">
        <v>3.99</v>
      </c>
      <c r="K416">
        <f>Table1[[#This Row],[Target_product_price]]/Table1[[#This Row],[product_price_per_oz]]</f>
        <v>5.7327586206896562E-2</v>
      </c>
    </row>
    <row r="417" spans="1:11" x14ac:dyDescent="0.2">
      <c r="A417" t="s">
        <v>1155</v>
      </c>
      <c r="C417" t="s">
        <v>1156</v>
      </c>
      <c r="D417" t="str">
        <f>SUBSTITUTE(Table1[[#This Row],[Target_product_name]], "oz", " oz")</f>
        <v>Fairlife Lactose Free 2% Chocolate Milk - 52 fl  oz</v>
      </c>
      <c r="E417" t="s">
        <v>3039</v>
      </c>
      <c r="F417" t="str">
        <f>LEFT(Table1[[#This Row],[Target_product_quantity]], FIND("o", Table1[[#This Row],[Target_product_quantity]])-1)</f>
        <v>52</v>
      </c>
      <c r="G417" t="str" cm="1">
        <f t="array" ref="G417">_xlfn.TEXTJOIN("", TRUE, IF(ISNUMBER(SEARCH($K$1010:$K$1054, C417)), $K$1010:$K$1054, ""))</f>
        <v>Fairlife</v>
      </c>
      <c r="H417" t="str">
        <f t="shared" si="26"/>
        <v>Milk</v>
      </c>
      <c r="I417" t="str">
        <f t="shared" si="27"/>
        <v>Dairy</v>
      </c>
      <c r="J417" s="4">
        <v>5.29</v>
      </c>
      <c r="K417">
        <f>Table1[[#This Row],[Target_product_price]]/Table1[[#This Row],[product_price_per_oz]]</f>
        <v>0.10173076923076924</v>
      </c>
    </row>
    <row r="418" spans="1:11" x14ac:dyDescent="0.2">
      <c r="A418" t="s">
        <v>1157</v>
      </c>
      <c r="B418" t="s">
        <v>1158</v>
      </c>
      <c r="C418" t="s">
        <v>1159</v>
      </c>
      <c r="D418" t="str">
        <f>SUBSTITUTE(Table1[[#This Row],[Target_product_name]], "oz", " oz")</f>
        <v>Fairlife Lactose Free 2% Milk - 52 fl  oz</v>
      </c>
      <c r="E418" t="s">
        <v>3039</v>
      </c>
      <c r="F418" t="str">
        <f>LEFT(Table1[[#This Row],[Target_product_quantity]], FIND("o", Table1[[#This Row],[Target_product_quantity]])-1)</f>
        <v>52</v>
      </c>
      <c r="G418" t="str" cm="1">
        <f t="array" ref="G418">_xlfn.TEXTJOIN("", TRUE, IF(ISNUMBER(SEARCH($K$1010:$K$1054, C418)), $K$1010:$K$1054, ""))</f>
        <v>Fairlife</v>
      </c>
      <c r="H418" t="str">
        <f t="shared" si="26"/>
        <v>Milk</v>
      </c>
      <c r="I418" t="str">
        <f t="shared" si="27"/>
        <v>Dairy</v>
      </c>
      <c r="J418" s="4">
        <v>5.29</v>
      </c>
      <c r="K418">
        <f>Table1[[#This Row],[Target_product_price]]/Table1[[#This Row],[product_price_per_oz]]</f>
        <v>0.10173076923076924</v>
      </c>
    </row>
    <row r="419" spans="1:11" x14ac:dyDescent="0.2">
      <c r="A419" t="s">
        <v>1160</v>
      </c>
      <c r="B419" t="s">
        <v>1161</v>
      </c>
      <c r="C419" t="s">
        <v>1162</v>
      </c>
      <c r="D419" t="str">
        <f>SUBSTITUTE(Table1[[#This Row],[Target_product_name]], "oz", " oz")</f>
        <v>Fairlife Lactose Free Whole Milk - 52 fl  oz</v>
      </c>
      <c r="E419" t="s">
        <v>3039</v>
      </c>
      <c r="F419" t="str">
        <f>LEFT(Table1[[#This Row],[Target_product_quantity]], FIND("o", Table1[[#This Row],[Target_product_quantity]])-1)</f>
        <v>52</v>
      </c>
      <c r="G419" t="str" cm="1">
        <f t="array" ref="G419">_xlfn.TEXTJOIN("", TRUE, IF(ISNUMBER(SEARCH($K$1010:$K$1054, C419)), $K$1010:$K$1054, ""))</f>
        <v>Fairlife</v>
      </c>
      <c r="H419" t="str">
        <f t="shared" si="26"/>
        <v>Milk</v>
      </c>
      <c r="I419" t="str">
        <f t="shared" si="27"/>
        <v>Dairy</v>
      </c>
      <c r="J419" s="4">
        <v>5.29</v>
      </c>
      <c r="K419">
        <f>Table1[[#This Row],[Target_product_price]]/Table1[[#This Row],[product_price_per_oz]]</f>
        <v>0.10173076923076924</v>
      </c>
    </row>
    <row r="420" spans="1:11" x14ac:dyDescent="0.2">
      <c r="A420" t="s">
        <v>1163</v>
      </c>
      <c r="B420" t="s">
        <v>1164</v>
      </c>
      <c r="C420" t="s">
        <v>1165</v>
      </c>
      <c r="D420" t="str">
        <f>SUBSTITUTE(Table1[[#This Row],[Target_product_name]], "oz", " oz")</f>
        <v>Frito-Lay Lay's Mix Potato Chips Variety Pack - 18ct/18 oz</v>
      </c>
      <c r="E420" t="s">
        <v>3016</v>
      </c>
      <c r="F420" t="str">
        <f>LEFT(Table1[[#This Row],[Target_product_quantity]], FIND("o", Table1[[#This Row],[Target_product_quantity]])-1)</f>
        <v>324</v>
      </c>
      <c r="G420" t="str" cm="1">
        <f t="array" ref="G420">_xlfn.TEXTJOIN("", TRUE, IF(ISNUMBER(SEARCH($K$1010:$K$1054, C420)), $K$1010:$K$1054, ""))</f>
        <v>Lay's</v>
      </c>
      <c r="H420" t="str">
        <f t="shared" si="26"/>
        <v>Prepared Food</v>
      </c>
      <c r="I420" t="str">
        <f t="shared" si="27"/>
        <v>Prepared Food</v>
      </c>
      <c r="J420">
        <v>9.99</v>
      </c>
      <c r="K420">
        <f>Table1[[#This Row],[Target_product_price]]/Table1[[#This Row],[product_price_per_oz]]</f>
        <v>3.0833333333333334E-2</v>
      </c>
    </row>
    <row r="421" spans="1:11" x14ac:dyDescent="0.2">
      <c r="A421" t="s">
        <v>1166</v>
      </c>
      <c r="B421" t="s">
        <v>1167</v>
      </c>
      <c r="C421" t="s">
        <v>1168</v>
      </c>
      <c r="D421" t="str">
        <f>SUBSTITUTE(Table1[[#This Row],[Target_product_name]], "oz", " oz")</f>
        <v>Fruity Cheerios Family Size - 18.4 oz</v>
      </c>
      <c r="E421" t="str">
        <f t="shared" si="28"/>
        <v>18.4oz</v>
      </c>
      <c r="F421" t="str">
        <f>LEFT(Table1[[#This Row],[Target_product_quantity]], FIND("o", Table1[[#This Row],[Target_product_quantity]])-1)</f>
        <v>18.4</v>
      </c>
      <c r="G421" t="str" cm="1">
        <f t="array" ref="G421">_xlfn.TEXTJOIN("", TRUE, IF(ISNUMBER(SEARCH($K$1010:$K$1054, C421)), $K$1010:$K$1054, ""))</f>
        <v>Cheerios</v>
      </c>
      <c r="H421" t="str">
        <f t="shared" si="26"/>
        <v>Prepared Food</v>
      </c>
      <c r="I421" t="str">
        <f t="shared" si="27"/>
        <v>Prepared Food</v>
      </c>
      <c r="J421">
        <v>5.29</v>
      </c>
      <c r="K421">
        <f>Table1[[#This Row],[Target_product_price]]/Table1[[#This Row],[product_price_per_oz]]</f>
        <v>0.28750000000000003</v>
      </c>
    </row>
    <row r="422" spans="1:11" x14ac:dyDescent="0.2">
      <c r="A422" t="s">
        <v>1169</v>
      </c>
      <c r="B422" t="s">
        <v>1170</v>
      </c>
      <c r="C422" t="s">
        <v>1171</v>
      </c>
      <c r="D422" t="str">
        <f>SUBSTITUTE(Table1[[#This Row],[Target_product_name]], "oz", " oz")</f>
        <v>Gatorade Cool Blue Sports Drink - 12pk/12 fl  oz Bottles</v>
      </c>
      <c r="E422" t="s">
        <v>929</v>
      </c>
      <c r="F422" t="str">
        <f>LEFT(Table1[[#This Row],[Target_product_quantity]], FIND("o", Table1[[#This Row],[Target_product_quantity]])-1)</f>
        <v>144</v>
      </c>
      <c r="G422" t="str" cm="1">
        <f t="array" ref="G422">_xlfn.TEXTJOIN("", TRUE, IF(ISNUMBER(SEARCH($K$1010:$K$1054, C422)), $K$1010:$K$1054, ""))</f>
        <v>Gatorade</v>
      </c>
      <c r="H422" t="str">
        <f t="shared" si="26"/>
        <v>Beverages</v>
      </c>
      <c r="I422" t="str">
        <f t="shared" si="27"/>
        <v>Beverages</v>
      </c>
      <c r="J422">
        <v>7.79</v>
      </c>
      <c r="K422">
        <f>Table1[[#This Row],[Target_product_price]]/Table1[[#This Row],[product_price_per_oz]]</f>
        <v>5.409722222222222E-2</v>
      </c>
    </row>
    <row r="423" spans="1:11" x14ac:dyDescent="0.2">
      <c r="A423" t="s">
        <v>1172</v>
      </c>
      <c r="B423" t="s">
        <v>1173</v>
      </c>
      <c r="C423" t="s">
        <v>1174</v>
      </c>
      <c r="D423" t="str">
        <f>SUBSTITUTE(Table1[[#This Row],[Target_product_name]], "oz", " oz")</f>
        <v>Gatorade Cool Blue Sports Drink - 28 fl  oz Bottle</v>
      </c>
      <c r="E423" t="s">
        <v>2868</v>
      </c>
      <c r="F423" t="str">
        <f>LEFT(Table1[[#This Row],[Target_product_quantity]], FIND("o", Table1[[#This Row],[Target_product_quantity]])-1)</f>
        <v>28</v>
      </c>
      <c r="G423" t="str" cm="1">
        <f t="array" ref="G423">_xlfn.TEXTJOIN("", TRUE, IF(ISNUMBER(SEARCH($K$1010:$K$1054, C423)), $K$1010:$K$1054, ""))</f>
        <v>Gatorade</v>
      </c>
      <c r="H423" t="str">
        <f t="shared" si="26"/>
        <v>Beverages</v>
      </c>
      <c r="I423" t="str">
        <f t="shared" si="27"/>
        <v>Beverages</v>
      </c>
      <c r="J423">
        <v>2.29</v>
      </c>
      <c r="K423">
        <f>Table1[[#This Row],[Target_product_price]]/Table1[[#This Row],[product_price_per_oz]]</f>
        <v>8.1785714285714281E-2</v>
      </c>
    </row>
    <row r="424" spans="1:11" x14ac:dyDescent="0.2">
      <c r="A424" t="s">
        <v>1175</v>
      </c>
      <c r="B424" t="s">
        <v>1176</v>
      </c>
      <c r="C424" t="s">
        <v>1177</v>
      </c>
      <c r="D424" t="str">
        <f>SUBSTITUTE(Table1[[#This Row],[Target_product_name]], "oz", " oz")</f>
        <v>Gatorade Cool Blue Sports Drink - 8pk/20 fl  oz Bottles</v>
      </c>
      <c r="E424" t="s">
        <v>2037</v>
      </c>
      <c r="F424" t="str">
        <f>LEFT(Table1[[#This Row],[Target_product_quantity]], FIND("o", Table1[[#This Row],[Target_product_quantity]])-1)</f>
        <v>160</v>
      </c>
      <c r="G424" t="str" cm="1">
        <f t="array" ref="G424">_xlfn.TEXTJOIN("", TRUE, IF(ISNUMBER(SEARCH($K$1010:$K$1054, C424)), $K$1010:$K$1054, ""))</f>
        <v>Gatorade</v>
      </c>
      <c r="H424" t="str">
        <f t="shared" si="26"/>
        <v>Beverages</v>
      </c>
      <c r="I424" t="str">
        <f t="shared" si="27"/>
        <v>Beverages</v>
      </c>
      <c r="J424">
        <v>7.99</v>
      </c>
      <c r="K424">
        <f>Table1[[#This Row],[Target_product_price]]/Table1[[#This Row],[product_price_per_oz]]</f>
        <v>4.9937500000000003E-2</v>
      </c>
    </row>
    <row r="425" spans="1:11" x14ac:dyDescent="0.2">
      <c r="A425" t="s">
        <v>1178</v>
      </c>
      <c r="B425" t="s">
        <v>1179</v>
      </c>
      <c r="C425" t="s">
        <v>1180</v>
      </c>
      <c r="D425" t="str">
        <f>SUBSTITUTE(Table1[[#This Row],[Target_product_name]], "oz", " oz")</f>
        <v>Gatorade Fit Electrolyte Beverage, Variety Pack - 16.9 Oz Bottle (12 Pack)</v>
      </c>
      <c r="E425" t="s">
        <v>3017</v>
      </c>
      <c r="F425" t="str">
        <f>LEFT(Table1[[#This Row],[Target_product_quantity]], FIND("o", Table1[[#This Row],[Target_product_quantity]])-1)</f>
        <v>202.8</v>
      </c>
      <c r="G425" t="str" cm="1">
        <f t="array" ref="G425">_xlfn.TEXTJOIN("", TRUE, IF(ISNUMBER(SEARCH($K$1010:$K$1054, C425)), $K$1010:$K$1054, ""))</f>
        <v>Gatorade</v>
      </c>
      <c r="H425" t="str">
        <f t="shared" si="26"/>
        <v>Beverages</v>
      </c>
      <c r="I425" t="str">
        <f t="shared" si="27"/>
        <v>Beverages</v>
      </c>
      <c r="J425">
        <v>49.99</v>
      </c>
      <c r="K425">
        <f>Table1[[#This Row],[Target_product_price]]/Table1[[#This Row],[product_price_per_oz]]</f>
        <v>0.24649901380670611</v>
      </c>
    </row>
    <row r="426" spans="1:11" x14ac:dyDescent="0.2">
      <c r="A426" t="s">
        <v>1181</v>
      </c>
      <c r="B426" t="s">
        <v>1182</v>
      </c>
      <c r="C426" t="s">
        <v>1183</v>
      </c>
      <c r="D426" t="str">
        <f>SUBSTITUTE(Table1[[#This Row],[Target_product_name]], "oz", " oz")</f>
        <v>Gatorade Frost Glacier Cherry Sports Drink - 12pk/12 fl  oz Bottles</v>
      </c>
      <c r="E426" t="s">
        <v>929</v>
      </c>
      <c r="F426" t="str">
        <f>LEFT(Table1[[#This Row],[Target_product_quantity]], FIND("o", Table1[[#This Row],[Target_product_quantity]])-1)</f>
        <v>144</v>
      </c>
      <c r="G426" t="str" cm="1">
        <f t="array" ref="G426">_xlfn.TEXTJOIN("", TRUE, IF(ISNUMBER(SEARCH($K$1010:$K$1054, C426)), $K$1010:$K$1054, ""))</f>
        <v>Gatorade</v>
      </c>
      <c r="H426" t="str">
        <f t="shared" si="26"/>
        <v>Beverages</v>
      </c>
      <c r="I426" t="str">
        <f t="shared" si="27"/>
        <v>Beverages</v>
      </c>
      <c r="J426">
        <v>7.79</v>
      </c>
      <c r="K426">
        <f>Table1[[#This Row],[Target_product_price]]/Table1[[#This Row],[product_price_per_oz]]</f>
        <v>5.409722222222222E-2</v>
      </c>
    </row>
    <row r="427" spans="1:11" x14ac:dyDescent="0.2">
      <c r="A427" t="s">
        <v>1184</v>
      </c>
      <c r="B427" t="s">
        <v>1185</v>
      </c>
      <c r="C427" t="s">
        <v>1186</v>
      </c>
      <c r="D427" t="str">
        <f>SUBSTITUTE(Table1[[#This Row],[Target_product_name]], "oz", " oz")</f>
        <v>Gatorade Frost Glacier Freeze MS Cannister Sports Drink - 50.9 oz</v>
      </c>
      <c r="E427" t="str">
        <f t="shared" si="28"/>
        <v>50.9oz</v>
      </c>
      <c r="F427" t="str">
        <f>LEFT(Table1[[#This Row],[Target_product_quantity]], FIND("o", Table1[[#This Row],[Target_product_quantity]])-1)</f>
        <v>50.9</v>
      </c>
      <c r="G427" t="str" cm="1">
        <f t="array" ref="G427">_xlfn.TEXTJOIN("", TRUE, IF(ISNUMBER(SEARCH($K$1010:$K$1054, C427)), $K$1010:$K$1054, ""))</f>
        <v>Gatorade</v>
      </c>
      <c r="H427" t="str">
        <f t="shared" si="26"/>
        <v>Beverages</v>
      </c>
      <c r="I427" t="str">
        <f t="shared" si="27"/>
        <v>Beverages</v>
      </c>
      <c r="J427">
        <v>12.69</v>
      </c>
      <c r="K427">
        <f>Table1[[#This Row],[Target_product_price]]/Table1[[#This Row],[product_price_per_oz]]</f>
        <v>0.2493123772102161</v>
      </c>
    </row>
    <row r="428" spans="1:11" x14ac:dyDescent="0.2">
      <c r="A428" t="s">
        <v>1187</v>
      </c>
      <c r="B428" t="s">
        <v>1188</v>
      </c>
      <c r="C428" t="s">
        <v>1189</v>
      </c>
      <c r="D428" t="str">
        <f>SUBSTITUTE(Table1[[#This Row],[Target_product_name]], "oz", " oz")</f>
        <v>Gatorade Frost Glacier Freeze Sports Drink - 12pk/12 fl  oz Bottles</v>
      </c>
      <c r="E428" t="s">
        <v>929</v>
      </c>
      <c r="F428" t="str">
        <f>LEFT(Table1[[#This Row],[Target_product_quantity]], FIND("o", Table1[[#This Row],[Target_product_quantity]])-1)</f>
        <v>144</v>
      </c>
      <c r="G428" t="str" cm="1">
        <f t="array" ref="G428">_xlfn.TEXTJOIN("", TRUE, IF(ISNUMBER(SEARCH($K$1010:$K$1054, C428)), $K$1010:$K$1054, ""))</f>
        <v>Gatorade</v>
      </c>
      <c r="H428" t="str">
        <f t="shared" si="26"/>
        <v>Beverages</v>
      </c>
      <c r="I428" t="str">
        <f t="shared" si="27"/>
        <v>Beverages</v>
      </c>
      <c r="J428">
        <v>7.79</v>
      </c>
      <c r="K428">
        <f>Table1[[#This Row],[Target_product_price]]/Table1[[#This Row],[product_price_per_oz]]</f>
        <v>5.409722222222222E-2</v>
      </c>
    </row>
    <row r="429" spans="1:11" x14ac:dyDescent="0.2">
      <c r="A429" t="s">
        <v>1190</v>
      </c>
      <c r="B429" t="s">
        <v>1191</v>
      </c>
      <c r="C429" t="s">
        <v>1192</v>
      </c>
      <c r="D429" t="str">
        <f>SUBSTITUTE(Table1[[#This Row],[Target_product_name]], "oz", " oz")</f>
        <v>Gatorade Frost Glacier Freeze Sports Drink - 8pk/20 fl  oz Bottles</v>
      </c>
      <c r="E429" t="s">
        <v>2037</v>
      </c>
      <c r="F429" t="str">
        <f>LEFT(Table1[[#This Row],[Target_product_quantity]], FIND("o", Table1[[#This Row],[Target_product_quantity]])-1)</f>
        <v>160</v>
      </c>
      <c r="G429" t="str" cm="1">
        <f t="array" ref="G429">_xlfn.TEXTJOIN("", TRUE, IF(ISNUMBER(SEARCH($K$1010:$K$1054, C429)), $K$1010:$K$1054, ""))</f>
        <v>Gatorade</v>
      </c>
      <c r="H429" t="str">
        <f t="shared" si="26"/>
        <v>Beverages</v>
      </c>
      <c r="I429" t="str">
        <f t="shared" si="27"/>
        <v>Beverages</v>
      </c>
      <c r="J429">
        <v>7.99</v>
      </c>
      <c r="K429">
        <f>Table1[[#This Row],[Target_product_price]]/Table1[[#This Row],[product_price_per_oz]]</f>
        <v>4.9937500000000003E-2</v>
      </c>
    </row>
    <row r="430" spans="1:11" x14ac:dyDescent="0.2">
      <c r="A430" t="s">
        <v>1193</v>
      </c>
      <c r="B430" t="s">
        <v>1194</v>
      </c>
      <c r="C430" t="s">
        <v>1195</v>
      </c>
      <c r="D430" t="str">
        <f>SUBSTITUTE(Table1[[#This Row],[Target_product_name]], "oz", " oz")</f>
        <v>Gatorade Fruit Punch Powder Cannister Sports Drink - 18.4 oz</v>
      </c>
      <c r="E430" t="str">
        <f t="shared" si="28"/>
        <v>18.4oz</v>
      </c>
      <c r="F430" t="str">
        <f>LEFT(Table1[[#This Row],[Target_product_quantity]], FIND("o", Table1[[#This Row],[Target_product_quantity]])-1)</f>
        <v>18.4</v>
      </c>
      <c r="G430" t="str" cm="1">
        <f t="array" ref="G430">_xlfn.TEXTJOIN("", TRUE, IF(ISNUMBER(SEARCH($K$1010:$K$1054, C430)), $K$1010:$K$1054, ""))</f>
        <v>Gatorade</v>
      </c>
      <c r="H430" t="str">
        <f t="shared" si="26"/>
        <v>Beverages</v>
      </c>
      <c r="I430" t="str">
        <f t="shared" si="27"/>
        <v>Beverages</v>
      </c>
      <c r="J430">
        <v>6.99</v>
      </c>
      <c r="K430">
        <f>Table1[[#This Row],[Target_product_price]]/Table1[[#This Row],[product_price_per_oz]]</f>
        <v>0.37989130434782614</v>
      </c>
    </row>
    <row r="431" spans="1:11" x14ac:dyDescent="0.2">
      <c r="A431" t="s">
        <v>1196</v>
      </c>
      <c r="B431" t="s">
        <v>1197</v>
      </c>
      <c r="C431" t="s">
        <v>1198</v>
      </c>
      <c r="D431" t="str">
        <f>SUBSTITUTE(Table1[[#This Row],[Target_product_name]], "oz", " oz")</f>
        <v>Gatorade Fruit Punch Sports Drink - 12pk/12 fl  oz Bottles</v>
      </c>
      <c r="E431" t="s">
        <v>929</v>
      </c>
      <c r="F431" t="str">
        <f>LEFT(Table1[[#This Row],[Target_product_quantity]], FIND("o", Table1[[#This Row],[Target_product_quantity]])-1)</f>
        <v>144</v>
      </c>
      <c r="G431" t="str" cm="1">
        <f t="array" ref="G431">_xlfn.TEXTJOIN("", TRUE, IF(ISNUMBER(SEARCH($K$1010:$K$1054, C431)), $K$1010:$K$1054, ""))</f>
        <v>Gatorade</v>
      </c>
      <c r="H431" t="str">
        <f t="shared" si="26"/>
        <v>Beverages</v>
      </c>
      <c r="I431" t="str">
        <f t="shared" si="27"/>
        <v>Beverages</v>
      </c>
      <c r="J431">
        <v>7.79</v>
      </c>
      <c r="K431">
        <f>Table1[[#This Row],[Target_product_price]]/Table1[[#This Row],[product_price_per_oz]]</f>
        <v>5.409722222222222E-2</v>
      </c>
    </row>
    <row r="432" spans="1:11" x14ac:dyDescent="0.2">
      <c r="A432" t="s">
        <v>1199</v>
      </c>
      <c r="B432" t="s">
        <v>1200</v>
      </c>
      <c r="C432" t="s">
        <v>1201</v>
      </c>
      <c r="D432" t="str">
        <f>SUBSTITUTE(Table1[[#This Row],[Target_product_name]], "oz", " oz")</f>
        <v>Gatorade Fruit Punch Sports Drink - 28 fl  oz Bottle</v>
      </c>
      <c r="E432" t="s">
        <v>2868</v>
      </c>
      <c r="F432" t="str">
        <f>LEFT(Table1[[#This Row],[Target_product_quantity]], FIND("o", Table1[[#This Row],[Target_product_quantity]])-1)</f>
        <v>28</v>
      </c>
      <c r="G432" t="str" cm="1">
        <f t="array" ref="G432">_xlfn.TEXTJOIN("", TRUE, IF(ISNUMBER(SEARCH($K$1010:$K$1054, C432)), $K$1010:$K$1054, ""))</f>
        <v>Gatorade</v>
      </c>
      <c r="H432" t="str">
        <f t="shared" si="26"/>
        <v>Beverages</v>
      </c>
      <c r="I432" t="str">
        <f t="shared" si="27"/>
        <v>Beverages</v>
      </c>
      <c r="J432">
        <v>2.29</v>
      </c>
      <c r="K432">
        <f>Table1[[#This Row],[Target_product_price]]/Table1[[#This Row],[product_price_per_oz]]</f>
        <v>8.1785714285714281E-2</v>
      </c>
    </row>
    <row r="433" spans="1:11" x14ac:dyDescent="0.2">
      <c r="A433" t="s">
        <v>1202</v>
      </c>
      <c r="B433" t="s">
        <v>1203</v>
      </c>
      <c r="C433" t="s">
        <v>1204</v>
      </c>
      <c r="D433" t="str">
        <f>SUBSTITUTE(Table1[[#This Row],[Target_product_name]], "oz", " oz")</f>
        <v>Gatorade Fruit Punch Sports Drink - 8pk/20 fl  oz Bottles</v>
      </c>
      <c r="E433" t="s">
        <v>2037</v>
      </c>
      <c r="F433" t="str">
        <f>LEFT(Table1[[#This Row],[Target_product_quantity]], FIND("o", Table1[[#This Row],[Target_product_quantity]])-1)</f>
        <v>160</v>
      </c>
      <c r="G433" t="str" cm="1">
        <f t="array" ref="G433">_xlfn.TEXTJOIN("", TRUE, IF(ISNUMBER(SEARCH($K$1010:$K$1054, C433)), $K$1010:$K$1054, ""))</f>
        <v>Gatorade</v>
      </c>
      <c r="H433" t="str">
        <f t="shared" si="26"/>
        <v>Beverages</v>
      </c>
      <c r="I433" t="str">
        <f t="shared" si="27"/>
        <v>Beverages</v>
      </c>
      <c r="J433">
        <v>7.99</v>
      </c>
      <c r="K433">
        <f>Table1[[#This Row],[Target_product_price]]/Table1[[#This Row],[product_price_per_oz]]</f>
        <v>4.9937500000000003E-2</v>
      </c>
    </row>
    <row r="434" spans="1:11" x14ac:dyDescent="0.2">
      <c r="A434" t="s">
        <v>1205</v>
      </c>
      <c r="B434" t="s">
        <v>1206</v>
      </c>
      <c r="C434" t="s">
        <v>1207</v>
      </c>
      <c r="D434" t="str">
        <f>SUBSTITUTE(Table1[[#This Row],[Target_product_name]], "oz", " oz")</f>
        <v>Gatorade G Zero Apple Burst Sports Drink - 12pk/12 fl  oz Bottles</v>
      </c>
      <c r="E434" t="s">
        <v>929</v>
      </c>
      <c r="F434" t="str">
        <f>LEFT(Table1[[#This Row],[Target_product_quantity]], FIND("o", Table1[[#This Row],[Target_product_quantity]])-1)</f>
        <v>144</v>
      </c>
      <c r="G434" t="str" cm="1">
        <f t="array" ref="G434">_xlfn.TEXTJOIN("", TRUE, IF(ISNUMBER(SEARCH($K$1010:$K$1054, C434)), $K$1010:$K$1054, ""))</f>
        <v>Gatorade</v>
      </c>
      <c r="H434" t="str">
        <f t="shared" si="26"/>
        <v>Beverages</v>
      </c>
      <c r="I434" t="str">
        <f t="shared" si="27"/>
        <v>Beverages</v>
      </c>
      <c r="J434">
        <v>7.79</v>
      </c>
      <c r="K434">
        <f>Table1[[#This Row],[Target_product_price]]/Table1[[#This Row],[product_price_per_oz]]</f>
        <v>5.409722222222222E-2</v>
      </c>
    </row>
    <row r="435" spans="1:11" x14ac:dyDescent="0.2">
      <c r="A435" t="s">
        <v>1208</v>
      </c>
      <c r="B435" t="s">
        <v>1209</v>
      </c>
      <c r="C435" t="s">
        <v>1210</v>
      </c>
      <c r="D435" t="str">
        <f>SUBSTITUTE(Table1[[#This Row],[Target_product_name]], "oz", " oz")</f>
        <v>Gatorade G ZERO Berry Sports Drink - 28 fl  oz Bottle</v>
      </c>
      <c r="E435" t="s">
        <v>2868</v>
      </c>
      <c r="F435" t="str">
        <f>LEFT(Table1[[#This Row],[Target_product_quantity]], FIND("o", Table1[[#This Row],[Target_product_quantity]])-1)</f>
        <v>28</v>
      </c>
      <c r="G435" t="str" cm="1">
        <f t="array" ref="G435">_xlfn.TEXTJOIN("", TRUE, IF(ISNUMBER(SEARCH($K$1010:$K$1054, C435)), $K$1010:$K$1054, ""))</f>
        <v>Gatorade</v>
      </c>
      <c r="H435" t="str">
        <f t="shared" si="26"/>
        <v>Beverages</v>
      </c>
      <c r="I435" t="str">
        <f t="shared" si="27"/>
        <v>Beverages</v>
      </c>
      <c r="J435">
        <v>2.29</v>
      </c>
      <c r="K435">
        <f>Table1[[#This Row],[Target_product_price]]/Table1[[#This Row],[product_price_per_oz]]</f>
        <v>8.1785714285714281E-2</v>
      </c>
    </row>
    <row r="436" spans="1:11" x14ac:dyDescent="0.2">
      <c r="A436" t="s">
        <v>1211</v>
      </c>
      <c r="B436" t="s">
        <v>1212</v>
      </c>
      <c r="C436" t="s">
        <v>1213</v>
      </c>
      <c r="D436" t="str">
        <f>SUBSTITUTE(Table1[[#This Row],[Target_product_name]], "oz", " oz")</f>
        <v>Gatorade G Zero Cool Blue Sports Drink - 12pk/12 fl  oz Bottles</v>
      </c>
      <c r="E436" t="s">
        <v>929</v>
      </c>
      <c r="F436" t="str">
        <f>LEFT(Table1[[#This Row],[Target_product_quantity]], FIND("o", Table1[[#This Row],[Target_product_quantity]])-1)</f>
        <v>144</v>
      </c>
      <c r="G436" t="str" cm="1">
        <f t="array" ref="G436">_xlfn.TEXTJOIN("", TRUE, IF(ISNUMBER(SEARCH($K$1010:$K$1054, C436)), $K$1010:$K$1054, ""))</f>
        <v>Gatorade</v>
      </c>
      <c r="H436" t="str">
        <f t="shared" si="26"/>
        <v>Beverages</v>
      </c>
      <c r="I436" t="str">
        <f t="shared" si="27"/>
        <v>Beverages</v>
      </c>
      <c r="J436">
        <v>7.79</v>
      </c>
      <c r="K436">
        <f>Table1[[#This Row],[Target_product_price]]/Table1[[#This Row],[product_price_per_oz]]</f>
        <v>5.409722222222222E-2</v>
      </c>
    </row>
    <row r="437" spans="1:11" x14ac:dyDescent="0.2">
      <c r="A437" t="s">
        <v>1214</v>
      </c>
      <c r="B437" t="s">
        <v>1215</v>
      </c>
      <c r="C437" t="s">
        <v>1216</v>
      </c>
      <c r="D437" t="str">
        <f>SUBSTITUTE(Table1[[#This Row],[Target_product_name]], "oz", " oz")</f>
        <v>Gatorade G Zero Cool Blue Sports Drink - 8pk/20 fl  oz Bottles</v>
      </c>
      <c r="E437" t="s">
        <v>2037</v>
      </c>
      <c r="F437" t="str">
        <f>LEFT(Table1[[#This Row],[Target_product_quantity]], FIND("o", Table1[[#This Row],[Target_product_quantity]])-1)</f>
        <v>160</v>
      </c>
      <c r="G437" t="str" cm="1">
        <f t="array" ref="G437">_xlfn.TEXTJOIN("", TRUE, IF(ISNUMBER(SEARCH($K$1010:$K$1054, C437)), $K$1010:$K$1054, ""))</f>
        <v>Gatorade</v>
      </c>
      <c r="H437" t="str">
        <f t="shared" si="26"/>
        <v>Beverages</v>
      </c>
      <c r="I437" t="str">
        <f t="shared" si="27"/>
        <v>Beverages</v>
      </c>
      <c r="J437">
        <v>7.99</v>
      </c>
      <c r="K437">
        <f>Table1[[#This Row],[Target_product_price]]/Table1[[#This Row],[product_price_per_oz]]</f>
        <v>4.9937500000000003E-2</v>
      </c>
    </row>
    <row r="438" spans="1:11" x14ac:dyDescent="0.2">
      <c r="A438" t="s">
        <v>1217</v>
      </c>
      <c r="B438" t="s">
        <v>1218</v>
      </c>
      <c r="C438" t="s">
        <v>1219</v>
      </c>
      <c r="D438" t="str">
        <f>SUBSTITUTE(Table1[[#This Row],[Target_product_name]], "oz", " oz")</f>
        <v>Gatorade G Zero Fruit Punch Sports Drink - 12pk/12 fl  oz Bottles</v>
      </c>
      <c r="E438" t="s">
        <v>929</v>
      </c>
      <c r="F438" t="str">
        <f>LEFT(Table1[[#This Row],[Target_product_quantity]], FIND("o", Table1[[#This Row],[Target_product_quantity]])-1)</f>
        <v>144</v>
      </c>
      <c r="G438" t="str" cm="1">
        <f t="array" ref="G438">_xlfn.TEXTJOIN("", TRUE, IF(ISNUMBER(SEARCH($K$1010:$K$1054, C438)), $K$1010:$K$1054, ""))</f>
        <v>Gatorade</v>
      </c>
      <c r="H438" t="str">
        <f t="shared" si="26"/>
        <v>Beverages</v>
      </c>
      <c r="I438" t="str">
        <f t="shared" si="27"/>
        <v>Beverages</v>
      </c>
      <c r="J438">
        <v>7.99</v>
      </c>
      <c r="K438">
        <f>Table1[[#This Row],[Target_product_price]]/Table1[[#This Row],[product_price_per_oz]]</f>
        <v>5.5486111111111111E-2</v>
      </c>
    </row>
    <row r="439" spans="1:11" x14ac:dyDescent="0.2">
      <c r="A439" t="s">
        <v>1220</v>
      </c>
      <c r="B439" t="s">
        <v>1221</v>
      </c>
      <c r="C439" t="s">
        <v>1222</v>
      </c>
      <c r="D439" t="str">
        <f>SUBSTITUTE(Table1[[#This Row],[Target_product_name]], "oz", " oz")</f>
        <v>Gatorade G Zero Fruit Punch Sports Drink - 8pk/20 fl  oz Bottles</v>
      </c>
      <c r="E439" t="s">
        <v>2037</v>
      </c>
      <c r="F439" t="str">
        <f>LEFT(Table1[[#This Row],[Target_product_quantity]], FIND("o", Table1[[#This Row],[Target_product_quantity]])-1)</f>
        <v>160</v>
      </c>
      <c r="G439" t="str" cm="1">
        <f t="array" ref="G439">_xlfn.TEXTJOIN("", TRUE, IF(ISNUMBER(SEARCH($K$1010:$K$1054, C439)), $K$1010:$K$1054, ""))</f>
        <v>Gatorade</v>
      </c>
      <c r="H439" t="str">
        <f t="shared" si="26"/>
        <v>Beverages</v>
      </c>
      <c r="I439" t="str">
        <f t="shared" si="27"/>
        <v>Beverages</v>
      </c>
      <c r="J439">
        <v>7.99</v>
      </c>
      <c r="K439">
        <f>Table1[[#This Row],[Target_product_price]]/Table1[[#This Row],[product_price_per_oz]]</f>
        <v>4.9937500000000003E-2</v>
      </c>
    </row>
    <row r="440" spans="1:11" x14ac:dyDescent="0.2">
      <c r="A440" t="s">
        <v>1223</v>
      </c>
      <c r="B440" t="s">
        <v>1224</v>
      </c>
      <c r="C440" t="s">
        <v>1225</v>
      </c>
      <c r="D440" t="str">
        <f>SUBSTITUTE(Table1[[#This Row],[Target_product_name]], "oz", " oz")</f>
        <v>Gatorade G Zero Glacier Cherry Sports Drink - 12pk/12 fl  oz Bottles</v>
      </c>
      <c r="E440" t="s">
        <v>929</v>
      </c>
      <c r="F440" t="str">
        <f>LEFT(Table1[[#This Row],[Target_product_quantity]], FIND("o", Table1[[#This Row],[Target_product_quantity]])-1)</f>
        <v>144</v>
      </c>
      <c r="G440" t="str" cm="1">
        <f t="array" ref="G440">_xlfn.TEXTJOIN("", TRUE, IF(ISNUMBER(SEARCH($K$1010:$K$1054, C440)), $K$1010:$K$1054, ""))</f>
        <v>Gatorade</v>
      </c>
      <c r="H440" t="str">
        <f t="shared" si="26"/>
        <v>Beverages</v>
      </c>
      <c r="I440" t="str">
        <f t="shared" si="27"/>
        <v>Beverages</v>
      </c>
      <c r="J440">
        <v>7.79</v>
      </c>
      <c r="K440">
        <f>Table1[[#This Row],[Target_product_price]]/Table1[[#This Row],[product_price_per_oz]]</f>
        <v>5.409722222222222E-2</v>
      </c>
    </row>
    <row r="441" spans="1:11" x14ac:dyDescent="0.2">
      <c r="A441" t="s">
        <v>1226</v>
      </c>
      <c r="B441" t="s">
        <v>1227</v>
      </c>
      <c r="C441" t="s">
        <v>1228</v>
      </c>
      <c r="D441" t="str">
        <f>SUBSTITUTE(Table1[[#This Row],[Target_product_name]], "oz", " oz")</f>
        <v>Gatorade G Zero Glacier Freeze Sports Drink - 12pk/12 fl  oz Bottles</v>
      </c>
      <c r="E441" t="s">
        <v>929</v>
      </c>
      <c r="F441" t="str">
        <f>LEFT(Table1[[#This Row],[Target_product_quantity]], FIND("o", Table1[[#This Row],[Target_product_quantity]])-1)</f>
        <v>144</v>
      </c>
      <c r="G441" t="str" cm="1">
        <f t="array" ref="G441">_xlfn.TEXTJOIN("", TRUE, IF(ISNUMBER(SEARCH($K$1010:$K$1054, C441)), $K$1010:$K$1054, ""))</f>
        <v>Gatorade</v>
      </c>
      <c r="H441" t="str">
        <f t="shared" si="26"/>
        <v>Beverages</v>
      </c>
      <c r="I441" t="str">
        <f t="shared" si="27"/>
        <v>Beverages</v>
      </c>
      <c r="J441">
        <v>7.79</v>
      </c>
      <c r="K441">
        <f>Table1[[#This Row],[Target_product_price]]/Table1[[#This Row],[product_price_per_oz]]</f>
        <v>5.409722222222222E-2</v>
      </c>
    </row>
    <row r="442" spans="1:11" x14ac:dyDescent="0.2">
      <c r="A442" t="s">
        <v>1229</v>
      </c>
      <c r="B442" t="s">
        <v>1230</v>
      </c>
      <c r="C442" t="s">
        <v>1231</v>
      </c>
      <c r="D442" t="str">
        <f>SUBSTITUTE(Table1[[#This Row],[Target_product_name]], "oz", " oz")</f>
        <v>Gatorade G ZERO Glacier Freeze Sports Drink - 28 fl  oz Bottle</v>
      </c>
      <c r="E442" t="s">
        <v>2868</v>
      </c>
      <c r="F442" t="str">
        <f>LEFT(Table1[[#This Row],[Target_product_quantity]], FIND("o", Table1[[#This Row],[Target_product_quantity]])-1)</f>
        <v>28</v>
      </c>
      <c r="G442" t="str" cm="1">
        <f t="array" ref="G442">_xlfn.TEXTJOIN("", TRUE, IF(ISNUMBER(SEARCH($K$1010:$K$1054, C442)), $K$1010:$K$1054, ""))</f>
        <v>Gatorade</v>
      </c>
      <c r="H442" t="str">
        <f t="shared" si="26"/>
        <v>Beverages</v>
      </c>
      <c r="I442" t="str">
        <f t="shared" si="27"/>
        <v>Beverages</v>
      </c>
      <c r="J442">
        <v>2.29</v>
      </c>
      <c r="K442">
        <f>Table1[[#This Row],[Target_product_price]]/Table1[[#This Row],[product_price_per_oz]]</f>
        <v>8.1785714285714281E-2</v>
      </c>
    </row>
    <row r="443" spans="1:11" x14ac:dyDescent="0.2">
      <c r="A443" t="s">
        <v>1232</v>
      </c>
      <c r="B443" t="s">
        <v>1233</v>
      </c>
      <c r="C443" t="s">
        <v>1234</v>
      </c>
      <c r="D443" t="str">
        <f>SUBSTITUTE(Table1[[#This Row],[Target_product_name]], "oz", " oz")</f>
        <v>Gatorade G Zero Glacier Freeze Sports Drink - 8pk/20 fl  oz Bottle</v>
      </c>
      <c r="E443" t="s">
        <v>2037</v>
      </c>
      <c r="F443" t="str">
        <f>LEFT(Table1[[#This Row],[Target_product_quantity]], FIND("o", Table1[[#This Row],[Target_product_quantity]])-1)</f>
        <v>160</v>
      </c>
      <c r="G443" t="str" cm="1">
        <f t="array" ref="G443">_xlfn.TEXTJOIN("", TRUE, IF(ISNUMBER(SEARCH($K$1010:$K$1054, C443)), $K$1010:$K$1054, ""))</f>
        <v>Gatorade</v>
      </c>
      <c r="H443" t="str">
        <f t="shared" si="26"/>
        <v>Beverages</v>
      </c>
      <c r="I443" t="str">
        <f t="shared" si="27"/>
        <v>Beverages</v>
      </c>
      <c r="J443">
        <v>7.89</v>
      </c>
      <c r="K443">
        <f>Table1[[#This Row],[Target_product_price]]/Table1[[#This Row],[product_price_per_oz]]</f>
        <v>4.9312499999999995E-2</v>
      </c>
    </row>
    <row r="444" spans="1:11" x14ac:dyDescent="0.2">
      <c r="A444" t="s">
        <v>1235</v>
      </c>
      <c r="B444" t="s">
        <v>1236</v>
      </c>
      <c r="C444" t="s">
        <v>1237</v>
      </c>
      <c r="D444" t="str">
        <f>SUBSTITUTE(Table1[[#This Row],[Target_product_name]], "oz", " oz")</f>
        <v>Gatorade G Zero Grape Sports Drink - 8pk/20 fl  oz Bottles</v>
      </c>
      <c r="E444" t="s">
        <v>2037</v>
      </c>
      <c r="F444" t="str">
        <f>LEFT(Table1[[#This Row],[Target_product_quantity]], FIND("o", Table1[[#This Row],[Target_product_quantity]])-1)</f>
        <v>160</v>
      </c>
      <c r="G444" t="str" cm="1">
        <f t="array" ref="G444">_xlfn.TEXTJOIN("", TRUE, IF(ISNUMBER(SEARCH($K$1010:$K$1054, C444)), $K$1010:$K$1054, ""))</f>
        <v>Gatorade</v>
      </c>
      <c r="H444" t="str">
        <f t="shared" si="26"/>
        <v>Beverages</v>
      </c>
      <c r="I444" t="str">
        <f t="shared" si="27"/>
        <v>Beverages</v>
      </c>
      <c r="J444">
        <v>7.99</v>
      </c>
      <c r="K444">
        <f>Table1[[#This Row],[Target_product_price]]/Table1[[#This Row],[product_price_per_oz]]</f>
        <v>4.9937500000000003E-2</v>
      </c>
    </row>
    <row r="445" spans="1:11" x14ac:dyDescent="0.2">
      <c r="A445" t="s">
        <v>1238</v>
      </c>
      <c r="B445" t="s">
        <v>1239</v>
      </c>
      <c r="C445" t="s">
        <v>1240</v>
      </c>
      <c r="D445" t="str">
        <f>SUBSTITUTE(Table1[[#This Row],[Target_product_name]], "oz", " oz")</f>
        <v>Gatorade G Zero Lemon Lime Sports Drink - 12pk/12 fl  oz Bottles</v>
      </c>
      <c r="E445" t="s">
        <v>929</v>
      </c>
      <c r="F445" t="str">
        <f>LEFT(Table1[[#This Row],[Target_product_quantity]], FIND("o", Table1[[#This Row],[Target_product_quantity]])-1)</f>
        <v>144</v>
      </c>
      <c r="G445" t="str" cm="1">
        <f t="array" ref="G445">_xlfn.TEXTJOIN("", TRUE, IF(ISNUMBER(SEARCH($K$1010:$K$1054, C445)), $K$1010:$K$1054, ""))</f>
        <v>Gatorade</v>
      </c>
      <c r="H445" t="str">
        <f t="shared" si="26"/>
        <v>Beverages</v>
      </c>
      <c r="I445" t="str">
        <f t="shared" si="27"/>
        <v>Beverages</v>
      </c>
      <c r="J445">
        <v>7.79</v>
      </c>
      <c r="K445">
        <f>Table1[[#This Row],[Target_product_price]]/Table1[[#This Row],[product_price_per_oz]]</f>
        <v>5.409722222222222E-2</v>
      </c>
    </row>
    <row r="446" spans="1:11" x14ac:dyDescent="0.2">
      <c r="A446" t="s">
        <v>1241</v>
      </c>
      <c r="B446" t="s">
        <v>1242</v>
      </c>
      <c r="C446" t="s">
        <v>1243</v>
      </c>
      <c r="D446" t="str">
        <f>SUBSTITUTE(Table1[[#This Row],[Target_product_name]], "oz", " oz")</f>
        <v>Gatorade G Zero Lemon Lime Sports Drink - 8pk/20 fl  oz Bottles</v>
      </c>
      <c r="E446" t="s">
        <v>2037</v>
      </c>
      <c r="F446" t="str">
        <f>LEFT(Table1[[#This Row],[Target_product_quantity]], FIND("o", Table1[[#This Row],[Target_product_quantity]])-1)</f>
        <v>160</v>
      </c>
      <c r="G446" t="str" cm="1">
        <f t="array" ref="G446">_xlfn.TEXTJOIN("", TRUE, IF(ISNUMBER(SEARCH($K$1010:$K$1054, C446)), $K$1010:$K$1054, ""))</f>
        <v>Gatorade</v>
      </c>
      <c r="H446" t="str">
        <f t="shared" si="26"/>
        <v>Beverages</v>
      </c>
      <c r="I446" t="str">
        <f t="shared" si="27"/>
        <v>Beverages</v>
      </c>
      <c r="J446">
        <v>7.89</v>
      </c>
      <c r="K446">
        <f>Table1[[#This Row],[Target_product_price]]/Table1[[#This Row],[product_price_per_oz]]</f>
        <v>4.9312499999999995E-2</v>
      </c>
    </row>
    <row r="447" spans="1:11" x14ac:dyDescent="0.2">
      <c r="A447" t="s">
        <v>1244</v>
      </c>
      <c r="B447" t="s">
        <v>1245</v>
      </c>
      <c r="C447" t="s">
        <v>1246</v>
      </c>
      <c r="D447" t="str">
        <f>SUBSTITUTE(Table1[[#This Row],[Target_product_name]], "oz", " oz")</f>
        <v>Gatorade G Zero Lime Cucumber Sports Drink - 8pk/20 fl  oz Bottles</v>
      </c>
      <c r="E447" t="s">
        <v>2037</v>
      </c>
      <c r="F447" t="str">
        <f>LEFT(Table1[[#This Row],[Target_product_quantity]], FIND("o", Table1[[#This Row],[Target_product_quantity]])-1)</f>
        <v>160</v>
      </c>
      <c r="G447" t="str" cm="1">
        <f t="array" ref="G447">_xlfn.TEXTJOIN("", TRUE, IF(ISNUMBER(SEARCH($K$1010:$K$1054, C447)), $K$1010:$K$1054, ""))</f>
        <v>Gatorade</v>
      </c>
      <c r="H447" t="str">
        <f t="shared" si="26"/>
        <v>Beverages</v>
      </c>
      <c r="I447" t="str">
        <f t="shared" si="27"/>
        <v>Beverages</v>
      </c>
      <c r="J447">
        <v>7.89</v>
      </c>
      <c r="K447">
        <f>Table1[[#This Row],[Target_product_price]]/Table1[[#This Row],[product_price_per_oz]]</f>
        <v>4.9312499999999995E-2</v>
      </c>
    </row>
    <row r="448" spans="1:11" x14ac:dyDescent="0.2">
      <c r="A448" t="s">
        <v>1247</v>
      </c>
      <c r="B448" t="s">
        <v>1248</v>
      </c>
      <c r="C448" t="s">
        <v>1249</v>
      </c>
      <c r="D448" t="str">
        <f>SUBSTITUTE(Table1[[#This Row],[Target_product_name]], "oz", " oz")</f>
        <v>Gatorade G Zero Orange Sports Drink - 8pk/20 fl  oz Bottles</v>
      </c>
      <c r="E448" t="s">
        <v>2037</v>
      </c>
      <c r="F448" t="str">
        <f>LEFT(Table1[[#This Row],[Target_product_quantity]], FIND("o", Table1[[#This Row],[Target_product_quantity]])-1)</f>
        <v>160</v>
      </c>
      <c r="G448" t="str" cm="1">
        <f t="array" ref="G448">_xlfn.TEXTJOIN("", TRUE, IF(ISNUMBER(SEARCH($K$1010:$K$1054, C448)), $K$1010:$K$1054, ""))</f>
        <v>Gatorade</v>
      </c>
      <c r="H448" t="str">
        <f t="shared" si="26"/>
        <v>Beverages</v>
      </c>
      <c r="I448" t="str">
        <f t="shared" si="27"/>
        <v>Beverages</v>
      </c>
      <c r="J448">
        <v>7.99</v>
      </c>
      <c r="K448">
        <f>Table1[[#This Row],[Target_product_price]]/Table1[[#This Row],[product_price_per_oz]]</f>
        <v>4.9937500000000003E-2</v>
      </c>
    </row>
    <row r="449" spans="1:11" x14ac:dyDescent="0.2">
      <c r="A449" t="s">
        <v>1250</v>
      </c>
      <c r="B449" t="s">
        <v>1251</v>
      </c>
      <c r="C449" t="s">
        <v>1252</v>
      </c>
      <c r="D449" t="str">
        <f>SUBSTITUTE(Table1[[#This Row],[Target_product_name]], "oz", " oz")</f>
        <v>Gatorade G Zero Watermelon Splash Sports Drink - 12pk/12 fl  oz Bottles</v>
      </c>
      <c r="E449" t="s">
        <v>929</v>
      </c>
      <c r="F449" t="str">
        <f>LEFT(Table1[[#This Row],[Target_product_quantity]], FIND("o", Table1[[#This Row],[Target_product_quantity]])-1)</f>
        <v>144</v>
      </c>
      <c r="G449" t="str" cm="1">
        <f t="array" ref="G449">_xlfn.TEXTJOIN("", TRUE, IF(ISNUMBER(SEARCH($K$1010:$K$1054, C449)), $K$1010:$K$1054, ""))</f>
        <v>Gatorade</v>
      </c>
      <c r="H449" t="str">
        <f t="shared" si="26"/>
        <v>Beverages</v>
      </c>
      <c r="I449" t="str">
        <f t="shared" si="27"/>
        <v>Beverages</v>
      </c>
      <c r="J449">
        <v>7.79</v>
      </c>
      <c r="K449">
        <f>Table1[[#This Row],[Target_product_price]]/Table1[[#This Row],[product_price_per_oz]]</f>
        <v>5.409722222222222E-2</v>
      </c>
    </row>
    <row r="450" spans="1:11" x14ac:dyDescent="0.2">
      <c r="A450" t="s">
        <v>1253</v>
      </c>
      <c r="B450" t="s">
        <v>1254</v>
      </c>
      <c r="C450" t="s">
        <v>1255</v>
      </c>
      <c r="D450" t="str">
        <f>SUBSTITUTE(Table1[[#This Row],[Target_product_name]], "oz", " oz")</f>
        <v>Gatorade Gatorlyte Strawberry Kiwi Sports Drink - 20 fl  oz Bottle</v>
      </c>
      <c r="E450" t="s">
        <v>918</v>
      </c>
      <c r="F450" t="str">
        <f>LEFT(Table1[[#This Row],[Target_product_quantity]], FIND("o", Table1[[#This Row],[Target_product_quantity]])-1)</f>
        <v>20</v>
      </c>
      <c r="G450" t="str" cm="1">
        <f t="array" ref="G450">_xlfn.TEXTJOIN("", TRUE, IF(ISNUMBER(SEARCH($K$1010:$K$1054, C450)), $K$1010:$K$1054, ""))</f>
        <v>Gatorade</v>
      </c>
      <c r="H450" t="str">
        <f t="shared" ref="H450:H513" si="29">IF(OR(G450="Mission",G450="Nature's Own",G450="Sara Lee"),"Bread",
IF(OR(G450="Del Monte",G450="Dole",G450="Mott's"),"Canned Fruit",
IF(OR(G450="Goya",G450="Hunt's",G450="Birds Eye"),"Canned Vegetables",
IF(OR(G450="Fairlife",G450="Horizon Organic",G450="Lactaid",G450="Ben &amp; Jerry's"),"Milk",
IF(OR(G450="BelGioioso",G450="Kraft",G450="Philadelphia"),"Cheese",
IF(OR(G450="Chobani",G450="Oikos",G450="Light + Fit"),"Yogurt",
IF(OR(G450="Barilla",G450="Annie's",G450="Rao's Homemade"),"Pasta",
IF(OR(G450="Hershey's",G450="Lay's",G450="Totino's",G450="Cheerios",G450="Jif",G450="Skippy",G450="Nature Valley",G450="Oreo",G450="DiGiorno",G450="Eggo"),"Prepared Food",
IF(OR(G450="Ben's Original",G450="Lundberg",G450="Quaker"),"Rice",
IF(OR(G450="Bush's",G450="Hillshire Farm",G450="Oscar Mayer",G450="SPAM"),"Protein",
IF(OR(G450="Starbucks",G450="Sparkling Ice",G450="Coca-Cola",G450="San Pellegrino",G450="Gatorade",G450="Arizona"),"Beverages",
"Other")))))))))))</f>
        <v>Beverages</v>
      </c>
      <c r="I450" t="str">
        <f t="shared" ref="I450:I513" si="30">IF(OR(H450="Bread",H450="Rice",H450="Pasta"), "Grain",
IF(OR(H450="Milk",H450="Cheese",H450="Yogurt"), "Dairy",
IF(OR(H450="Canned Fruit",H450="Canned Vegetables"), "Fruit &amp; Vegetables",
IF(H450="Prepared Food", "Prepared Food",
IF(H450="Protein", "Protein",
IF(H450="Beverages", "Beverages",
"Other"))))))</f>
        <v>Beverages</v>
      </c>
      <c r="J450">
        <v>2.99</v>
      </c>
      <c r="K450">
        <f>Table1[[#This Row],[Target_product_price]]/Table1[[#This Row],[product_price_per_oz]]</f>
        <v>0.14950000000000002</v>
      </c>
    </row>
    <row r="451" spans="1:11" x14ac:dyDescent="0.2">
      <c r="A451" t="s">
        <v>1256</v>
      </c>
      <c r="B451" t="s">
        <v>1257</v>
      </c>
      <c r="C451" t="s">
        <v>1258</v>
      </c>
      <c r="D451" t="str">
        <f>SUBSTITUTE(Table1[[#This Row],[Target_product_name]], "oz", " oz")</f>
        <v>Gatorade Glacier Freeze Sports Drink - 28 fl  oz Bottle</v>
      </c>
      <c r="E451" t="s">
        <v>2868</v>
      </c>
      <c r="F451" t="str">
        <f>LEFT(Table1[[#This Row],[Target_product_quantity]], FIND("o", Table1[[#This Row],[Target_product_quantity]])-1)</f>
        <v>28</v>
      </c>
      <c r="G451" t="str" cm="1">
        <f t="array" ref="G451">_xlfn.TEXTJOIN("", TRUE, IF(ISNUMBER(SEARCH($K$1010:$K$1054, C451)), $K$1010:$K$1054, ""))</f>
        <v>Gatorade</v>
      </c>
      <c r="H451" t="str">
        <f t="shared" si="29"/>
        <v>Beverages</v>
      </c>
      <c r="I451" t="str">
        <f t="shared" si="30"/>
        <v>Beverages</v>
      </c>
      <c r="J451">
        <v>2.29</v>
      </c>
      <c r="K451">
        <f>Table1[[#This Row],[Target_product_price]]/Table1[[#This Row],[product_price_per_oz]]</f>
        <v>8.1785714285714281E-2</v>
      </c>
    </row>
    <row r="452" spans="1:11" x14ac:dyDescent="0.2">
      <c r="A452" t="s">
        <v>1256</v>
      </c>
      <c r="B452" t="s">
        <v>1257</v>
      </c>
      <c r="C452" t="s">
        <v>1258</v>
      </c>
      <c r="D452" t="str">
        <f>SUBSTITUTE(Table1[[#This Row],[Target_product_name]], "oz", " oz")</f>
        <v>Gatorade Glacier Freeze Sports Drink - 28 fl  oz Bottle</v>
      </c>
      <c r="E452" t="s">
        <v>2868</v>
      </c>
      <c r="F452" t="str">
        <f>LEFT(Table1[[#This Row],[Target_product_quantity]], FIND("o", Table1[[#This Row],[Target_product_quantity]])-1)</f>
        <v>28</v>
      </c>
      <c r="G452" t="str" cm="1">
        <f t="array" ref="G452">_xlfn.TEXTJOIN("", TRUE, IF(ISNUMBER(SEARCH($K$1010:$K$1054, C452)), $K$1010:$K$1054, ""))</f>
        <v>Gatorade</v>
      </c>
      <c r="H452" t="str">
        <f t="shared" si="29"/>
        <v>Beverages</v>
      </c>
      <c r="I452" t="str">
        <f t="shared" si="30"/>
        <v>Beverages</v>
      </c>
      <c r="J452">
        <v>2.29</v>
      </c>
      <c r="K452">
        <f>Table1[[#This Row],[Target_product_price]]/Table1[[#This Row],[product_price_per_oz]]</f>
        <v>8.1785714285714281E-2</v>
      </c>
    </row>
    <row r="453" spans="1:11" x14ac:dyDescent="0.2">
      <c r="A453" t="s">
        <v>1259</v>
      </c>
      <c r="B453" t="s">
        <v>1260</v>
      </c>
      <c r="C453" t="s">
        <v>1261</v>
      </c>
      <c r="D453" t="str">
        <f>SUBSTITUTE(Table1[[#This Row],[Target_product_name]], "oz", " oz")</f>
        <v>Gatorade GZERO Glacier Freeze Sports Drink Mix - 1.08 oz</v>
      </c>
      <c r="E453" t="str">
        <f t="shared" si="28"/>
        <v>1.08oz</v>
      </c>
      <c r="F453" t="str">
        <f>LEFT(Table1[[#This Row],[Target_product_quantity]], FIND("o", Table1[[#This Row],[Target_product_quantity]])-1)</f>
        <v>1.08</v>
      </c>
      <c r="G453" t="str" cm="1">
        <f t="array" ref="G453">_xlfn.TEXTJOIN("", TRUE, IF(ISNUMBER(SEARCH($K$1010:$K$1054, C453)), $K$1010:$K$1054, ""))</f>
        <v>Gatorade</v>
      </c>
      <c r="H453" t="str">
        <f t="shared" si="29"/>
        <v>Beverages</v>
      </c>
      <c r="I453" t="str">
        <f t="shared" si="30"/>
        <v>Beverages</v>
      </c>
      <c r="J453">
        <v>3.49</v>
      </c>
      <c r="K453">
        <f>Table1[[#This Row],[Target_product_price]]/Table1[[#This Row],[product_price_per_oz]]</f>
        <v>3.2314814814814814</v>
      </c>
    </row>
    <row r="454" spans="1:11" x14ac:dyDescent="0.2">
      <c r="A454" t="s">
        <v>1262</v>
      </c>
      <c r="B454" t="s">
        <v>1263</v>
      </c>
      <c r="C454" t="s">
        <v>1264</v>
      </c>
      <c r="D454" t="str">
        <f>SUBSTITUTE(Table1[[#This Row],[Target_product_name]], "oz", " oz")</f>
        <v>Gatorade Hydration Booster Tropical Mango - 6pk/0.35 oz Cans</v>
      </c>
      <c r="E454" t="s">
        <v>3018</v>
      </c>
      <c r="F454" t="str">
        <f>LEFT(Table1[[#This Row],[Target_product_quantity]], FIND("o", Table1[[#This Row],[Target_product_quantity]])-1)</f>
        <v>2.1</v>
      </c>
      <c r="G454" t="str" cm="1">
        <f t="array" ref="G454">_xlfn.TEXTJOIN("", TRUE, IF(ISNUMBER(SEARCH($K$1010:$K$1054, C454)), $K$1010:$K$1054, ""))</f>
        <v>Gatorade</v>
      </c>
      <c r="H454" t="str">
        <f t="shared" si="29"/>
        <v>Beverages</v>
      </c>
      <c r="I454" t="str">
        <f t="shared" si="30"/>
        <v>Beverages</v>
      </c>
      <c r="J454">
        <v>8.7899999999999991</v>
      </c>
      <c r="K454">
        <f>Table1[[#This Row],[Target_product_price]]/Table1[[#This Row],[product_price_per_oz]]</f>
        <v>4.1857142857142851</v>
      </c>
    </row>
    <row r="455" spans="1:11" x14ac:dyDescent="0.2">
      <c r="A455" t="s">
        <v>1265</v>
      </c>
      <c r="B455" t="s">
        <v>1266</v>
      </c>
      <c r="C455" t="s">
        <v>1267</v>
      </c>
      <c r="D455" t="str">
        <f>SUBSTITUTE(Table1[[#This Row],[Target_product_name]], "oz", " oz")</f>
        <v>Gatorade Lemon Lime Sports Drink - 12pk/12 fl  oz Bottles</v>
      </c>
      <c r="E455" t="s">
        <v>929</v>
      </c>
      <c r="F455" t="str">
        <f>LEFT(Table1[[#This Row],[Target_product_quantity]], FIND("o", Table1[[#This Row],[Target_product_quantity]])-1)</f>
        <v>144</v>
      </c>
      <c r="G455" t="str" cm="1">
        <f t="array" ref="G455">_xlfn.TEXTJOIN("", TRUE, IF(ISNUMBER(SEARCH($K$1010:$K$1054, C455)), $K$1010:$K$1054, ""))</f>
        <v>Gatorade</v>
      </c>
      <c r="H455" t="str">
        <f t="shared" si="29"/>
        <v>Beverages</v>
      </c>
      <c r="I455" t="str">
        <f t="shared" si="30"/>
        <v>Beverages</v>
      </c>
      <c r="J455">
        <v>7.79</v>
      </c>
      <c r="K455">
        <f>Table1[[#This Row],[Target_product_price]]/Table1[[#This Row],[product_price_per_oz]]</f>
        <v>5.409722222222222E-2</v>
      </c>
    </row>
    <row r="456" spans="1:11" x14ac:dyDescent="0.2">
      <c r="A456" t="s">
        <v>1268</v>
      </c>
      <c r="B456" t="s">
        <v>1269</v>
      </c>
      <c r="C456" t="s">
        <v>1270</v>
      </c>
      <c r="D456" t="str">
        <f>SUBSTITUTE(Table1[[#This Row],[Target_product_name]], "oz", " oz")</f>
        <v>Gatorade Lemon Lime Sports Drink - 28 fl  oz Bottle</v>
      </c>
      <c r="E456" t="s">
        <v>2868</v>
      </c>
      <c r="F456" t="str">
        <f>LEFT(Table1[[#This Row],[Target_product_quantity]], FIND("o", Table1[[#This Row],[Target_product_quantity]])-1)</f>
        <v>28</v>
      </c>
      <c r="G456" t="str" cm="1">
        <f t="array" ref="G456">_xlfn.TEXTJOIN("", TRUE, IF(ISNUMBER(SEARCH($K$1010:$K$1054, C456)), $K$1010:$K$1054, ""))</f>
        <v>Gatorade</v>
      </c>
      <c r="H456" t="str">
        <f t="shared" si="29"/>
        <v>Beverages</v>
      </c>
      <c r="I456" t="str">
        <f t="shared" si="30"/>
        <v>Beverages</v>
      </c>
      <c r="J456">
        <v>2.29</v>
      </c>
      <c r="K456">
        <f>Table1[[#This Row],[Target_product_price]]/Table1[[#This Row],[product_price_per_oz]]</f>
        <v>8.1785714285714281E-2</v>
      </c>
    </row>
    <row r="457" spans="1:11" x14ac:dyDescent="0.2">
      <c r="A457" t="s">
        <v>1271</v>
      </c>
      <c r="B457" t="s">
        <v>1272</v>
      </c>
      <c r="C457" t="s">
        <v>1273</v>
      </c>
      <c r="D457" t="str">
        <f>SUBSTITUTE(Table1[[#This Row],[Target_product_name]], "oz", " oz")</f>
        <v>Gatorade Lemon Lime Sports Drink - 8pk/20 fl  oz Bottles</v>
      </c>
      <c r="E457" t="s">
        <v>2037</v>
      </c>
      <c r="F457" t="str">
        <f>LEFT(Table1[[#This Row],[Target_product_quantity]], FIND("o", Table1[[#This Row],[Target_product_quantity]])-1)</f>
        <v>160</v>
      </c>
      <c r="G457" t="str" cm="1">
        <f t="array" ref="G457">_xlfn.TEXTJOIN("", TRUE, IF(ISNUMBER(SEARCH($K$1010:$K$1054, C457)), $K$1010:$K$1054, ""))</f>
        <v>Gatorade</v>
      </c>
      <c r="H457" t="str">
        <f t="shared" si="29"/>
        <v>Beverages</v>
      </c>
      <c r="I457" t="str">
        <f t="shared" si="30"/>
        <v>Beverages</v>
      </c>
      <c r="J457">
        <v>7.99</v>
      </c>
      <c r="K457">
        <f>Table1[[#This Row],[Target_product_price]]/Table1[[#This Row],[product_price_per_oz]]</f>
        <v>4.9937500000000003E-2</v>
      </c>
    </row>
    <row r="458" spans="1:11" x14ac:dyDescent="0.2">
      <c r="A458" t="s">
        <v>1274</v>
      </c>
      <c r="B458" t="s">
        <v>1275</v>
      </c>
      <c r="C458" t="s">
        <v>1276</v>
      </c>
      <c r="D458" t="str">
        <f>SUBSTITUTE(Table1[[#This Row],[Target_product_name]], "oz", " oz")</f>
        <v>Gatorade Lightning blast Sports Drink - 28 fl  oz Bottle</v>
      </c>
      <c r="E458" t="s">
        <v>2868</v>
      </c>
      <c r="F458" t="str">
        <f>LEFT(Table1[[#This Row],[Target_product_quantity]], FIND("o", Table1[[#This Row],[Target_product_quantity]])-1)</f>
        <v>28</v>
      </c>
      <c r="G458" t="str" cm="1">
        <f t="array" ref="G458">_xlfn.TEXTJOIN("", TRUE, IF(ISNUMBER(SEARCH($K$1010:$K$1054, C458)), $K$1010:$K$1054, ""))</f>
        <v>Gatorade</v>
      </c>
      <c r="H458" t="str">
        <f t="shared" si="29"/>
        <v>Beverages</v>
      </c>
      <c r="I458" t="str">
        <f t="shared" si="30"/>
        <v>Beverages</v>
      </c>
      <c r="J458">
        <v>2.29</v>
      </c>
      <c r="K458">
        <f>Table1[[#This Row],[Target_product_price]]/Table1[[#This Row],[product_price_per_oz]]</f>
        <v>8.1785714285714281E-2</v>
      </c>
    </row>
    <row r="459" spans="1:11" x14ac:dyDescent="0.2">
      <c r="A459" t="s">
        <v>1277</v>
      </c>
      <c r="B459" t="s">
        <v>1278</v>
      </c>
      <c r="C459" t="s">
        <v>1279</v>
      </c>
      <c r="D459" t="str">
        <f>SUBSTITUTE(Table1[[#This Row],[Target_product_name]], "oz", " oz")</f>
        <v>Gatorade Lime Cucumber Sports Drink - 28 fl  oz Bottle</v>
      </c>
      <c r="E459" t="s">
        <v>2868</v>
      </c>
      <c r="F459" t="str">
        <f>LEFT(Table1[[#This Row],[Target_product_quantity]], FIND("o", Table1[[#This Row],[Target_product_quantity]])-1)</f>
        <v>28</v>
      </c>
      <c r="G459" t="str" cm="1">
        <f t="array" ref="G459">_xlfn.TEXTJOIN("", TRUE, IF(ISNUMBER(SEARCH($K$1010:$K$1054, C459)), $K$1010:$K$1054, ""))</f>
        <v>Gatorade</v>
      </c>
      <c r="H459" t="str">
        <f t="shared" si="29"/>
        <v>Beverages</v>
      </c>
      <c r="I459" t="str">
        <f t="shared" si="30"/>
        <v>Beverages</v>
      </c>
      <c r="J459">
        <v>2.29</v>
      </c>
      <c r="K459">
        <f>Table1[[#This Row],[Target_product_price]]/Table1[[#This Row],[product_price_per_oz]]</f>
        <v>8.1785714285714281E-2</v>
      </c>
    </row>
    <row r="460" spans="1:11" x14ac:dyDescent="0.2">
      <c r="A460" t="s">
        <v>1280</v>
      </c>
      <c r="B460" t="s">
        <v>1281</v>
      </c>
      <c r="C460" t="s">
        <v>1282</v>
      </c>
      <c r="D460" t="str">
        <f>SUBSTITUTE(Table1[[#This Row],[Target_product_name]], "oz", " oz")</f>
        <v>Gatorade Mashup Fruit Punch Sports Drink - 28 fl  oz Bottle</v>
      </c>
      <c r="E460" t="s">
        <v>2868</v>
      </c>
      <c r="F460" t="str">
        <f>LEFT(Table1[[#This Row],[Target_product_quantity]], FIND("o", Table1[[#This Row],[Target_product_quantity]])-1)</f>
        <v>28</v>
      </c>
      <c r="G460" t="str" cm="1">
        <f t="array" ref="G460">_xlfn.TEXTJOIN("", TRUE, IF(ISNUMBER(SEARCH($K$1010:$K$1054, C460)), $K$1010:$K$1054, ""))</f>
        <v>Gatorade</v>
      </c>
      <c r="H460" t="str">
        <f t="shared" si="29"/>
        <v>Beverages</v>
      </c>
      <c r="I460" t="str">
        <f t="shared" si="30"/>
        <v>Beverages</v>
      </c>
      <c r="J460">
        <v>2.29</v>
      </c>
      <c r="K460">
        <f>Table1[[#This Row],[Target_product_price]]/Table1[[#This Row],[product_price_per_oz]]</f>
        <v>8.1785714285714281E-2</v>
      </c>
    </row>
    <row r="461" spans="1:11" x14ac:dyDescent="0.2">
      <c r="A461" t="s">
        <v>1283</v>
      </c>
      <c r="B461" t="s">
        <v>1284</v>
      </c>
      <c r="C461" t="s">
        <v>1285</v>
      </c>
      <c r="D461" t="str">
        <f>SUBSTITUTE(Table1[[#This Row],[Target_product_name]], "oz", " oz")</f>
        <v>Gatorade Mashup Lemon Lime Sports Drink - 28 fl  oz Bottle</v>
      </c>
      <c r="E461" t="s">
        <v>2868</v>
      </c>
      <c r="F461" t="str">
        <f>LEFT(Table1[[#This Row],[Target_product_quantity]], FIND("o", Table1[[#This Row],[Target_product_quantity]])-1)</f>
        <v>28</v>
      </c>
      <c r="G461" t="str" cm="1">
        <f t="array" ref="G461">_xlfn.TEXTJOIN("", TRUE, IF(ISNUMBER(SEARCH($K$1010:$K$1054, C461)), $K$1010:$K$1054, ""))</f>
        <v>Gatorade</v>
      </c>
      <c r="H461" t="str">
        <f t="shared" si="29"/>
        <v>Beverages</v>
      </c>
      <c r="I461" t="str">
        <f t="shared" si="30"/>
        <v>Beverages</v>
      </c>
      <c r="J461">
        <v>2.29</v>
      </c>
      <c r="K461">
        <f>Table1[[#This Row],[Target_product_price]]/Table1[[#This Row],[product_price_per_oz]]</f>
        <v>8.1785714285714281E-2</v>
      </c>
    </row>
    <row r="462" spans="1:11" x14ac:dyDescent="0.2">
      <c r="A462" t="s">
        <v>1286</v>
      </c>
      <c r="B462" t="s">
        <v>1287</v>
      </c>
      <c r="C462" t="s">
        <v>1288</v>
      </c>
      <c r="D462" t="str">
        <f>SUBSTITUTE(Table1[[#This Row],[Target_product_name]], "oz", " oz")</f>
        <v>Gatorade Midnight Ice Sports Drink - 28 fl  oz Bottle</v>
      </c>
      <c r="E462" t="s">
        <v>2868</v>
      </c>
      <c r="F462" t="str">
        <f>LEFT(Table1[[#This Row],[Target_product_quantity]], FIND("o", Table1[[#This Row],[Target_product_quantity]])-1)</f>
        <v>28</v>
      </c>
      <c r="G462" t="str" cm="1">
        <f t="array" ref="G462">_xlfn.TEXTJOIN("", TRUE, IF(ISNUMBER(SEARCH($K$1010:$K$1054, C462)), $K$1010:$K$1054, ""))</f>
        <v>Gatorade</v>
      </c>
      <c r="H462" t="str">
        <f t="shared" si="29"/>
        <v>Beverages</v>
      </c>
      <c r="I462" t="str">
        <f t="shared" si="30"/>
        <v>Beverages</v>
      </c>
      <c r="J462">
        <v>2.29</v>
      </c>
      <c r="K462">
        <f>Table1[[#This Row],[Target_product_price]]/Table1[[#This Row],[product_price_per_oz]]</f>
        <v>8.1785714285714281E-2</v>
      </c>
    </row>
    <row r="463" spans="1:11" x14ac:dyDescent="0.2">
      <c r="A463" t="s">
        <v>1289</v>
      </c>
      <c r="B463" t="s">
        <v>1290</v>
      </c>
      <c r="C463" t="s">
        <v>1291</v>
      </c>
      <c r="D463" t="str">
        <f>SUBSTITUTE(Table1[[#This Row],[Target_product_name]], "oz", " oz")</f>
        <v>Gatorade Mixed Flavors Sports Drink - 18pk/12 fl  oz Bottles</v>
      </c>
      <c r="E463" t="s">
        <v>2097</v>
      </c>
      <c r="F463" t="str">
        <f>LEFT(Table1[[#This Row],[Target_product_quantity]], FIND("o", Table1[[#This Row],[Target_product_quantity]])-1)</f>
        <v>216</v>
      </c>
      <c r="G463" t="str" cm="1">
        <f t="array" ref="G463">_xlfn.TEXTJOIN("", TRUE, IF(ISNUMBER(SEARCH($K$1010:$K$1054, C463)), $K$1010:$K$1054, ""))</f>
        <v>Gatorade</v>
      </c>
      <c r="H463" t="str">
        <f t="shared" si="29"/>
        <v>Beverages</v>
      </c>
      <c r="I463" t="str">
        <f t="shared" si="30"/>
        <v>Beverages</v>
      </c>
      <c r="J463">
        <v>12.39</v>
      </c>
      <c r="K463">
        <f>Table1[[#This Row],[Target_product_price]]/Table1[[#This Row],[product_price_per_oz]]</f>
        <v>5.7361111111111113E-2</v>
      </c>
    </row>
    <row r="464" spans="1:11" x14ac:dyDescent="0.2">
      <c r="A464" t="s">
        <v>1292</v>
      </c>
      <c r="B464" t="s">
        <v>1293</v>
      </c>
      <c r="C464" t="s">
        <v>1294</v>
      </c>
      <c r="D464" t="str">
        <f>SUBSTITUTE(Table1[[#This Row],[Target_product_name]], "oz", " oz")</f>
        <v>Gatorade Orange Sports Drink - 12pk/12 fl  oz Bottles</v>
      </c>
      <c r="E464" t="s">
        <v>929</v>
      </c>
      <c r="F464" t="str">
        <f>LEFT(Table1[[#This Row],[Target_product_quantity]], FIND("o", Table1[[#This Row],[Target_product_quantity]])-1)</f>
        <v>144</v>
      </c>
      <c r="G464" t="str" cm="1">
        <f t="array" ref="G464">_xlfn.TEXTJOIN("", TRUE, IF(ISNUMBER(SEARCH($K$1010:$K$1054, C464)), $K$1010:$K$1054, ""))</f>
        <v>Gatorade</v>
      </c>
      <c r="H464" t="str">
        <f t="shared" si="29"/>
        <v>Beverages</v>
      </c>
      <c r="I464" t="str">
        <f t="shared" si="30"/>
        <v>Beverages</v>
      </c>
      <c r="J464">
        <v>7.79</v>
      </c>
      <c r="K464">
        <f>Table1[[#This Row],[Target_product_price]]/Table1[[#This Row],[product_price_per_oz]]</f>
        <v>5.409722222222222E-2</v>
      </c>
    </row>
    <row r="465" spans="1:20" x14ac:dyDescent="0.2">
      <c r="A465" t="s">
        <v>1295</v>
      </c>
      <c r="B465" t="s">
        <v>1296</v>
      </c>
      <c r="C465" t="s">
        <v>1297</v>
      </c>
      <c r="D465" t="str">
        <f>SUBSTITUTE(Table1[[#This Row],[Target_product_name]], "oz", " oz")</f>
        <v>Gatorade Orange Sports Drink - 28 fl  oz Bottle</v>
      </c>
      <c r="E465" t="s">
        <v>2868</v>
      </c>
      <c r="F465" t="str">
        <f>LEFT(Table1[[#This Row],[Target_product_quantity]], FIND("o", Table1[[#This Row],[Target_product_quantity]])-1)</f>
        <v>28</v>
      </c>
      <c r="G465" t="str" cm="1">
        <f t="array" ref="G465">_xlfn.TEXTJOIN("", TRUE, IF(ISNUMBER(SEARCH($K$1010:$K$1054, C465)), $K$1010:$K$1054, ""))</f>
        <v>Gatorade</v>
      </c>
      <c r="H465" t="str">
        <f t="shared" si="29"/>
        <v>Beverages</v>
      </c>
      <c r="I465" t="str">
        <f t="shared" si="30"/>
        <v>Beverages</v>
      </c>
      <c r="J465">
        <v>2.29</v>
      </c>
      <c r="K465">
        <f>Table1[[#This Row],[Target_product_price]]/Table1[[#This Row],[product_price_per_oz]]</f>
        <v>8.1785714285714281E-2</v>
      </c>
    </row>
    <row r="466" spans="1:20" x14ac:dyDescent="0.2">
      <c r="A466" t="s">
        <v>1298</v>
      </c>
      <c r="B466" t="s">
        <v>1299</v>
      </c>
      <c r="C466" t="s">
        <v>1300</v>
      </c>
      <c r="D466" t="str">
        <f>SUBSTITUTE(Table1[[#This Row],[Target_product_name]], "oz", " oz")</f>
        <v>Gatorade Orange Sports Drink - 8pk/20 fl  oz Bottles</v>
      </c>
      <c r="E466" t="s">
        <v>2037</v>
      </c>
      <c r="F466" t="str">
        <f>LEFT(Table1[[#This Row],[Target_product_quantity]], FIND("o", Table1[[#This Row],[Target_product_quantity]])-1)</f>
        <v>160</v>
      </c>
      <c r="G466" t="str" cm="1">
        <f t="array" ref="G466">_xlfn.TEXTJOIN("", TRUE, IF(ISNUMBER(SEARCH($K$1010:$K$1054, C466)), $K$1010:$K$1054, ""))</f>
        <v>Gatorade</v>
      </c>
      <c r="H466" t="str">
        <f t="shared" si="29"/>
        <v>Beverages</v>
      </c>
      <c r="I466" t="str">
        <f t="shared" si="30"/>
        <v>Beverages</v>
      </c>
      <c r="J466">
        <v>7.99</v>
      </c>
      <c r="K466">
        <f>Table1[[#This Row],[Target_product_price]]/Table1[[#This Row],[product_price_per_oz]]</f>
        <v>4.9937500000000003E-2</v>
      </c>
    </row>
    <row r="467" spans="1:20" x14ac:dyDescent="0.2">
      <c r="A467" t="s">
        <v>1301</v>
      </c>
      <c r="B467" t="s">
        <v>1302</v>
      </c>
      <c r="C467" t="s">
        <v>1303</v>
      </c>
      <c r="D467" t="str">
        <f>SUBSTITUTE(Table1[[#This Row],[Target_product_name]], "oz", " oz")</f>
        <v>Gatorade Squeeze 32 oz Plastic Water Bottle - Green</v>
      </c>
      <c r="E467" t="s">
        <v>1837</v>
      </c>
      <c r="F467" t="str">
        <f>LEFT(Table1[[#This Row],[Target_product_quantity]], FIND("o", Table1[[#This Row],[Target_product_quantity]])-1)</f>
        <v>32</v>
      </c>
      <c r="G467" t="str" cm="1">
        <f t="array" ref="G467">_xlfn.TEXTJOIN("", TRUE, IF(ISNUMBER(SEARCH($K$1010:$K$1054, C467)), $K$1010:$K$1054, ""))</f>
        <v>Gatorade</v>
      </c>
      <c r="H467" t="str">
        <f t="shared" si="29"/>
        <v>Beverages</v>
      </c>
      <c r="I467" t="str">
        <f t="shared" si="30"/>
        <v>Beverages</v>
      </c>
      <c r="J467">
        <v>3.99</v>
      </c>
      <c r="K467">
        <f>Table1[[#This Row],[Target_product_price]]/Table1[[#This Row],[product_price_per_oz]]</f>
        <v>0.12468750000000001</v>
      </c>
    </row>
    <row r="468" spans="1:20" x14ac:dyDescent="0.2">
      <c r="A468" t="s">
        <v>1304</v>
      </c>
      <c r="B468" t="s">
        <v>1305</v>
      </c>
      <c r="C468" t="s">
        <v>1306</v>
      </c>
      <c r="D468" t="str">
        <f>SUBSTITUTE(Table1[[#This Row],[Target_product_name]], "oz", " oz")</f>
        <v>Gatorade Zero Mixed Flavor Variety Pack Sports Drink - 18pk/12 fl  oz Bottles</v>
      </c>
      <c r="E468" t="s">
        <v>2097</v>
      </c>
      <c r="F468" t="str">
        <f>LEFT(Table1[[#This Row],[Target_product_quantity]], FIND("o", Table1[[#This Row],[Target_product_quantity]])-1)</f>
        <v>216</v>
      </c>
      <c r="G468" t="str" cm="1">
        <f t="array" ref="G468">_xlfn.TEXTJOIN("", TRUE, IF(ISNUMBER(SEARCH($K$1010:$K$1054, C468)), $K$1010:$K$1054, ""))</f>
        <v>Gatorade</v>
      </c>
      <c r="H468" t="str">
        <f t="shared" si="29"/>
        <v>Beverages</v>
      </c>
      <c r="I468" t="str">
        <f t="shared" si="30"/>
        <v>Beverages</v>
      </c>
      <c r="J468">
        <v>12.39</v>
      </c>
      <c r="K468">
        <f>Table1[[#This Row],[Target_product_price]]/Table1[[#This Row],[product_price_per_oz]]</f>
        <v>5.7361111111111113E-2</v>
      </c>
      <c r="T468" s="1"/>
    </row>
    <row r="469" spans="1:20" x14ac:dyDescent="0.2">
      <c r="A469" t="s">
        <v>1307</v>
      </c>
      <c r="B469" t="s">
        <v>1308</v>
      </c>
      <c r="C469" t="s">
        <v>1309</v>
      </c>
      <c r="D469" t="str">
        <f>SUBSTITUTE(Table1[[#This Row],[Target_product_name]], "oz", " oz")</f>
        <v>General Mills Cheerios - 10ct / 14.94lbs</v>
      </c>
      <c r="E469" t="s">
        <v>3019</v>
      </c>
      <c r="F469" t="str">
        <f>LEFT(Table1[[#This Row],[Target_product_quantity]], FIND("o", Table1[[#This Row],[Target_product_quantity]])-1)</f>
        <v>149</v>
      </c>
      <c r="G469" t="str" cm="1">
        <f t="array" ref="G469">_xlfn.TEXTJOIN("", TRUE, IF(ISNUMBER(SEARCH($K$1010:$K$1054, C469)), $K$1010:$K$1054, ""))</f>
        <v>Cheerios</v>
      </c>
      <c r="H469" t="str">
        <f t="shared" si="29"/>
        <v>Prepared Food</v>
      </c>
      <c r="I469" t="str">
        <f t="shared" si="30"/>
        <v>Prepared Food</v>
      </c>
      <c r="J469">
        <v>48.99</v>
      </c>
      <c r="K469">
        <f>Table1[[#This Row],[Target_product_price]]/Table1[[#This Row],[product_price_per_oz]]</f>
        <v>0.32879194630872483</v>
      </c>
    </row>
    <row r="470" spans="1:20" x14ac:dyDescent="0.2">
      <c r="A470" t="s">
        <v>1310</v>
      </c>
      <c r="B470" t="s">
        <v>1311</v>
      </c>
      <c r="C470" t="s">
        <v>1312</v>
      </c>
      <c r="D470" t="str">
        <f>SUBSTITUTE(Table1[[#This Row],[Target_product_name]], "oz", " oz")</f>
        <v>General Mills Cheerios 2 Pack/20 oz Each Breakfast Cereal</v>
      </c>
      <c r="E470" t="s">
        <v>1918</v>
      </c>
      <c r="F470" t="str">
        <f>LEFT(Table1[[#This Row],[Target_product_quantity]], FIND("o", Table1[[#This Row],[Target_product_quantity]])-1)</f>
        <v>40</v>
      </c>
      <c r="G470" t="str" cm="1">
        <f t="array" ref="G470">_xlfn.TEXTJOIN("", TRUE, IF(ISNUMBER(SEARCH($K$1010:$K$1054, C470)), $K$1010:$K$1054, ""))</f>
        <v>Cheerios</v>
      </c>
      <c r="H470" t="str">
        <f t="shared" si="29"/>
        <v>Prepared Food</v>
      </c>
      <c r="I470" t="str">
        <f t="shared" si="30"/>
        <v>Prepared Food</v>
      </c>
      <c r="J470">
        <v>11.76</v>
      </c>
      <c r="K470">
        <f>Table1[[#This Row],[Target_product_price]]/Table1[[#This Row],[product_price_per_oz]]</f>
        <v>0.29399999999999998</v>
      </c>
      <c r="T470" s="1"/>
    </row>
    <row r="471" spans="1:20" x14ac:dyDescent="0.2">
      <c r="A471" t="s">
        <v>1313</v>
      </c>
      <c r="B471" t="s">
        <v>1314</v>
      </c>
      <c r="C471" t="s">
        <v>1315</v>
      </c>
      <c r="D471" t="str">
        <f>SUBSTITUTE(Table1[[#This Row],[Target_product_name]], "oz", " oz")</f>
        <v>General Mills Cheerios 2 Pack/27.2 oz Each Honey Nut Breakfast Cereal</v>
      </c>
      <c r="E471" t="s">
        <v>3020</v>
      </c>
      <c r="F471" t="str">
        <f>LEFT(Table1[[#This Row],[Target_product_quantity]], FIND("o", Table1[[#This Row],[Target_product_quantity]])-1)</f>
        <v>54.4</v>
      </c>
      <c r="G471" t="str" cm="1">
        <f t="array" ref="G471">_xlfn.TEXTJOIN("", TRUE, IF(ISNUMBER(SEARCH($K$1010:$K$1054, C471)), $K$1010:$K$1054, ""))</f>
        <v>Cheerios</v>
      </c>
      <c r="H471" t="str">
        <f t="shared" si="29"/>
        <v>Prepared Food</v>
      </c>
      <c r="I471" t="str">
        <f t="shared" si="30"/>
        <v>Prepared Food</v>
      </c>
      <c r="J471">
        <v>11.76</v>
      </c>
      <c r="K471">
        <f>Table1[[#This Row],[Target_product_price]]/Table1[[#This Row],[product_price_per_oz]]</f>
        <v>0.2161764705882353</v>
      </c>
    </row>
    <row r="472" spans="1:20" x14ac:dyDescent="0.2">
      <c r="A472" t="s">
        <v>1316</v>
      </c>
      <c r="B472" t="s">
        <v>1317</v>
      </c>
      <c r="C472" t="s">
        <v>1318</v>
      </c>
      <c r="D472" t="str">
        <f>SUBSTITUTE(Table1[[#This Row],[Target_product_name]], "oz", " oz")</f>
        <v>General Mills Cheerios Breakfast Cereal - 20 oz</v>
      </c>
      <c r="E472" t="str">
        <f t="shared" ref="E472:E517" si="31">TRIM(RIGHT(C472, LEN(C472) - FIND("-", C472)))</f>
        <v>20oz</v>
      </c>
      <c r="F472" t="str">
        <f>LEFT(Table1[[#This Row],[Target_product_quantity]], FIND("o", Table1[[#This Row],[Target_product_quantity]])-1)</f>
        <v>20</v>
      </c>
      <c r="G472" t="str" cm="1">
        <f t="array" ref="G472">_xlfn.TEXTJOIN("", TRUE, IF(ISNUMBER(SEARCH($K$1010:$K$1054, C472)), $K$1010:$K$1054, ""))</f>
        <v>Cheerios</v>
      </c>
      <c r="H472" t="str">
        <f t="shared" si="29"/>
        <v>Prepared Food</v>
      </c>
      <c r="I472" t="str">
        <f t="shared" si="30"/>
        <v>Prepared Food</v>
      </c>
      <c r="J472">
        <v>6.19</v>
      </c>
      <c r="K472">
        <f>Table1[[#This Row],[Target_product_price]]/Table1[[#This Row],[product_price_per_oz]]</f>
        <v>0.3095</v>
      </c>
    </row>
    <row r="473" spans="1:20" x14ac:dyDescent="0.2">
      <c r="A473" t="s">
        <v>1319</v>
      </c>
      <c r="B473" t="s">
        <v>1320</v>
      </c>
      <c r="C473" t="s">
        <v>1321</v>
      </c>
      <c r="D473" t="str">
        <f>SUBSTITUTE(Table1[[#This Row],[Target_product_name]], "oz", " oz")</f>
        <v>General Mills Cheerios Honey Nut Breakfast Cereal - 27.2 oz</v>
      </c>
      <c r="E473" t="str">
        <f t="shared" si="31"/>
        <v>27.2oz</v>
      </c>
      <c r="F473" t="str">
        <f>LEFT(Table1[[#This Row],[Target_product_quantity]], FIND("o", Table1[[#This Row],[Target_product_quantity]])-1)</f>
        <v>27.2</v>
      </c>
      <c r="G473" t="str" cm="1">
        <f t="array" ref="G473">_xlfn.TEXTJOIN("", TRUE, IF(ISNUMBER(SEARCH($K$1010:$K$1054, C473)), $K$1010:$K$1054, ""))</f>
        <v>Cheerios</v>
      </c>
      <c r="H473" t="str">
        <f t="shared" si="29"/>
        <v>Prepared Food</v>
      </c>
      <c r="I473" t="str">
        <f t="shared" si="30"/>
        <v>Prepared Food</v>
      </c>
      <c r="J473">
        <v>6.19</v>
      </c>
      <c r="K473">
        <f>Table1[[#This Row],[Target_product_price]]/Table1[[#This Row],[product_price_per_oz]]</f>
        <v>0.22757352941176473</v>
      </c>
    </row>
    <row r="474" spans="1:20" x14ac:dyDescent="0.2">
      <c r="A474" t="s">
        <v>1322</v>
      </c>
      <c r="B474" t="s">
        <v>1323</v>
      </c>
      <c r="C474" t="s">
        <v>1324</v>
      </c>
      <c r="D474" t="str">
        <f>SUBSTITUTE(Table1[[#This Row],[Target_product_name]], "oz", " oz")</f>
        <v>General Mills Cheerios Oat Crunch Almond Cereal - 24 oz</v>
      </c>
      <c r="E474" t="str">
        <f t="shared" si="31"/>
        <v>24oz</v>
      </c>
      <c r="F474" t="str">
        <f>LEFT(Table1[[#This Row],[Target_product_quantity]], FIND("o", Table1[[#This Row],[Target_product_quantity]])-1)</f>
        <v>24</v>
      </c>
      <c r="G474" t="str" cm="1">
        <f t="array" ref="G474">_xlfn.TEXTJOIN("", TRUE, IF(ISNUMBER(SEARCH($K$1010:$K$1054, C474)), $K$1010:$K$1054, ""))</f>
        <v>Cheerios</v>
      </c>
      <c r="H474" t="str">
        <f t="shared" si="29"/>
        <v>Prepared Food</v>
      </c>
      <c r="I474" t="str">
        <f t="shared" si="30"/>
        <v>Prepared Food</v>
      </c>
      <c r="J474">
        <v>5.29</v>
      </c>
      <c r="K474">
        <f>Table1[[#This Row],[Target_product_price]]/Table1[[#This Row],[product_price_per_oz]]</f>
        <v>0.22041666666666668</v>
      </c>
    </row>
    <row r="475" spans="1:20" x14ac:dyDescent="0.2">
      <c r="A475" t="s">
        <v>1325</v>
      </c>
      <c r="B475" t="s">
        <v>1326</v>
      </c>
      <c r="C475" t="s">
        <v>1327</v>
      </c>
      <c r="D475" t="str">
        <f>SUBSTITUTE(Table1[[#This Row],[Target_product_name]], "oz", " oz")</f>
        <v>General Mills Family Size Apple Cinnamon Cheerios Cereal - 19 oz</v>
      </c>
      <c r="E475" t="str">
        <f t="shared" si="31"/>
        <v>19oz</v>
      </c>
      <c r="F475" t="str">
        <f>LEFT(Table1[[#This Row],[Target_product_quantity]], FIND("o", Table1[[#This Row],[Target_product_quantity]])-1)</f>
        <v>19</v>
      </c>
      <c r="G475" t="str" cm="1">
        <f t="array" ref="G475">_xlfn.TEXTJOIN("", TRUE, IF(ISNUMBER(SEARCH($K$1010:$K$1054, C475)), $K$1010:$K$1054, ""))</f>
        <v>Cheerios</v>
      </c>
      <c r="H475" t="str">
        <f t="shared" si="29"/>
        <v>Prepared Food</v>
      </c>
      <c r="I475" t="str">
        <f t="shared" si="30"/>
        <v>Prepared Food</v>
      </c>
      <c r="J475">
        <v>5.29</v>
      </c>
      <c r="K475">
        <f>Table1[[#This Row],[Target_product_price]]/Table1[[#This Row],[product_price_per_oz]]</f>
        <v>0.27842105263157896</v>
      </c>
    </row>
    <row r="476" spans="1:20" x14ac:dyDescent="0.2">
      <c r="A476" t="s">
        <v>1328</v>
      </c>
      <c r="B476" t="s">
        <v>1329</v>
      </c>
      <c r="C476" t="s">
        <v>1330</v>
      </c>
      <c r="D476" t="str">
        <f>SUBSTITUTE(Table1[[#This Row],[Target_product_name]], "oz", " oz")</f>
        <v>General Mills Family Size Cheerios Cereal - 18 oz</v>
      </c>
      <c r="E476" t="str">
        <f t="shared" si="31"/>
        <v>18oz</v>
      </c>
      <c r="F476" t="str">
        <f>LEFT(Table1[[#This Row],[Target_product_quantity]], FIND("o", Table1[[#This Row],[Target_product_quantity]])-1)</f>
        <v>18</v>
      </c>
      <c r="G476" t="str" cm="1">
        <f t="array" ref="G476">_xlfn.TEXTJOIN("", TRUE, IF(ISNUMBER(SEARCH($K$1010:$K$1054, C476)), $K$1010:$K$1054, ""))</f>
        <v>Cheerios</v>
      </c>
      <c r="H476" t="str">
        <f t="shared" si="29"/>
        <v>Prepared Food</v>
      </c>
      <c r="I476" t="str">
        <f t="shared" si="30"/>
        <v>Prepared Food</v>
      </c>
      <c r="J476">
        <v>5.29</v>
      </c>
      <c r="K476">
        <f>Table1[[#This Row],[Target_product_price]]/Table1[[#This Row],[product_price_per_oz]]</f>
        <v>0.29388888888888887</v>
      </c>
    </row>
    <row r="477" spans="1:20" x14ac:dyDescent="0.2">
      <c r="A477" t="s">
        <v>1331</v>
      </c>
      <c r="B477" t="s">
        <v>1332</v>
      </c>
      <c r="C477" t="s">
        <v>1333</v>
      </c>
      <c r="D477" t="str">
        <f>SUBSTITUTE(Table1[[#This Row],[Target_product_name]], "oz", " oz")</f>
        <v>General Mills Family Size Cheerios Oat Crunch Cinnamon Cereal - 24 oz</v>
      </c>
      <c r="E477" t="str">
        <f t="shared" si="31"/>
        <v>24oz</v>
      </c>
      <c r="F477" t="str">
        <f>LEFT(Table1[[#This Row],[Target_product_quantity]], FIND("o", Table1[[#This Row],[Target_product_quantity]])-1)</f>
        <v>24</v>
      </c>
      <c r="G477" t="str" cm="1">
        <f t="array" ref="G477">_xlfn.TEXTJOIN("", TRUE, IF(ISNUMBER(SEARCH($K$1010:$K$1054, C477)), $K$1010:$K$1054, ""))</f>
        <v>Cheerios</v>
      </c>
      <c r="H477" t="str">
        <f t="shared" si="29"/>
        <v>Prepared Food</v>
      </c>
      <c r="I477" t="str">
        <f t="shared" si="30"/>
        <v>Prepared Food</v>
      </c>
      <c r="J477">
        <v>5.29</v>
      </c>
      <c r="K477">
        <f>Table1[[#This Row],[Target_product_price]]/Table1[[#This Row],[product_price_per_oz]]</f>
        <v>0.22041666666666668</v>
      </c>
    </row>
    <row r="478" spans="1:20" x14ac:dyDescent="0.2">
      <c r="A478" t="s">
        <v>1334</v>
      </c>
      <c r="B478" t="s">
        <v>1335</v>
      </c>
      <c r="C478" t="s">
        <v>1336</v>
      </c>
      <c r="D478" t="str">
        <f>SUBSTITUTE(Table1[[#This Row],[Target_product_name]], "oz", " oz")</f>
        <v>General Mills Family Size Cheerios Oat Crunch Oats Honey Cereal - 24 oz</v>
      </c>
      <c r="E478" t="str">
        <f t="shared" si="31"/>
        <v>24oz</v>
      </c>
      <c r="F478" t="str">
        <f>LEFT(Table1[[#This Row],[Target_product_quantity]], FIND("o", Table1[[#This Row],[Target_product_quantity]])-1)</f>
        <v>24</v>
      </c>
      <c r="G478" t="str" cm="1">
        <f t="array" ref="G478">_xlfn.TEXTJOIN("", TRUE, IF(ISNUMBER(SEARCH($K$1010:$K$1054, C478)), $K$1010:$K$1054, ""))</f>
        <v>Cheerios</v>
      </c>
      <c r="H478" t="str">
        <f t="shared" si="29"/>
        <v>Prepared Food</v>
      </c>
      <c r="I478" t="str">
        <f t="shared" si="30"/>
        <v>Prepared Food</v>
      </c>
      <c r="J478">
        <v>5.29</v>
      </c>
      <c r="K478">
        <f>Table1[[#This Row],[Target_product_price]]/Table1[[#This Row],[product_price_per_oz]]</f>
        <v>0.22041666666666668</v>
      </c>
    </row>
    <row r="479" spans="1:20" x14ac:dyDescent="0.2">
      <c r="A479" t="s">
        <v>1337</v>
      </c>
      <c r="B479" t="s">
        <v>1338</v>
      </c>
      <c r="C479" t="s">
        <v>1339</v>
      </c>
      <c r="D479" t="str">
        <f>SUBSTITUTE(Table1[[#This Row],[Target_product_name]], "oz", " oz")</f>
        <v>General Mills Family Size Chocolate Cheerios Cereal - 19.2 oz</v>
      </c>
      <c r="E479" t="str">
        <f t="shared" si="31"/>
        <v>19.2oz</v>
      </c>
      <c r="F479" t="str">
        <f>LEFT(Table1[[#This Row],[Target_product_quantity]], FIND("o", Table1[[#This Row],[Target_product_quantity]])-1)</f>
        <v>19.2</v>
      </c>
      <c r="G479" t="str" cm="1">
        <f t="array" ref="G479">_xlfn.TEXTJOIN("", TRUE, IF(ISNUMBER(SEARCH($K$1010:$K$1054, C479)), $K$1010:$K$1054, ""))</f>
        <v>Cheerios</v>
      </c>
      <c r="H479" t="str">
        <f t="shared" si="29"/>
        <v>Prepared Food</v>
      </c>
      <c r="I479" t="str">
        <f t="shared" si="30"/>
        <v>Prepared Food</v>
      </c>
      <c r="J479">
        <v>5.29</v>
      </c>
      <c r="K479">
        <f>Table1[[#This Row],[Target_product_price]]/Table1[[#This Row],[product_price_per_oz]]</f>
        <v>0.27552083333333333</v>
      </c>
    </row>
    <row r="480" spans="1:20" x14ac:dyDescent="0.2">
      <c r="A480" t="s">
        <v>1340</v>
      </c>
      <c r="B480" t="s">
        <v>1341</v>
      </c>
      <c r="C480" t="s">
        <v>1342</v>
      </c>
      <c r="D480" t="str">
        <f>SUBSTITUTE(Table1[[#This Row],[Target_product_name]], "oz", " oz")</f>
        <v>General Mills Family Size Very Berry Cheerios Cereal - 18.6 oz</v>
      </c>
      <c r="E480" t="str">
        <f t="shared" si="31"/>
        <v>18.6oz</v>
      </c>
      <c r="F480" t="str">
        <f>LEFT(Table1[[#This Row],[Target_product_quantity]], FIND("o", Table1[[#This Row],[Target_product_quantity]])-1)</f>
        <v>18.6</v>
      </c>
      <c r="G480" t="str" cm="1">
        <f t="array" ref="G480">_xlfn.TEXTJOIN("", TRUE, IF(ISNUMBER(SEARCH($K$1010:$K$1054, C480)), $K$1010:$K$1054, ""))</f>
        <v>Cheerios</v>
      </c>
      <c r="H480" t="str">
        <f t="shared" si="29"/>
        <v>Prepared Food</v>
      </c>
      <c r="I480" t="str">
        <f t="shared" si="30"/>
        <v>Prepared Food</v>
      </c>
      <c r="J480">
        <v>5.29</v>
      </c>
      <c r="K480">
        <f>Table1[[#This Row],[Target_product_price]]/Table1[[#This Row],[product_price_per_oz]]</f>
        <v>0.28440860215053759</v>
      </c>
    </row>
    <row r="481" spans="1:11" x14ac:dyDescent="0.2">
      <c r="A481" t="s">
        <v>1343</v>
      </c>
      <c r="B481" t="s">
        <v>1344</v>
      </c>
      <c r="C481" t="s">
        <v>1345</v>
      </c>
      <c r="D481" t="str">
        <f>SUBSTITUTE(Table1[[#This Row],[Target_product_name]], "oz", " oz")</f>
        <v>General Mills Honey Nut Cheerios Breakfast Cereal - 10.8 oz</v>
      </c>
      <c r="E481" t="str">
        <f t="shared" si="31"/>
        <v>10.8oz</v>
      </c>
      <c r="F481" t="str">
        <f>LEFT(Table1[[#This Row],[Target_product_quantity]], FIND("o", Table1[[#This Row],[Target_product_quantity]])-1)</f>
        <v>10.8</v>
      </c>
      <c r="G481" t="str" cm="1">
        <f t="array" ref="G481">_xlfn.TEXTJOIN("", TRUE, IF(ISNUMBER(SEARCH($K$1010:$K$1054, C481)), $K$1010:$K$1054, ""))</f>
        <v>Cheerios</v>
      </c>
      <c r="H481" t="str">
        <f t="shared" si="29"/>
        <v>Prepared Food</v>
      </c>
      <c r="I481" t="str">
        <f t="shared" si="30"/>
        <v>Prepared Food</v>
      </c>
      <c r="J481">
        <v>3.79</v>
      </c>
      <c r="K481">
        <f>Table1[[#This Row],[Target_product_price]]/Table1[[#This Row],[product_price_per_oz]]</f>
        <v>0.35092592592592592</v>
      </c>
    </row>
    <row r="482" spans="1:11" x14ac:dyDescent="0.2">
      <c r="A482" t="s">
        <v>1346</v>
      </c>
      <c r="B482" t="s">
        <v>1347</v>
      </c>
      <c r="C482" t="s">
        <v>1348</v>
      </c>
      <c r="D482" t="str">
        <f>SUBSTITUTE(Table1[[#This Row],[Target_product_name]], "oz", " oz")</f>
        <v>General Mills Honey Nut Cheerios Breakfast Cereal - 18.8 oz</v>
      </c>
      <c r="E482" t="str">
        <f t="shared" si="31"/>
        <v>18.8oz</v>
      </c>
      <c r="F482" t="str">
        <f>LEFT(Table1[[#This Row],[Target_product_quantity]], FIND("o", Table1[[#This Row],[Target_product_quantity]])-1)</f>
        <v>18.8</v>
      </c>
      <c r="G482" t="str" cm="1">
        <f t="array" ref="G482">_xlfn.TEXTJOIN("", TRUE, IF(ISNUMBER(SEARCH($K$1010:$K$1054, C482)), $K$1010:$K$1054, ""))</f>
        <v>Cheerios</v>
      </c>
      <c r="H482" t="str">
        <f t="shared" si="29"/>
        <v>Prepared Food</v>
      </c>
      <c r="I482" t="str">
        <f t="shared" si="30"/>
        <v>Prepared Food</v>
      </c>
      <c r="J482">
        <v>5.29</v>
      </c>
      <c r="K482">
        <f>Table1[[#This Row],[Target_product_price]]/Table1[[#This Row],[product_price_per_oz]]</f>
        <v>0.28138297872340423</v>
      </c>
    </row>
    <row r="483" spans="1:11" x14ac:dyDescent="0.2">
      <c r="A483" t="s">
        <v>1349</v>
      </c>
      <c r="B483" t="s">
        <v>1350</v>
      </c>
      <c r="C483" t="s">
        <v>1351</v>
      </c>
      <c r="D483" t="str">
        <f>SUBSTITUTE(Table1[[#This Row],[Target_product_name]], "oz", " oz")</f>
        <v>General Mills Multi Grain Cheerios - 8ct / 12lb</v>
      </c>
      <c r="E483" t="s">
        <v>3002</v>
      </c>
      <c r="F483" t="str">
        <f>LEFT(Table1[[#This Row],[Target_product_quantity]], FIND("o", Table1[[#This Row],[Target_product_quantity]])-1)</f>
        <v>1536</v>
      </c>
      <c r="G483" t="str" cm="1">
        <f t="array" ref="G483">_xlfn.TEXTJOIN("", TRUE, IF(ISNUMBER(SEARCH($K$1010:$K$1054, C483)), $K$1010:$K$1054, ""))</f>
        <v>Cheerios</v>
      </c>
      <c r="H483" t="str">
        <f t="shared" si="29"/>
        <v>Prepared Food</v>
      </c>
      <c r="I483" t="str">
        <f t="shared" si="30"/>
        <v>Prepared Food</v>
      </c>
      <c r="J483">
        <v>37.99</v>
      </c>
      <c r="K483">
        <f>Table1[[#This Row],[Target_product_price]]/Table1[[#This Row],[product_price_per_oz]]</f>
        <v>2.4733072916666668E-2</v>
      </c>
    </row>
    <row r="484" spans="1:11" x14ac:dyDescent="0.2">
      <c r="A484" t="s">
        <v>1352</v>
      </c>
      <c r="B484" t="s">
        <v>1353</v>
      </c>
      <c r="C484" t="s">
        <v>1354</v>
      </c>
      <c r="D484" t="str">
        <f>SUBSTITUTE(Table1[[#This Row],[Target_product_name]], "oz", " oz")</f>
        <v>General Mills Multi Grain Cheerios Cereal - 18 oz</v>
      </c>
      <c r="E484" t="str">
        <f t="shared" si="31"/>
        <v>18oz</v>
      </c>
      <c r="F484" t="str">
        <f>LEFT(Table1[[#This Row],[Target_product_quantity]], FIND("o", Table1[[#This Row],[Target_product_quantity]])-1)</f>
        <v>18</v>
      </c>
      <c r="G484" t="str" cm="1">
        <f t="array" ref="G484">_xlfn.TEXTJOIN("", TRUE, IF(ISNUMBER(SEARCH($K$1010:$K$1054, C484)), $K$1010:$K$1054, ""))</f>
        <v>Cheerios</v>
      </c>
      <c r="H484" t="str">
        <f t="shared" si="29"/>
        <v>Prepared Food</v>
      </c>
      <c r="I484" t="str">
        <f t="shared" si="30"/>
        <v>Prepared Food</v>
      </c>
      <c r="J484">
        <v>5.29</v>
      </c>
      <c r="K484">
        <f>Table1[[#This Row],[Target_product_price]]/Table1[[#This Row],[product_price_per_oz]]</f>
        <v>0.29388888888888887</v>
      </c>
    </row>
    <row r="485" spans="1:11" x14ac:dyDescent="0.2">
      <c r="A485" t="s">
        <v>1355</v>
      </c>
      <c r="B485" t="s">
        <v>1356</v>
      </c>
      <c r="C485" t="s">
        <v>1357</v>
      </c>
      <c r="D485" t="str">
        <f>SUBSTITUTE(Table1[[#This Row],[Target_product_name]], "oz", " oz")</f>
        <v>Goya Black Beans - 15.5 oz</v>
      </c>
      <c r="E485" t="str">
        <f t="shared" si="31"/>
        <v>15.5oz</v>
      </c>
      <c r="F485" t="str">
        <f>LEFT(Table1[[#This Row],[Target_product_quantity]], FIND("o", Table1[[#This Row],[Target_product_quantity]])-1)</f>
        <v>15.5</v>
      </c>
      <c r="G485" t="str" cm="1">
        <f t="array" ref="G485">_xlfn.TEXTJOIN("", TRUE, IF(ISNUMBER(SEARCH($K$1010:$K$1054, C485)), $K$1010:$K$1054, ""))</f>
        <v>Goya</v>
      </c>
      <c r="H485" t="str">
        <f t="shared" si="29"/>
        <v>Canned Vegetables</v>
      </c>
      <c r="I485" t="str">
        <f t="shared" si="30"/>
        <v>Fruit &amp; Vegetables</v>
      </c>
      <c r="J485">
        <v>1.49</v>
      </c>
      <c r="K485">
        <f>Table1[[#This Row],[Target_product_price]]/Table1[[#This Row],[product_price_per_oz]]</f>
        <v>9.6129032258064517E-2</v>
      </c>
    </row>
    <row r="486" spans="1:11" x14ac:dyDescent="0.2">
      <c r="A486" t="s">
        <v>1358</v>
      </c>
      <c r="B486" t="s">
        <v>1359</v>
      </c>
      <c r="C486" t="s">
        <v>1360</v>
      </c>
      <c r="D486" t="str">
        <f>SUBSTITUTE(Table1[[#This Row],[Target_product_name]], "oz", " oz")</f>
        <v>Goya Black Beans - 29 oz</v>
      </c>
      <c r="E486" t="str">
        <f t="shared" si="31"/>
        <v>29oz</v>
      </c>
      <c r="F486" t="str">
        <f>LEFT(Table1[[#This Row],[Target_product_quantity]], FIND("o", Table1[[#This Row],[Target_product_quantity]])-1)</f>
        <v>29</v>
      </c>
      <c r="G486" t="str" cm="1">
        <f t="array" ref="G486">_xlfn.TEXTJOIN("", TRUE, IF(ISNUMBER(SEARCH($K$1010:$K$1054, C486)), $K$1010:$K$1054, ""))</f>
        <v>Goya</v>
      </c>
      <c r="H486" t="str">
        <f t="shared" si="29"/>
        <v>Canned Vegetables</v>
      </c>
      <c r="I486" t="str">
        <f t="shared" si="30"/>
        <v>Fruit &amp; Vegetables</v>
      </c>
      <c r="J486">
        <v>3.19</v>
      </c>
      <c r="K486">
        <f>Table1[[#This Row],[Target_product_price]]/Table1[[#This Row],[product_price_per_oz]]</f>
        <v>0.11</v>
      </c>
    </row>
    <row r="487" spans="1:11" x14ac:dyDescent="0.2">
      <c r="A487" t="s">
        <v>1361</v>
      </c>
      <c r="B487" t="s">
        <v>1362</v>
      </c>
      <c r="C487" t="s">
        <v>1363</v>
      </c>
      <c r="D487" t="str">
        <f>SUBSTITUTE(Table1[[#This Row],[Target_product_name]], "oz", " oz")</f>
        <v>Goya Black Beans 15.5 oz</v>
      </c>
      <c r="E487" t="s">
        <v>602</v>
      </c>
      <c r="F487" t="str">
        <f>LEFT(Table1[[#This Row],[Target_product_quantity]], FIND("o", Table1[[#This Row],[Target_product_quantity]])-1)</f>
        <v>15.5</v>
      </c>
      <c r="G487" t="str" cm="1">
        <f t="array" ref="G487">_xlfn.TEXTJOIN("", TRUE, IF(ISNUMBER(SEARCH($K$1010:$K$1054, C487)), $K$1010:$K$1054, ""))</f>
        <v>Goya</v>
      </c>
      <c r="H487" t="str">
        <f t="shared" si="29"/>
        <v>Canned Vegetables</v>
      </c>
      <c r="I487" t="str">
        <f t="shared" si="30"/>
        <v>Fruit &amp; Vegetables</v>
      </c>
      <c r="J487">
        <v>1.59</v>
      </c>
      <c r="K487">
        <f>Table1[[#This Row],[Target_product_price]]/Table1[[#This Row],[product_price_per_oz]]</f>
        <v>0.10258064516129033</v>
      </c>
    </row>
    <row r="488" spans="1:11" x14ac:dyDescent="0.2">
      <c r="A488" t="s">
        <v>1364</v>
      </c>
      <c r="B488" t="s">
        <v>1365</v>
      </c>
      <c r="C488" t="s">
        <v>1366</v>
      </c>
      <c r="D488" t="str">
        <f>SUBSTITUTE(Table1[[#This Row],[Target_product_name]], "oz", " oz")</f>
        <v>Goya Black Beans 16 oz</v>
      </c>
      <c r="E488" t="s">
        <v>372</v>
      </c>
      <c r="F488" t="str">
        <f>LEFT(Table1[[#This Row],[Target_product_quantity]], FIND("o", Table1[[#This Row],[Target_product_quantity]])-1)</f>
        <v>16</v>
      </c>
      <c r="G488" t="str" cm="1">
        <f t="array" ref="G488">_xlfn.TEXTJOIN("", TRUE, IF(ISNUMBER(SEARCH($K$1010:$K$1054, C488)), $K$1010:$K$1054, ""))</f>
        <v>Goya</v>
      </c>
      <c r="H488" t="str">
        <f t="shared" si="29"/>
        <v>Canned Vegetables</v>
      </c>
      <c r="I488" t="str">
        <f t="shared" si="30"/>
        <v>Fruit &amp; Vegetables</v>
      </c>
      <c r="J488">
        <v>1.99</v>
      </c>
      <c r="K488">
        <f>Table1[[#This Row],[Target_product_price]]/Table1[[#This Row],[product_price_per_oz]]</f>
        <v>0.124375</v>
      </c>
    </row>
    <row r="489" spans="1:11" x14ac:dyDescent="0.2">
      <c r="A489" t="s">
        <v>1367</v>
      </c>
      <c r="B489" t="s">
        <v>1368</v>
      </c>
      <c r="C489" t="s">
        <v>1369</v>
      </c>
      <c r="D489" t="str">
        <f>SUBSTITUTE(Table1[[#This Row],[Target_product_name]], "oz", " oz")</f>
        <v>Goya Canilla Enriched Extra Long Grain White Rice - 5lbs</v>
      </c>
      <c r="E489" t="s">
        <v>2055</v>
      </c>
      <c r="F489" t="str">
        <f>LEFT(Table1[[#This Row],[Target_product_quantity]], FIND("o", Table1[[#This Row],[Target_product_quantity]])-1)</f>
        <v>80</v>
      </c>
      <c r="G489" t="str" cm="1">
        <f t="array" ref="G489">_xlfn.TEXTJOIN("", TRUE, IF(ISNUMBER(SEARCH($K$1010:$K$1054, C489)), $K$1010:$K$1054, ""))</f>
        <v>Goya</v>
      </c>
      <c r="H489" t="str">
        <f t="shared" si="29"/>
        <v>Canned Vegetables</v>
      </c>
      <c r="I489" t="str">
        <f t="shared" si="30"/>
        <v>Fruit &amp; Vegetables</v>
      </c>
      <c r="J489">
        <v>5.99</v>
      </c>
      <c r="K489">
        <f>Table1[[#This Row],[Target_product_price]]/Table1[[#This Row],[product_price_per_oz]]</f>
        <v>7.4874999999999997E-2</v>
      </c>
    </row>
    <row r="490" spans="1:11" x14ac:dyDescent="0.2">
      <c r="A490" t="s">
        <v>1370</v>
      </c>
      <c r="B490" t="s">
        <v>1371</v>
      </c>
      <c r="C490" t="s">
        <v>1372</v>
      </c>
      <c r="D490" t="str">
        <f>SUBSTITUTE(Table1[[#This Row],[Target_product_name]], "oz", " oz")</f>
        <v>Goya Chick Peas 15.5 oz</v>
      </c>
      <c r="E490" t="s">
        <v>602</v>
      </c>
      <c r="F490" t="str">
        <f>LEFT(Table1[[#This Row],[Target_product_quantity]], FIND("o", Table1[[#This Row],[Target_product_quantity]])-1)</f>
        <v>15.5</v>
      </c>
      <c r="G490" t="str" cm="1">
        <f t="array" ref="G490">_xlfn.TEXTJOIN("", TRUE, IF(ISNUMBER(SEARCH($K$1010:$K$1054, C490)), $K$1010:$K$1054, ""))</f>
        <v>Goya</v>
      </c>
      <c r="H490" t="str">
        <f t="shared" si="29"/>
        <v>Canned Vegetables</v>
      </c>
      <c r="I490" t="str">
        <f t="shared" si="30"/>
        <v>Fruit &amp; Vegetables</v>
      </c>
      <c r="J490">
        <v>1.49</v>
      </c>
      <c r="K490">
        <f>Table1[[#This Row],[Target_product_price]]/Table1[[#This Row],[product_price_per_oz]]</f>
        <v>9.6129032258064517E-2</v>
      </c>
    </row>
    <row r="491" spans="1:11" x14ac:dyDescent="0.2">
      <c r="A491" t="s">
        <v>1373</v>
      </c>
      <c r="B491" t="s">
        <v>1374</v>
      </c>
      <c r="C491" t="s">
        <v>1375</v>
      </c>
      <c r="D491" t="str">
        <f>SUBSTITUTE(Table1[[#This Row],[Target_product_name]], "oz", " oz")</f>
        <v>Goya Chorizos - 3.5 oz</v>
      </c>
      <c r="E491" t="str">
        <f t="shared" si="31"/>
        <v>3.5oz</v>
      </c>
      <c r="F491" t="str">
        <f>LEFT(Table1[[#This Row],[Target_product_quantity]], FIND("o", Table1[[#This Row],[Target_product_quantity]])-1)</f>
        <v>3.5</v>
      </c>
      <c r="G491" t="str" cm="1">
        <f t="array" ref="G491">_xlfn.TEXTJOIN("", TRUE, IF(ISNUMBER(SEARCH($K$1010:$K$1054, C491)), $K$1010:$K$1054, ""))</f>
        <v>Goya</v>
      </c>
      <c r="H491" t="str">
        <f t="shared" si="29"/>
        <v>Canned Vegetables</v>
      </c>
      <c r="I491" t="str">
        <f t="shared" si="30"/>
        <v>Fruit &amp; Vegetables</v>
      </c>
      <c r="J491">
        <v>3.49</v>
      </c>
      <c r="K491">
        <f>Table1[[#This Row],[Target_product_price]]/Table1[[#This Row],[product_price_per_oz]]</f>
        <v>0.99714285714285722</v>
      </c>
    </row>
    <row r="492" spans="1:11" x14ac:dyDescent="0.2">
      <c r="A492" t="s">
        <v>1376</v>
      </c>
      <c r="B492" t="s">
        <v>1377</v>
      </c>
      <c r="C492" t="s">
        <v>1378</v>
      </c>
      <c r="D492" t="str">
        <f>SUBSTITUTE(Table1[[#This Row],[Target_product_name]], "oz", " oz")</f>
        <v>Goya Cocktail Olives Spanish Olives - 5.5 oz</v>
      </c>
      <c r="E492" t="str">
        <f t="shared" si="31"/>
        <v>5.5oz</v>
      </c>
      <c r="F492" t="str">
        <f>LEFT(Table1[[#This Row],[Target_product_quantity]], FIND("o", Table1[[#This Row],[Target_product_quantity]])-1)</f>
        <v>5.5</v>
      </c>
      <c r="G492" t="str" cm="1">
        <f t="array" ref="G492">_xlfn.TEXTJOIN("", TRUE, IF(ISNUMBER(SEARCH($K$1010:$K$1054, C492)), $K$1010:$K$1054, ""))</f>
        <v>Goya</v>
      </c>
      <c r="H492" t="str">
        <f t="shared" si="29"/>
        <v>Canned Vegetables</v>
      </c>
      <c r="I492" t="str">
        <f t="shared" si="30"/>
        <v>Fruit &amp; Vegetables</v>
      </c>
      <c r="J492">
        <v>1.99</v>
      </c>
      <c r="K492">
        <f>Table1[[#This Row],[Target_product_price]]/Table1[[#This Row],[product_price_per_oz]]</f>
        <v>0.36181818181818182</v>
      </c>
    </row>
    <row r="493" spans="1:11" x14ac:dyDescent="0.2">
      <c r="A493" t="s">
        <v>1379</v>
      </c>
      <c r="B493" t="s">
        <v>1380</v>
      </c>
      <c r="C493" t="s">
        <v>1381</v>
      </c>
      <c r="D493" t="str">
        <f>SUBSTITUTE(Table1[[#This Row],[Target_product_name]], "oz", " oz")</f>
        <v>Goya Coriander &amp; Annatto Seasoning 3.52 oz</v>
      </c>
      <c r="E493" t="s">
        <v>3021</v>
      </c>
      <c r="F493" t="str">
        <f>LEFT(Table1[[#This Row],[Target_product_quantity]], FIND("o", Table1[[#This Row],[Target_product_quantity]])-1)</f>
        <v>3.52</v>
      </c>
      <c r="G493" t="str" cm="1">
        <f t="array" ref="G493">_xlfn.TEXTJOIN("", TRUE, IF(ISNUMBER(SEARCH($K$1010:$K$1054, C493)), $K$1010:$K$1054, ""))</f>
        <v>Goya</v>
      </c>
      <c r="H493" t="str">
        <f t="shared" si="29"/>
        <v>Canned Vegetables</v>
      </c>
      <c r="I493" t="str">
        <f t="shared" si="30"/>
        <v>Fruit &amp; Vegetables</v>
      </c>
      <c r="J493">
        <v>3.19</v>
      </c>
      <c r="K493">
        <f>Table1[[#This Row],[Target_product_price]]/Table1[[#This Row],[product_price_per_oz]]</f>
        <v>0.90625</v>
      </c>
    </row>
    <row r="494" spans="1:11" x14ac:dyDescent="0.2">
      <c r="A494" t="s">
        <v>1382</v>
      </c>
      <c r="B494" t="s">
        <v>1383</v>
      </c>
      <c r="C494" t="s">
        <v>1384</v>
      </c>
      <c r="D494" t="str">
        <f>SUBSTITUTE(Table1[[#This Row],[Target_product_name]], "oz", " oz")</f>
        <v>Goya Garlic Lightly Salted Plantain Chips - 5 oz</v>
      </c>
      <c r="E494" t="str">
        <f t="shared" si="31"/>
        <v>5oz</v>
      </c>
      <c r="F494" t="str">
        <f>LEFT(Table1[[#This Row],[Target_product_quantity]], FIND("o", Table1[[#This Row],[Target_product_quantity]])-1)</f>
        <v>5</v>
      </c>
      <c r="G494" t="str" cm="1">
        <f t="array" ref="G494">_xlfn.TEXTJOIN("", TRUE, IF(ISNUMBER(SEARCH($K$1010:$K$1054, C494)), $K$1010:$K$1054, ""))</f>
        <v>Goya</v>
      </c>
      <c r="H494" t="str">
        <f t="shared" si="29"/>
        <v>Canned Vegetables</v>
      </c>
      <c r="I494" t="str">
        <f t="shared" si="30"/>
        <v>Fruit &amp; Vegetables</v>
      </c>
      <c r="J494">
        <v>3.39</v>
      </c>
      <c r="K494">
        <f>Table1[[#This Row],[Target_product_price]]/Table1[[#This Row],[product_price_per_oz]]</f>
        <v>0.67800000000000005</v>
      </c>
    </row>
    <row r="495" spans="1:11" x14ac:dyDescent="0.2">
      <c r="A495" t="s">
        <v>1385</v>
      </c>
      <c r="B495" t="s">
        <v>1386</v>
      </c>
      <c r="C495" t="s">
        <v>1387</v>
      </c>
      <c r="D495" t="str">
        <f>SUBSTITUTE(Table1[[#This Row],[Target_product_name]], "oz", " oz")</f>
        <v>Goya Great Northern Beans - Case of 24/15.5  oz</v>
      </c>
      <c r="E495" t="s">
        <v>3022</v>
      </c>
      <c r="F495" t="str">
        <f>LEFT(Table1[[#This Row],[Target_product_quantity]], FIND("o", Table1[[#This Row],[Target_product_quantity]])-1)</f>
        <v>372</v>
      </c>
      <c r="G495" t="str" cm="1">
        <f t="array" ref="G495">_xlfn.TEXTJOIN("", TRUE, IF(ISNUMBER(SEARCH($K$1010:$K$1054, C495)), $K$1010:$K$1054, ""))</f>
        <v>Goya</v>
      </c>
      <c r="H495" t="str">
        <f t="shared" si="29"/>
        <v>Canned Vegetables</v>
      </c>
      <c r="I495" t="str">
        <f t="shared" si="30"/>
        <v>Fruit &amp; Vegetables</v>
      </c>
      <c r="J495">
        <v>33.49</v>
      </c>
      <c r="K495">
        <f>Table1[[#This Row],[Target_product_price]]/Table1[[#This Row],[product_price_per_oz]]</f>
        <v>9.0026881720430108E-2</v>
      </c>
    </row>
    <row r="496" spans="1:11" x14ac:dyDescent="0.2">
      <c r="A496" t="s">
        <v>1388</v>
      </c>
      <c r="B496" t="s">
        <v>1389</v>
      </c>
      <c r="C496" t="s">
        <v>1390</v>
      </c>
      <c r="D496" t="str">
        <f>SUBSTITUTE(Table1[[#This Row],[Target_product_name]], "oz", " oz")</f>
        <v>Goya Green Pigeon Peas - 15 oz</v>
      </c>
      <c r="E496" t="str">
        <f t="shared" si="31"/>
        <v>15oz</v>
      </c>
      <c r="F496" t="str">
        <f>LEFT(Table1[[#This Row],[Target_product_quantity]], FIND("o", Table1[[#This Row],[Target_product_quantity]])-1)</f>
        <v>15</v>
      </c>
      <c r="G496" t="str" cm="1">
        <f t="array" ref="G496">_xlfn.TEXTJOIN("", TRUE, IF(ISNUMBER(SEARCH($K$1010:$K$1054, C496)), $K$1010:$K$1054, ""))</f>
        <v>Goya</v>
      </c>
      <c r="H496" t="str">
        <f t="shared" si="29"/>
        <v>Canned Vegetables</v>
      </c>
      <c r="I496" t="str">
        <f t="shared" si="30"/>
        <v>Fruit &amp; Vegetables</v>
      </c>
      <c r="J496">
        <v>1.99</v>
      </c>
      <c r="K496">
        <f>Table1[[#This Row],[Target_product_price]]/Table1[[#This Row],[product_price_per_oz]]</f>
        <v>0.13266666666666665</v>
      </c>
    </row>
    <row r="497" spans="1:15" x14ac:dyDescent="0.2">
      <c r="A497" t="s">
        <v>1391</v>
      </c>
      <c r="B497" t="s">
        <v>1392</v>
      </c>
      <c r="C497" t="s">
        <v>1393</v>
      </c>
      <c r="D497" t="str">
        <f>SUBSTITUTE(Table1[[#This Row],[Target_product_name]], "oz", " oz")</f>
        <v>Goya Ham Flavored Concentrate - 1.41 oz</v>
      </c>
      <c r="E497" t="str">
        <f t="shared" si="31"/>
        <v>1.41oz</v>
      </c>
      <c r="F497" t="str">
        <f>LEFT(Table1[[#This Row],[Target_product_quantity]], FIND("o", Table1[[#This Row],[Target_product_quantity]])-1)</f>
        <v>1.41</v>
      </c>
      <c r="G497" t="str" cm="1">
        <f t="array" ref="G497">_xlfn.TEXTJOIN("", TRUE, IF(ISNUMBER(SEARCH($K$1010:$K$1054, C497)), $K$1010:$K$1054, ""))</f>
        <v>Goya</v>
      </c>
      <c r="H497" t="str">
        <f t="shared" si="29"/>
        <v>Canned Vegetables</v>
      </c>
      <c r="I497" t="str">
        <f t="shared" si="30"/>
        <v>Fruit &amp; Vegetables</v>
      </c>
      <c r="J497">
        <v>2.69</v>
      </c>
      <c r="K497">
        <f>Table1[[#This Row],[Target_product_price]]/Table1[[#This Row],[product_price_per_oz]]</f>
        <v>1.9078014184397163</v>
      </c>
    </row>
    <row r="498" spans="1:15" x14ac:dyDescent="0.2">
      <c r="A498" t="s">
        <v>1394</v>
      </c>
      <c r="B498" t="s">
        <v>1395</v>
      </c>
      <c r="C498" t="s">
        <v>1396</v>
      </c>
      <c r="D498" t="str">
        <f>SUBSTITUTE(Table1[[#This Row],[Target_product_name]], "oz", " oz")</f>
        <v>Goya Iodized Salt - 26 oz</v>
      </c>
      <c r="E498" t="str">
        <f t="shared" si="31"/>
        <v>26oz</v>
      </c>
      <c r="F498" t="str">
        <f>LEFT(Table1[[#This Row],[Target_product_quantity]], FIND("o", Table1[[#This Row],[Target_product_quantity]])-1)</f>
        <v>26</v>
      </c>
      <c r="G498" t="str" cm="1">
        <f t="array" ref="G498">_xlfn.TEXTJOIN("", TRUE, IF(ISNUMBER(SEARCH($K$1010:$K$1054, C498)), $K$1010:$K$1054, ""))</f>
        <v>Goya</v>
      </c>
      <c r="H498" t="str">
        <f t="shared" si="29"/>
        <v>Canned Vegetables</v>
      </c>
      <c r="I498" t="str">
        <f t="shared" si="30"/>
        <v>Fruit &amp; Vegetables</v>
      </c>
      <c r="J498">
        <v>1.29</v>
      </c>
      <c r="K498">
        <f>Table1[[#This Row],[Target_product_price]]/Table1[[#This Row],[product_price_per_oz]]</f>
        <v>4.9615384615384617E-2</v>
      </c>
    </row>
    <row r="499" spans="1:15" x14ac:dyDescent="0.2">
      <c r="A499" t="s">
        <v>1397</v>
      </c>
      <c r="B499" t="s">
        <v>1398</v>
      </c>
      <c r="C499" t="s">
        <v>1399</v>
      </c>
      <c r="D499" t="str">
        <f>SUBSTITUTE(Table1[[#This Row],[Target_product_name]], "oz", " oz")</f>
        <v>Goya Lentils - 16 oz</v>
      </c>
      <c r="E499" t="str">
        <f t="shared" si="31"/>
        <v>16oz</v>
      </c>
      <c r="F499" t="str">
        <f>LEFT(Table1[[#This Row],[Target_product_quantity]], FIND("o", Table1[[#This Row],[Target_product_quantity]])-1)</f>
        <v>16</v>
      </c>
      <c r="G499" t="str" cm="1">
        <f t="array" ref="G499">_xlfn.TEXTJOIN("", TRUE, IF(ISNUMBER(SEARCH($K$1010:$K$1054, C499)), $K$1010:$K$1054, ""))</f>
        <v>Goya</v>
      </c>
      <c r="H499" t="str">
        <f t="shared" si="29"/>
        <v>Canned Vegetables</v>
      </c>
      <c r="I499" t="str">
        <f t="shared" si="30"/>
        <v>Fruit &amp; Vegetables</v>
      </c>
      <c r="J499">
        <v>1.79</v>
      </c>
      <c r="K499">
        <f>Table1[[#This Row],[Target_product_price]]/Table1[[#This Row],[product_price_per_oz]]</f>
        <v>0.111875</v>
      </c>
    </row>
    <row r="500" spans="1:15" x14ac:dyDescent="0.2">
      <c r="A500" t="s">
        <v>1400</v>
      </c>
      <c r="B500" t="s">
        <v>1401</v>
      </c>
      <c r="C500" t="s">
        <v>1402</v>
      </c>
      <c r="D500" t="str">
        <f>SUBSTITUTE(Table1[[#This Row],[Target_product_name]], "oz", " oz")</f>
        <v>Goya Low Sodium Yellow Rice Mix - 8 oz</v>
      </c>
      <c r="E500" t="str">
        <f t="shared" si="31"/>
        <v>8oz</v>
      </c>
      <c r="F500" t="str">
        <f>LEFT(Table1[[#This Row],[Target_product_quantity]], FIND("o", Table1[[#This Row],[Target_product_quantity]])-1)</f>
        <v>8</v>
      </c>
      <c r="G500" t="str" cm="1">
        <f t="array" ref="G500">_xlfn.TEXTJOIN("", TRUE, IF(ISNUMBER(SEARCH($K$1010:$K$1054, C500)), $K$1010:$K$1054, ""))</f>
        <v>Goya</v>
      </c>
      <c r="H500" t="str">
        <f t="shared" si="29"/>
        <v>Canned Vegetables</v>
      </c>
      <c r="I500" t="str">
        <f t="shared" si="30"/>
        <v>Fruit &amp; Vegetables</v>
      </c>
      <c r="J500">
        <v>2.4900000000000002</v>
      </c>
      <c r="K500">
        <f>Table1[[#This Row],[Target_product_price]]/Table1[[#This Row],[product_price_per_oz]]</f>
        <v>0.31125000000000003</v>
      </c>
    </row>
    <row r="501" spans="1:15" x14ac:dyDescent="0.2">
      <c r="A501" t="s">
        <v>1403</v>
      </c>
      <c r="B501" t="s">
        <v>1404</v>
      </c>
      <c r="C501" t="s">
        <v>1405</v>
      </c>
      <c r="D501" t="str">
        <f>SUBSTITUTE(Table1[[#This Row],[Target_product_name]], "oz", " oz")</f>
        <v>Goya Mariquitas Lime Barrels Chips - 20 oz</v>
      </c>
      <c r="E501" t="str">
        <f t="shared" si="31"/>
        <v>20oz</v>
      </c>
      <c r="F501" t="str">
        <f>LEFT(Table1[[#This Row],[Target_product_quantity]], FIND("o", Table1[[#This Row],[Target_product_quantity]])-1)</f>
        <v>20</v>
      </c>
      <c r="G501" t="str" cm="1">
        <f t="array" ref="G501">_xlfn.TEXTJOIN("", TRUE, IF(ISNUMBER(SEARCH($K$1010:$K$1054, C501)), $K$1010:$K$1054, ""))</f>
        <v>Goya</v>
      </c>
      <c r="H501" t="str">
        <f t="shared" si="29"/>
        <v>Canned Vegetables</v>
      </c>
      <c r="I501" t="str">
        <f t="shared" si="30"/>
        <v>Fruit &amp; Vegetables</v>
      </c>
      <c r="J501">
        <v>8.99</v>
      </c>
      <c r="K501">
        <f>Table1[[#This Row],[Target_product_price]]/Table1[[#This Row],[product_price_per_oz]]</f>
        <v>0.44950000000000001</v>
      </c>
    </row>
    <row r="502" spans="1:15" x14ac:dyDescent="0.2">
      <c r="A502" t="s">
        <v>1406</v>
      </c>
      <c r="B502" t="s">
        <v>1407</v>
      </c>
      <c r="C502" t="s">
        <v>1408</v>
      </c>
      <c r="D502" t="str">
        <f>SUBSTITUTE(Table1[[#This Row],[Target_product_name]], "oz", " oz")</f>
        <v>Goya Minced Garlic 4.5 oz</v>
      </c>
      <c r="E502" t="s">
        <v>1853</v>
      </c>
      <c r="F502" t="str">
        <f>LEFT(Table1[[#This Row],[Target_product_quantity]], FIND("o", Table1[[#This Row],[Target_product_quantity]])-1)</f>
        <v>4.5</v>
      </c>
      <c r="G502" t="str" cm="1">
        <f t="array" ref="G502">_xlfn.TEXTJOIN("", TRUE, IF(ISNUMBER(SEARCH($K$1010:$K$1054, C502)), $K$1010:$K$1054, ""))</f>
        <v>Goya</v>
      </c>
      <c r="H502" t="str">
        <f t="shared" si="29"/>
        <v>Canned Vegetables</v>
      </c>
      <c r="I502" t="str">
        <f t="shared" si="30"/>
        <v>Fruit &amp; Vegetables</v>
      </c>
      <c r="J502">
        <v>3.39</v>
      </c>
      <c r="K502">
        <f>Table1[[#This Row],[Target_product_price]]/Table1[[#This Row],[product_price_per_oz]]</f>
        <v>0.75333333333333341</v>
      </c>
    </row>
    <row r="503" spans="1:15" x14ac:dyDescent="0.2">
      <c r="A503" t="s">
        <v>1409</v>
      </c>
      <c r="B503" t="s">
        <v>1410</v>
      </c>
      <c r="C503" t="s">
        <v>1411</v>
      </c>
      <c r="D503" t="str">
        <f>SUBSTITUTE(Table1[[#This Row],[Target_product_name]], "oz", " oz")</f>
        <v>Goya Pinto Beans - 15.5 oz</v>
      </c>
      <c r="E503" t="str">
        <f t="shared" si="31"/>
        <v>15.5oz</v>
      </c>
      <c r="F503" t="str">
        <f>LEFT(Table1[[#This Row],[Target_product_quantity]], FIND("o", Table1[[#This Row],[Target_product_quantity]])-1)</f>
        <v>15.5</v>
      </c>
      <c r="G503" t="str" cm="1">
        <f t="array" ref="G503">_xlfn.TEXTJOIN("", TRUE, IF(ISNUMBER(SEARCH($K$1010:$K$1054, C503)), $K$1010:$K$1054, ""))</f>
        <v>Goya</v>
      </c>
      <c r="H503" t="str">
        <f t="shared" si="29"/>
        <v>Canned Vegetables</v>
      </c>
      <c r="I503" t="str">
        <f t="shared" si="30"/>
        <v>Fruit &amp; Vegetables</v>
      </c>
      <c r="J503">
        <v>1.49</v>
      </c>
      <c r="K503">
        <f>Table1[[#This Row],[Target_product_price]]/Table1[[#This Row],[product_price_per_oz]]</f>
        <v>9.6129032258064517E-2</v>
      </c>
    </row>
    <row r="504" spans="1:15" x14ac:dyDescent="0.2">
      <c r="A504" t="s">
        <v>1412</v>
      </c>
      <c r="B504" t="s">
        <v>1413</v>
      </c>
      <c r="C504" t="s">
        <v>1414</v>
      </c>
      <c r="D504" t="str">
        <f>SUBSTITUTE(Table1[[#This Row],[Target_product_name]], "oz", " oz")</f>
        <v>Goya Pinto Beans - 29 oz</v>
      </c>
      <c r="E504" t="str">
        <f t="shared" si="31"/>
        <v>29oz</v>
      </c>
      <c r="F504" t="str">
        <f>LEFT(Table1[[#This Row],[Target_product_quantity]], FIND("o", Table1[[#This Row],[Target_product_quantity]])-1)</f>
        <v>29</v>
      </c>
      <c r="G504" t="str" cm="1">
        <f t="array" ref="G504">_xlfn.TEXTJOIN("", TRUE, IF(ISNUMBER(SEARCH($K$1010:$K$1054, C504)), $K$1010:$K$1054, ""))</f>
        <v>Goya</v>
      </c>
      <c r="H504" t="str">
        <f t="shared" si="29"/>
        <v>Canned Vegetables</v>
      </c>
      <c r="I504" t="str">
        <f t="shared" si="30"/>
        <v>Fruit &amp; Vegetables</v>
      </c>
      <c r="J504">
        <v>2.99</v>
      </c>
      <c r="K504">
        <f>Table1[[#This Row],[Target_product_price]]/Table1[[#This Row],[product_price_per_oz]]</f>
        <v>0.10310344827586207</v>
      </c>
    </row>
    <row r="505" spans="1:15" x14ac:dyDescent="0.2">
      <c r="A505" t="s">
        <v>1415</v>
      </c>
      <c r="B505" t="s">
        <v>1416</v>
      </c>
      <c r="C505" t="s">
        <v>1417</v>
      </c>
      <c r="D505" t="str">
        <f>SUBSTITUTE(Table1[[#This Row],[Target_product_name]], "oz", " oz")</f>
        <v>Goya Pinto Beans 1 lbs</v>
      </c>
      <c r="E505" t="s">
        <v>372</v>
      </c>
      <c r="F505" t="str">
        <f>LEFT(Table1[[#This Row],[Target_product_quantity]], FIND("o", Table1[[#This Row],[Target_product_quantity]])-1)</f>
        <v>16</v>
      </c>
      <c r="G505" t="str" cm="1">
        <f t="array" ref="G505">_xlfn.TEXTJOIN("", TRUE, IF(ISNUMBER(SEARCH($K$1010:$K$1054, C505)), $K$1010:$K$1054, ""))</f>
        <v>Goya</v>
      </c>
      <c r="H505" t="str">
        <f t="shared" si="29"/>
        <v>Canned Vegetables</v>
      </c>
      <c r="I505" t="str">
        <f t="shared" si="30"/>
        <v>Fruit &amp; Vegetables</v>
      </c>
      <c r="J505">
        <v>1.69</v>
      </c>
      <c r="K505">
        <f>Table1[[#This Row],[Target_product_price]]/Table1[[#This Row],[product_price_per_oz]]</f>
        <v>0.105625</v>
      </c>
    </row>
    <row r="506" spans="1:15" x14ac:dyDescent="0.2">
      <c r="A506" t="s">
        <v>1418</v>
      </c>
      <c r="B506" t="s">
        <v>1419</v>
      </c>
      <c r="C506" t="s">
        <v>1420</v>
      </c>
      <c r="D506" t="str">
        <f>SUBSTITUTE(Table1[[#This Row],[Target_product_name]], "oz", " oz")</f>
        <v>Goya Powdered Chicken Bouillon - 2.82 oz</v>
      </c>
      <c r="E506" t="str">
        <f t="shared" si="31"/>
        <v>2.82oz</v>
      </c>
      <c r="F506" t="str">
        <f>LEFT(Table1[[#This Row],[Target_product_quantity]], FIND("o", Table1[[#This Row],[Target_product_quantity]])-1)</f>
        <v>2.82</v>
      </c>
      <c r="G506" t="str" cm="1">
        <f t="array" ref="G506">_xlfn.TEXTJOIN("", TRUE, IF(ISNUMBER(SEARCH($K$1010:$K$1054, C506)), $K$1010:$K$1054, ""))</f>
        <v>Goya</v>
      </c>
      <c r="H506" t="str">
        <f t="shared" si="29"/>
        <v>Canned Vegetables</v>
      </c>
      <c r="I506" t="str">
        <f t="shared" si="30"/>
        <v>Fruit &amp; Vegetables</v>
      </c>
      <c r="J506">
        <v>1.49</v>
      </c>
      <c r="K506">
        <f>Table1[[#This Row],[Target_product_price]]/Table1[[#This Row],[product_price_per_oz]]</f>
        <v>0.52836879432624118</v>
      </c>
    </row>
    <row r="507" spans="1:15" x14ac:dyDescent="0.2">
      <c r="A507" t="s">
        <v>1421</v>
      </c>
      <c r="B507" t="s">
        <v>1422</v>
      </c>
      <c r="C507" t="s">
        <v>1423</v>
      </c>
      <c r="D507" t="str">
        <f>SUBSTITUTE(Table1[[#This Row],[Target_product_name]], "oz", " oz")</f>
        <v>Goya Red Kidney Beans - 15.5 oz</v>
      </c>
      <c r="E507" t="str">
        <f t="shared" si="31"/>
        <v>15.5oz</v>
      </c>
      <c r="F507" t="str">
        <f>LEFT(Table1[[#This Row],[Target_product_quantity]], FIND("o", Table1[[#This Row],[Target_product_quantity]])-1)</f>
        <v>15.5</v>
      </c>
      <c r="G507" t="str" cm="1">
        <f t="array" ref="G507">_xlfn.TEXTJOIN("", TRUE, IF(ISNUMBER(SEARCH($K$1010:$K$1054, C507)), $K$1010:$K$1054, ""))</f>
        <v>Goya</v>
      </c>
      <c r="H507" t="str">
        <f t="shared" si="29"/>
        <v>Canned Vegetables</v>
      </c>
      <c r="I507" t="str">
        <f t="shared" si="30"/>
        <v>Fruit &amp; Vegetables</v>
      </c>
      <c r="J507">
        <v>1.89</v>
      </c>
      <c r="K507">
        <f>Table1[[#This Row],[Target_product_price]]/Table1[[#This Row],[product_price_per_oz]]</f>
        <v>0.12193548387096774</v>
      </c>
    </row>
    <row r="508" spans="1:15" x14ac:dyDescent="0.2">
      <c r="A508" t="s">
        <v>1424</v>
      </c>
      <c r="B508" t="s">
        <v>1425</v>
      </c>
      <c r="C508" t="s">
        <v>1426</v>
      </c>
      <c r="D508" t="str">
        <f>SUBSTITUTE(Table1[[#This Row],[Target_product_name]], "oz", " oz")</f>
        <v>Goya Red Kidney Beans 15.5 oz</v>
      </c>
      <c r="E508" t="s">
        <v>602</v>
      </c>
      <c r="F508" t="str">
        <f>LEFT(Table1[[#This Row],[Target_product_quantity]], FIND("o", Table1[[#This Row],[Target_product_quantity]])-1)</f>
        <v>15.5</v>
      </c>
      <c r="G508" t="str" cm="1">
        <f t="array" ref="G508">_xlfn.TEXTJOIN("", TRUE, IF(ISNUMBER(SEARCH($K$1010:$K$1054, C508)), $K$1010:$K$1054, ""))</f>
        <v>Goya</v>
      </c>
      <c r="H508" t="str">
        <f t="shared" si="29"/>
        <v>Canned Vegetables</v>
      </c>
      <c r="I508" t="str">
        <f t="shared" si="30"/>
        <v>Fruit &amp; Vegetables</v>
      </c>
      <c r="J508">
        <v>1.49</v>
      </c>
      <c r="K508">
        <f>Table1[[#This Row],[Target_product_price]]/Table1[[#This Row],[product_price_per_oz]]</f>
        <v>9.6129032258064517E-2</v>
      </c>
    </row>
    <row r="509" spans="1:15" x14ac:dyDescent="0.2">
      <c r="A509" t="s">
        <v>1427</v>
      </c>
      <c r="B509" t="s">
        <v>1428</v>
      </c>
      <c r="C509" t="s">
        <v>1429</v>
      </c>
      <c r="D509" t="str">
        <f>SUBSTITUTE(Table1[[#This Row],[Target_product_name]], "oz", " oz")</f>
        <v>Goya Sardines in Tomato Sauce - 15 oz</v>
      </c>
      <c r="E509" t="str">
        <f t="shared" si="31"/>
        <v>15oz</v>
      </c>
      <c r="F509" t="str">
        <f>LEFT(Table1[[#This Row],[Target_product_quantity]], FIND("o", Table1[[#This Row],[Target_product_quantity]])-1)</f>
        <v>15</v>
      </c>
      <c r="G509" t="str" cm="1">
        <f t="array" ref="G509">_xlfn.TEXTJOIN("", TRUE, IF(ISNUMBER(SEARCH($K$1010:$K$1054, C509)), $K$1010:$K$1054, ""))</f>
        <v>Goya</v>
      </c>
      <c r="H509" t="str">
        <f t="shared" si="29"/>
        <v>Canned Vegetables</v>
      </c>
      <c r="I509" t="str">
        <f t="shared" si="30"/>
        <v>Fruit &amp; Vegetables</v>
      </c>
      <c r="J509">
        <v>2.99</v>
      </c>
      <c r="K509">
        <f>Table1[[#This Row],[Target_product_price]]/Table1[[#This Row],[product_price_per_oz]]</f>
        <v>0.19933333333333333</v>
      </c>
    </row>
    <row r="510" spans="1:15" x14ac:dyDescent="0.2">
      <c r="A510" t="s">
        <v>1430</v>
      </c>
      <c r="B510" t="s">
        <v>1431</v>
      </c>
      <c r="C510" t="s">
        <v>1432</v>
      </c>
      <c r="D510" t="str">
        <f>SUBSTITUTE(Table1[[#This Row],[Target_product_name]], "oz", " oz")</f>
        <v>Goya Sazon con Azafran 1.41 oz</v>
      </c>
      <c r="E510" t="s">
        <v>3023</v>
      </c>
      <c r="F510" t="str">
        <f>LEFT(Table1[[#This Row],[Target_product_quantity]], FIND("o", Table1[[#This Row],[Target_product_quantity]])-1)</f>
        <v>1.41</v>
      </c>
      <c r="G510" t="str" cm="1">
        <f t="array" ref="G510">_xlfn.TEXTJOIN("", TRUE, IF(ISNUMBER(SEARCH($K$1010:$K$1054, C510)), $K$1010:$K$1054, ""))</f>
        <v>Goya</v>
      </c>
      <c r="H510" t="str">
        <f t="shared" si="29"/>
        <v>Canned Vegetables</v>
      </c>
      <c r="I510" t="str">
        <f t="shared" si="30"/>
        <v>Fruit &amp; Vegetables</v>
      </c>
      <c r="J510">
        <v>1.99</v>
      </c>
      <c r="K510">
        <f>Table1[[#This Row],[Target_product_price]]/Table1[[#This Row],[product_price_per_oz]]</f>
        <v>1.4113475177304966</v>
      </c>
    </row>
    <row r="511" spans="1:15" x14ac:dyDescent="0.2">
      <c r="A511" t="s">
        <v>1433</v>
      </c>
      <c r="B511" t="s">
        <v>1434</v>
      </c>
      <c r="C511" t="s">
        <v>1435</v>
      </c>
      <c r="D511" t="str">
        <f>SUBSTITUTE(Table1[[#This Row],[Target_product_name]], "oz", " oz")</f>
        <v>Goya Sazon Culantro y Achiote 1.41 oz</v>
      </c>
      <c r="E511" t="s">
        <v>3023</v>
      </c>
      <c r="F511" t="str">
        <f>LEFT(Table1[[#This Row],[Target_product_quantity]], FIND("o", Table1[[#This Row],[Target_product_quantity]])-1)</f>
        <v>1.41</v>
      </c>
      <c r="G511" t="str" cm="1">
        <f t="array" ref="G511">_xlfn.TEXTJOIN("", TRUE, IF(ISNUMBER(SEARCH($K$1010:$K$1054, C511)), $K$1010:$K$1054, ""))</f>
        <v>Goya</v>
      </c>
      <c r="H511" t="str">
        <f t="shared" si="29"/>
        <v>Canned Vegetables</v>
      </c>
      <c r="I511" t="str">
        <f t="shared" si="30"/>
        <v>Fruit &amp; Vegetables</v>
      </c>
      <c r="J511">
        <v>1.99</v>
      </c>
      <c r="K511">
        <f>Table1[[#This Row],[Target_product_price]]/Table1[[#This Row],[product_price_per_oz]]</f>
        <v>1.4113475177304966</v>
      </c>
      <c r="O511" s="1"/>
    </row>
    <row r="512" spans="1:15" x14ac:dyDescent="0.2">
      <c r="A512" t="s">
        <v>1436</v>
      </c>
      <c r="B512" t="s">
        <v>1437</v>
      </c>
      <c r="C512" t="s">
        <v>1438</v>
      </c>
      <c r="D512" t="str">
        <f>SUBSTITUTE(Table1[[#This Row],[Target_product_name]], "oz", " oz")</f>
        <v>Goya Sliced Pimientos - 4 oz</v>
      </c>
      <c r="E512" t="str">
        <f t="shared" si="31"/>
        <v>4oz</v>
      </c>
      <c r="F512" t="str">
        <f>LEFT(Table1[[#This Row],[Target_product_quantity]], FIND("o", Table1[[#This Row],[Target_product_quantity]])-1)</f>
        <v>4</v>
      </c>
      <c r="G512" t="str" cm="1">
        <f t="array" ref="G512">_xlfn.TEXTJOIN("", TRUE, IF(ISNUMBER(SEARCH($K$1010:$K$1054, C512)), $K$1010:$K$1054, ""))</f>
        <v>Goya</v>
      </c>
      <c r="H512" t="str">
        <f t="shared" si="29"/>
        <v>Canned Vegetables</v>
      </c>
      <c r="I512" t="str">
        <f t="shared" si="30"/>
        <v>Fruit &amp; Vegetables</v>
      </c>
      <c r="J512">
        <v>1.69</v>
      </c>
      <c r="K512">
        <f>Table1[[#This Row],[Target_product_price]]/Table1[[#This Row],[product_price_per_oz]]</f>
        <v>0.42249999999999999</v>
      </c>
      <c r="O512" s="1"/>
    </row>
    <row r="513" spans="1:15" x14ac:dyDescent="0.2">
      <c r="A513" t="s">
        <v>1439</v>
      </c>
      <c r="B513" t="s">
        <v>1440</v>
      </c>
      <c r="C513" t="s">
        <v>1441</v>
      </c>
      <c r="D513" t="str">
        <f>SUBSTITUTE(Table1[[#This Row],[Target_product_name]], "oz", " oz")</f>
        <v>Goya Spanish Style Yellow Rice Mix - 7 oz</v>
      </c>
      <c r="E513" t="str">
        <f t="shared" si="31"/>
        <v>7oz</v>
      </c>
      <c r="F513" t="str">
        <f>LEFT(Table1[[#This Row],[Target_product_quantity]], FIND("o", Table1[[#This Row],[Target_product_quantity]])-1)</f>
        <v>7</v>
      </c>
      <c r="G513" t="str" cm="1">
        <f t="array" ref="G513">_xlfn.TEXTJOIN("", TRUE, IF(ISNUMBER(SEARCH($K$1010:$K$1054, C513)), $K$1010:$K$1054, ""))</f>
        <v>Goya</v>
      </c>
      <c r="H513" t="str">
        <f t="shared" si="29"/>
        <v>Canned Vegetables</v>
      </c>
      <c r="I513" t="str">
        <f t="shared" si="30"/>
        <v>Fruit &amp; Vegetables</v>
      </c>
      <c r="J513">
        <v>2.4900000000000002</v>
      </c>
      <c r="K513">
        <f>Table1[[#This Row],[Target_product_price]]/Table1[[#This Row],[product_price_per_oz]]</f>
        <v>0.35571428571428576</v>
      </c>
      <c r="O513" s="1"/>
    </row>
    <row r="514" spans="1:15" x14ac:dyDescent="0.2">
      <c r="A514" t="s">
        <v>1442</v>
      </c>
      <c r="B514" t="s">
        <v>1443</v>
      </c>
      <c r="C514" t="s">
        <v>1444</v>
      </c>
      <c r="D514" t="str">
        <f>SUBSTITUTE(Table1[[#This Row],[Target_product_name]], "oz", " oz")</f>
        <v>Goya Stuffed Olives 9.5 oz</v>
      </c>
      <c r="E514" t="s">
        <v>607</v>
      </c>
      <c r="F514" t="str">
        <f>LEFT(Table1[[#This Row],[Target_product_quantity]], FIND("o", Table1[[#This Row],[Target_product_quantity]])-1)</f>
        <v>9.5</v>
      </c>
      <c r="G514" t="str" cm="1">
        <f t="array" ref="G514">_xlfn.TEXTJOIN("", TRUE, IF(ISNUMBER(SEARCH($K$1010:$K$1054, C514)), $K$1010:$K$1054, ""))</f>
        <v>Goya</v>
      </c>
      <c r="H514" t="str">
        <f t="shared" ref="H514:H577" si="32">IF(OR(G514="Mission",G514="Nature's Own",G514="Sara Lee"),"Bread",
IF(OR(G514="Del Monte",G514="Dole",G514="Mott's"),"Canned Fruit",
IF(OR(G514="Goya",G514="Hunt's",G514="Birds Eye"),"Canned Vegetables",
IF(OR(G514="Fairlife",G514="Horizon Organic",G514="Lactaid",G514="Ben &amp; Jerry's"),"Milk",
IF(OR(G514="BelGioioso",G514="Kraft",G514="Philadelphia"),"Cheese",
IF(OR(G514="Chobani",G514="Oikos",G514="Light + Fit"),"Yogurt",
IF(OR(G514="Barilla",G514="Annie's",G514="Rao's Homemade"),"Pasta",
IF(OR(G514="Hershey's",G514="Lay's",G514="Totino's",G514="Cheerios",G514="Jif",G514="Skippy",G514="Nature Valley",G514="Oreo",G514="DiGiorno",G514="Eggo"),"Prepared Food",
IF(OR(G514="Ben's Original",G514="Lundberg",G514="Quaker"),"Rice",
IF(OR(G514="Bush's",G514="Hillshire Farm",G514="Oscar Mayer",G514="SPAM"),"Protein",
IF(OR(G514="Starbucks",G514="Sparkling Ice",G514="Coca-Cola",G514="San Pellegrino",G514="Gatorade",G514="Arizona"),"Beverages",
"Other")))))))))))</f>
        <v>Canned Vegetables</v>
      </c>
      <c r="I514" t="str">
        <f t="shared" ref="I514:I577" si="33">IF(OR(H514="Bread",H514="Rice",H514="Pasta"), "Grain",
IF(OR(H514="Milk",H514="Cheese",H514="Yogurt"), "Dairy",
IF(OR(H514="Canned Fruit",H514="Canned Vegetables"), "Fruit &amp; Vegetables",
IF(H514="Prepared Food", "Prepared Food",
IF(H514="Protein", "Protein",
IF(H514="Beverages", "Beverages",
"Other"))))))</f>
        <v>Fruit &amp; Vegetables</v>
      </c>
      <c r="J514">
        <v>4.49</v>
      </c>
      <c r="K514">
        <f>Table1[[#This Row],[Target_product_price]]/Table1[[#This Row],[product_price_per_oz]]</f>
        <v>0.47263157894736846</v>
      </c>
      <c r="O514" s="1"/>
    </row>
    <row r="515" spans="1:15" x14ac:dyDescent="0.2">
      <c r="A515" t="s">
        <v>1445</v>
      </c>
      <c r="B515" t="s">
        <v>1446</v>
      </c>
      <c r="C515" t="s">
        <v>1447</v>
      </c>
      <c r="D515" t="str">
        <f>SUBSTITUTE(Table1[[#This Row],[Target_product_name]], "oz", " oz")</f>
        <v>Goya Tomato Sauce 8 oz</v>
      </c>
      <c r="E515" t="s">
        <v>1922</v>
      </c>
      <c r="F515" t="str">
        <f>LEFT(Table1[[#This Row],[Target_product_quantity]], FIND("o", Table1[[#This Row],[Target_product_quantity]])-1)</f>
        <v>8</v>
      </c>
      <c r="G515" t="str" cm="1">
        <f t="array" ref="G515">_xlfn.TEXTJOIN("", TRUE, IF(ISNUMBER(SEARCH($K$1010:$K$1054, C515)), $K$1010:$K$1054, ""))</f>
        <v>Goya</v>
      </c>
      <c r="H515" t="str">
        <f t="shared" si="32"/>
        <v>Canned Vegetables</v>
      </c>
      <c r="I515" t="str">
        <f t="shared" si="33"/>
        <v>Fruit &amp; Vegetables</v>
      </c>
      <c r="J515">
        <v>0.79</v>
      </c>
      <c r="K515">
        <f>Table1[[#This Row],[Target_product_price]]/Table1[[#This Row],[product_price_per_oz]]</f>
        <v>9.8750000000000004E-2</v>
      </c>
      <c r="O515" s="1"/>
    </row>
    <row r="516" spans="1:15" x14ac:dyDescent="0.2">
      <c r="A516" t="s">
        <v>1448</v>
      </c>
      <c r="B516" t="s">
        <v>1449</v>
      </c>
      <c r="C516" t="s">
        <v>1450</v>
      </c>
      <c r="D516" t="str">
        <f>SUBSTITUTE(Table1[[#This Row],[Target_product_name]], "oz", " oz")</f>
        <v>Hershey's Chocolate Full Size Variety Pack - 45 oz/30ct</v>
      </c>
      <c r="E516" t="s">
        <v>3024</v>
      </c>
      <c r="F516" t="str">
        <f>LEFT(Table1[[#This Row],[Target_product_quantity]], FIND("o", Table1[[#This Row],[Target_product_quantity]])-1)</f>
        <v>1350</v>
      </c>
      <c r="G516" t="str" cm="1">
        <f t="array" ref="G516">_xlfn.TEXTJOIN("", TRUE, IF(ISNUMBER(SEARCH($K$1010:$K$1054, C516)), $K$1010:$K$1054, ""))</f>
        <v>Hershey's</v>
      </c>
      <c r="H516" t="str">
        <f t="shared" si="32"/>
        <v>Prepared Food</v>
      </c>
      <c r="I516" t="str">
        <f t="shared" si="33"/>
        <v>Prepared Food</v>
      </c>
      <c r="J516">
        <v>53.99</v>
      </c>
      <c r="K516">
        <f>Table1[[#This Row],[Target_product_price]]/Table1[[#This Row],[product_price_per_oz]]</f>
        <v>3.9992592592592593E-2</v>
      </c>
      <c r="O516" s="1"/>
    </row>
    <row r="517" spans="1:15" x14ac:dyDescent="0.2">
      <c r="A517" t="s">
        <v>1451</v>
      </c>
      <c r="B517" t="s">
        <v>1452</v>
      </c>
      <c r="C517" t="s">
        <v>1453</v>
      </c>
      <c r="D517" t="str">
        <f>SUBSTITUTE(Table1[[#This Row],[Target_product_name]], "oz", " oz")</f>
        <v>Hershey's Cookies 'N' Creme Candy Bar - 1.55 oz</v>
      </c>
      <c r="E517" t="str">
        <f t="shared" si="31"/>
        <v>1.55oz</v>
      </c>
      <c r="F517" t="str">
        <f>LEFT(Table1[[#This Row],[Target_product_quantity]], FIND("o", Table1[[#This Row],[Target_product_quantity]])-1)</f>
        <v>1.55</v>
      </c>
      <c r="G517" t="str" cm="1">
        <f t="array" ref="G517">_xlfn.TEXTJOIN("", TRUE, IF(ISNUMBER(SEARCH($K$1010:$K$1054, C517)), $K$1010:$K$1054, ""))</f>
        <v>Hershey's</v>
      </c>
      <c r="H517" t="str">
        <f t="shared" si="32"/>
        <v>Prepared Food</v>
      </c>
      <c r="I517" t="str">
        <f t="shared" si="33"/>
        <v>Prepared Food</v>
      </c>
      <c r="J517">
        <v>1.39</v>
      </c>
      <c r="K517">
        <f>Table1[[#This Row],[Target_product_price]]/Table1[[#This Row],[product_price_per_oz]]</f>
        <v>0.89677419354838706</v>
      </c>
      <c r="O517" s="1"/>
    </row>
    <row r="518" spans="1:15" x14ac:dyDescent="0.2">
      <c r="A518" t="s">
        <v>1454</v>
      </c>
      <c r="B518" t="s">
        <v>1455</v>
      </c>
      <c r="C518" t="s">
        <v>1456</v>
      </c>
      <c r="D518" t="str">
        <f>SUBSTITUTE(Table1[[#This Row],[Target_product_name]], "oz", " oz")</f>
        <v>Hershey's Milk Chocolate Candy Bar - 1.55 oz</v>
      </c>
      <c r="E518" t="str">
        <f t="shared" ref="E518:E581" si="34">TRIM(RIGHT(C518, LEN(C518) - FIND("-", C518)))</f>
        <v>1.55oz</v>
      </c>
      <c r="F518" t="str">
        <f>LEFT(Table1[[#This Row],[Target_product_quantity]], FIND("o", Table1[[#This Row],[Target_product_quantity]])-1)</f>
        <v>1.55</v>
      </c>
      <c r="G518" t="str" cm="1">
        <f t="array" ref="G518">_xlfn.TEXTJOIN("", TRUE, IF(ISNUMBER(SEARCH($K$1010:$K$1054, C518)), $K$1010:$K$1054, ""))</f>
        <v>Hershey's</v>
      </c>
      <c r="H518" t="str">
        <f t="shared" si="32"/>
        <v>Prepared Food</v>
      </c>
      <c r="I518" t="str">
        <f t="shared" si="33"/>
        <v>Prepared Food</v>
      </c>
      <c r="J518">
        <v>1.39</v>
      </c>
      <c r="K518">
        <f>Table1[[#This Row],[Target_product_price]]/Table1[[#This Row],[product_price_per_oz]]</f>
        <v>0.89677419354838706</v>
      </c>
      <c r="O518" s="1"/>
    </row>
    <row r="519" spans="1:15" x14ac:dyDescent="0.2">
      <c r="A519" t="s">
        <v>1457</v>
      </c>
      <c r="B519" t="s">
        <v>1458</v>
      </c>
      <c r="C519" t="s">
        <v>1459</v>
      </c>
      <c r="D519" t="str">
        <f>SUBSTITUTE(Table1[[#This Row],[Target_product_name]], "oz", " oz")</f>
        <v>Hershey's Milk Chocolate Candy Bar - 6ct</v>
      </c>
      <c r="E519" t="s">
        <v>3025</v>
      </c>
      <c r="F519" t="str">
        <f>LEFT(Table1[[#This Row],[Target_product_quantity]], FIND("o", Table1[[#This Row],[Target_product_quantity]])-1)</f>
        <v>9.3</v>
      </c>
      <c r="G519" t="str" cm="1">
        <f t="array" ref="G519">_xlfn.TEXTJOIN("", TRUE, IF(ISNUMBER(SEARCH($K$1010:$K$1054, C519)), $K$1010:$K$1054, ""))</f>
        <v>Hershey's</v>
      </c>
      <c r="H519" t="str">
        <f t="shared" si="32"/>
        <v>Prepared Food</v>
      </c>
      <c r="I519" t="str">
        <f t="shared" si="33"/>
        <v>Prepared Food</v>
      </c>
      <c r="J519">
        <v>5.59</v>
      </c>
      <c r="K519">
        <f>Table1[[#This Row],[Target_product_price]]/Table1[[#This Row],[product_price_per_oz]]</f>
        <v>0.60107526881720419</v>
      </c>
      <c r="O519" s="1"/>
    </row>
    <row r="520" spans="1:15" x14ac:dyDescent="0.2">
      <c r="A520" t="s">
        <v>1460</v>
      </c>
      <c r="B520" t="s">
        <v>1461</v>
      </c>
      <c r="C520" t="s">
        <v>1462</v>
      </c>
      <c r="D520" t="str">
        <f>SUBSTITUTE(Table1[[#This Row],[Target_product_name]], "oz", " oz")</f>
        <v>Hershey's Milk Chocolate Candy Bar with Almonds - 4.25 oz</v>
      </c>
      <c r="E520" t="str">
        <f t="shared" si="34"/>
        <v>4.25oz</v>
      </c>
      <c r="F520" t="str">
        <f>LEFT(Table1[[#This Row],[Target_product_quantity]], FIND("o", Table1[[#This Row],[Target_product_quantity]])-1)</f>
        <v>4.25</v>
      </c>
      <c r="G520" t="str" cm="1">
        <f t="array" ref="G520">_xlfn.TEXTJOIN("", TRUE, IF(ISNUMBER(SEARCH($K$1010:$K$1054, C520)), $K$1010:$K$1054, ""))</f>
        <v>Hershey's</v>
      </c>
      <c r="H520" t="str">
        <f t="shared" si="32"/>
        <v>Prepared Food</v>
      </c>
      <c r="I520" t="str">
        <f t="shared" si="33"/>
        <v>Prepared Food</v>
      </c>
      <c r="J520">
        <v>2.39</v>
      </c>
      <c r="K520">
        <f>Table1[[#This Row],[Target_product_price]]/Table1[[#This Row],[product_price_per_oz]]</f>
        <v>0.56235294117647061</v>
      </c>
      <c r="O520" s="1"/>
    </row>
    <row r="521" spans="1:15" x14ac:dyDescent="0.2">
      <c r="A521" t="s">
        <v>1463</v>
      </c>
      <c r="B521" t="s">
        <v>1464</v>
      </c>
      <c r="C521" t="s">
        <v>1465</v>
      </c>
      <c r="D521" t="str">
        <f>SUBSTITUTE(Table1[[#This Row],[Target_product_name]], "oz", " oz")</f>
        <v>Hershey's Milk Chocolate Candy Bar XL - 4.4 oz</v>
      </c>
      <c r="E521" t="str">
        <f t="shared" si="34"/>
        <v>4.4oz</v>
      </c>
      <c r="F521" t="str">
        <f>LEFT(Table1[[#This Row],[Target_product_quantity]], FIND("o", Table1[[#This Row],[Target_product_quantity]])-1)</f>
        <v>4.4</v>
      </c>
      <c r="G521" t="str" cm="1">
        <f t="array" ref="G521">_xlfn.TEXTJOIN("", TRUE, IF(ISNUMBER(SEARCH($K$1010:$K$1054, C521)), $K$1010:$K$1054, ""))</f>
        <v>Hershey's</v>
      </c>
      <c r="H521" t="str">
        <f t="shared" si="32"/>
        <v>Prepared Food</v>
      </c>
      <c r="I521" t="str">
        <f t="shared" si="33"/>
        <v>Prepared Food</v>
      </c>
      <c r="J521">
        <v>2.39</v>
      </c>
      <c r="K521">
        <f>Table1[[#This Row],[Target_product_price]]/Table1[[#This Row],[product_price_per_oz]]</f>
        <v>0.54318181818181821</v>
      </c>
      <c r="O521" s="1"/>
    </row>
    <row r="522" spans="1:15" x14ac:dyDescent="0.2">
      <c r="A522" t="s">
        <v>1466</v>
      </c>
      <c r="B522" t="s">
        <v>1467</v>
      </c>
      <c r="C522" t="s">
        <v>1468</v>
      </c>
      <c r="D522" t="str">
        <f>SUBSTITUTE(Table1[[#This Row],[Target_product_name]], "oz", " oz")</f>
        <v>Hershey's Milk Chocolate Family Giant Candy Bar - 7.56 oz</v>
      </c>
      <c r="E522" t="str">
        <f t="shared" si="34"/>
        <v>7.56oz</v>
      </c>
      <c r="F522" t="str">
        <f>LEFT(Table1[[#This Row],[Target_product_quantity]], FIND("o", Table1[[#This Row],[Target_product_quantity]])-1)</f>
        <v>7.56</v>
      </c>
      <c r="G522" t="str" cm="1">
        <f t="array" ref="G522">_xlfn.TEXTJOIN("", TRUE, IF(ISNUMBER(SEARCH($K$1010:$K$1054, C522)), $K$1010:$K$1054, ""))</f>
        <v>Hershey's</v>
      </c>
      <c r="H522" t="str">
        <f t="shared" si="32"/>
        <v>Prepared Food</v>
      </c>
      <c r="I522" t="str">
        <f t="shared" si="33"/>
        <v>Prepared Food</v>
      </c>
      <c r="J522">
        <v>3.69</v>
      </c>
      <c r="K522">
        <f>Table1[[#This Row],[Target_product_price]]/Table1[[#This Row],[product_price_per_oz]]</f>
        <v>0.48809523809523814</v>
      </c>
    </row>
    <row r="523" spans="1:15" x14ac:dyDescent="0.2">
      <c r="A523" t="s">
        <v>1469</v>
      </c>
      <c r="B523" t="s">
        <v>1470</v>
      </c>
      <c r="C523" t="s">
        <v>1471</v>
      </c>
      <c r="D523" t="str">
        <f>SUBSTITUTE(Table1[[#This Row],[Target_product_name]], "oz", " oz")</f>
        <v>Hershey's Milk Chocolate S'mores Kit 3 Ingredient Box - 14 oz</v>
      </c>
      <c r="E523" t="str">
        <f t="shared" si="34"/>
        <v>14oz</v>
      </c>
      <c r="F523" t="str">
        <f>LEFT(Table1[[#This Row],[Target_product_quantity]], FIND("o", Table1[[#This Row],[Target_product_quantity]])-1)</f>
        <v>14</v>
      </c>
      <c r="G523" t="str" cm="1">
        <f t="array" ref="G523">_xlfn.TEXTJOIN("", TRUE, IF(ISNUMBER(SEARCH($K$1010:$K$1054, C523)), $K$1010:$K$1054, ""))</f>
        <v>Hershey's</v>
      </c>
      <c r="H523" t="str">
        <f t="shared" si="32"/>
        <v>Prepared Food</v>
      </c>
      <c r="I523" t="str">
        <f t="shared" si="33"/>
        <v>Prepared Food</v>
      </c>
      <c r="J523">
        <v>9.99</v>
      </c>
      <c r="K523">
        <f>Table1[[#This Row],[Target_product_price]]/Table1[[#This Row],[product_price_per_oz]]</f>
        <v>0.71357142857142863</v>
      </c>
    </row>
    <row r="524" spans="1:15" x14ac:dyDescent="0.2">
      <c r="A524" t="s">
        <v>1472</v>
      </c>
      <c r="B524" t="s">
        <v>1473</v>
      </c>
      <c r="C524" t="s">
        <v>1474</v>
      </c>
      <c r="D524" t="str">
        <f>SUBSTITUTE(Table1[[#This Row],[Target_product_name]], "oz", " oz")</f>
        <v>Hershey's Milk Chocolate Snack Size Candy Bars - 1.8 oz/4ct</v>
      </c>
      <c r="E524" t="s">
        <v>3026</v>
      </c>
      <c r="F524" t="str">
        <f>LEFT(Table1[[#This Row],[Target_product_quantity]], FIND("o", Table1[[#This Row],[Target_product_quantity]])-1)</f>
        <v>7.2</v>
      </c>
      <c r="G524" t="str" cm="1">
        <f t="array" ref="G524">_xlfn.TEXTJOIN("", TRUE, IF(ISNUMBER(SEARCH($K$1010:$K$1054, C524)), $K$1010:$K$1054, ""))</f>
        <v>Hershey's</v>
      </c>
      <c r="H524" t="str">
        <f t="shared" si="32"/>
        <v>Prepared Food</v>
      </c>
      <c r="I524" t="str">
        <f t="shared" si="33"/>
        <v>Prepared Food</v>
      </c>
      <c r="J524">
        <v>1.39</v>
      </c>
      <c r="K524">
        <f>Table1[[#This Row],[Target_product_price]]/Table1[[#This Row],[product_price_per_oz]]</f>
        <v>0.19305555555555554</v>
      </c>
    </row>
    <row r="525" spans="1:15" x14ac:dyDescent="0.2">
      <c r="A525" t="s">
        <v>1475</v>
      </c>
      <c r="B525" t="s">
        <v>1476</v>
      </c>
      <c r="C525" t="s">
        <v>1477</v>
      </c>
      <c r="D525" t="str">
        <f>SUBSTITUTE(Table1[[#This Row],[Target_product_name]], "oz", " oz")</f>
        <v>Hershey's Milk Chocolate Snack Size Candy Bars - 5.4 oz/12ct</v>
      </c>
      <c r="E525" t="s">
        <v>3027</v>
      </c>
      <c r="F525" t="str">
        <f>LEFT(Table1[[#This Row],[Target_product_quantity]], FIND("o", Table1[[#This Row],[Target_product_quantity]])-1)</f>
        <v>64.8</v>
      </c>
      <c r="G525" t="str" cm="1">
        <f t="array" ref="G525">_xlfn.TEXTJOIN("", TRUE, IF(ISNUMBER(SEARCH($K$1010:$K$1054, C525)), $K$1010:$K$1054, ""))</f>
        <v>Hershey's</v>
      </c>
      <c r="H525" t="str">
        <f t="shared" si="32"/>
        <v>Prepared Food</v>
      </c>
      <c r="I525" t="str">
        <f t="shared" si="33"/>
        <v>Prepared Food</v>
      </c>
      <c r="J525">
        <v>2.99</v>
      </c>
      <c r="K525">
        <f>Table1[[#This Row],[Target_product_price]]/Table1[[#This Row],[product_price_per_oz]]</f>
        <v>4.6141975308641982E-2</v>
      </c>
    </row>
    <row r="526" spans="1:15" x14ac:dyDescent="0.2">
      <c r="A526" t="s">
        <v>1478</v>
      </c>
      <c r="B526" t="s">
        <v>1479</v>
      </c>
      <c r="C526" t="s">
        <v>1480</v>
      </c>
      <c r="D526" t="str">
        <f>SUBSTITUTE(Table1[[#This Row],[Target_product_name]], "oz", " oz")</f>
        <v>Hershey's Milk Chocolate with Almonds Candy Bar - 1.45 oz</v>
      </c>
      <c r="E526" t="str">
        <f t="shared" si="34"/>
        <v>1.45oz</v>
      </c>
      <c r="F526" t="str">
        <f>LEFT(Table1[[#This Row],[Target_product_quantity]], FIND("o", Table1[[#This Row],[Target_product_quantity]])-1)</f>
        <v>1.45</v>
      </c>
      <c r="G526" t="str" cm="1">
        <f t="array" ref="G526">_xlfn.TEXTJOIN("", TRUE, IF(ISNUMBER(SEARCH($K$1010:$K$1054, C526)), $K$1010:$K$1054, ""))</f>
        <v>Hershey's</v>
      </c>
      <c r="H526" t="str">
        <f t="shared" si="32"/>
        <v>Prepared Food</v>
      </c>
      <c r="I526" t="str">
        <f t="shared" si="33"/>
        <v>Prepared Food</v>
      </c>
      <c r="J526">
        <v>1.39</v>
      </c>
      <c r="K526">
        <f>Table1[[#This Row],[Target_product_price]]/Table1[[#This Row],[product_price_per_oz]]</f>
        <v>0.95862068965517233</v>
      </c>
    </row>
    <row r="527" spans="1:15" x14ac:dyDescent="0.2">
      <c r="A527" t="s">
        <v>1481</v>
      </c>
      <c r="B527" t="s">
        <v>1482</v>
      </c>
      <c r="C527" t="s">
        <v>1483</v>
      </c>
      <c r="D527" t="str">
        <f>SUBSTITUTE(Table1[[#This Row],[Target_product_name]], "oz", " oz")</f>
        <v>Hershey's Milk Chocolate with Almonds Candy Bars - 6ct</v>
      </c>
      <c r="E527" t="s">
        <v>3025</v>
      </c>
      <c r="F527" t="str">
        <f>LEFT(Table1[[#This Row],[Target_product_quantity]], FIND("o", Table1[[#This Row],[Target_product_quantity]])-1)</f>
        <v>9.3</v>
      </c>
      <c r="G527" t="str" cm="1">
        <f t="array" ref="G527">_xlfn.TEXTJOIN("", TRUE, IF(ISNUMBER(SEARCH($K$1010:$K$1054, C527)), $K$1010:$K$1054, ""))</f>
        <v>Hershey's</v>
      </c>
      <c r="H527" t="str">
        <f t="shared" si="32"/>
        <v>Prepared Food</v>
      </c>
      <c r="I527" t="str">
        <f t="shared" si="33"/>
        <v>Prepared Food</v>
      </c>
      <c r="J527">
        <v>5.59</v>
      </c>
      <c r="K527">
        <f>Table1[[#This Row],[Target_product_price]]/Table1[[#This Row],[product_price_per_oz]]</f>
        <v>0.60107526881720419</v>
      </c>
    </row>
    <row r="528" spans="1:15" x14ac:dyDescent="0.2">
      <c r="A528" t="s">
        <v>1484</v>
      </c>
      <c r="B528" t="s">
        <v>1485</v>
      </c>
      <c r="C528" t="s">
        <v>1486</v>
      </c>
      <c r="D528" t="str">
        <f>SUBSTITUTE(Table1[[#This Row],[Target_product_name]], "oz", " oz")</f>
        <v>Hershey's Milk Chocolate with Caramel candy Bars - 8.4 oz/6ct</v>
      </c>
      <c r="E528" t="s">
        <v>3028</v>
      </c>
      <c r="F528" t="str">
        <f>LEFT(Table1[[#This Row],[Target_product_quantity]], FIND("o", Table1[[#This Row],[Target_product_quantity]])-1)</f>
        <v>50.4</v>
      </c>
      <c r="G528" t="str" cm="1">
        <f t="array" ref="G528">_xlfn.TEXTJOIN("", TRUE, IF(ISNUMBER(SEARCH($K$1010:$K$1054, C528)), $K$1010:$K$1054, ""))</f>
        <v>Hershey's</v>
      </c>
      <c r="H528" t="str">
        <f t="shared" si="32"/>
        <v>Prepared Food</v>
      </c>
      <c r="I528" t="str">
        <f t="shared" si="33"/>
        <v>Prepared Food</v>
      </c>
      <c r="J528">
        <v>5.59</v>
      </c>
      <c r="K528">
        <f>Table1[[#This Row],[Target_product_price]]/Table1[[#This Row],[product_price_per_oz]]</f>
        <v>0.11091269841269841</v>
      </c>
    </row>
    <row r="529" spans="1:11" x14ac:dyDescent="0.2">
      <c r="A529" t="s">
        <v>1487</v>
      </c>
      <c r="B529" t="s">
        <v>1488</v>
      </c>
      <c r="C529" t="s">
        <v>1489</v>
      </c>
      <c r="D529" t="str">
        <f>SUBSTITUTE(Table1[[#This Row],[Target_product_name]], "oz", " oz")</f>
        <v>Hershey's Milklicious Milk Chocolate Bar Candy - 1.4 oz</v>
      </c>
      <c r="E529" t="str">
        <f t="shared" si="34"/>
        <v>1.4oz</v>
      </c>
      <c r="F529" t="str">
        <f>LEFT(Table1[[#This Row],[Target_product_quantity]], FIND("o", Table1[[#This Row],[Target_product_quantity]])-1)</f>
        <v>1.4</v>
      </c>
      <c r="G529" t="str" cm="1">
        <f t="array" ref="G529">_xlfn.TEXTJOIN("", TRUE, IF(ISNUMBER(SEARCH($K$1010:$K$1054, C529)), $K$1010:$K$1054, ""))</f>
        <v>Hershey's</v>
      </c>
      <c r="H529" t="str">
        <f t="shared" si="32"/>
        <v>Prepared Food</v>
      </c>
      <c r="I529" t="str">
        <f t="shared" si="33"/>
        <v>Prepared Food</v>
      </c>
      <c r="J529">
        <v>1.39</v>
      </c>
      <c r="K529">
        <f>Table1[[#This Row],[Target_product_price]]/Table1[[#This Row],[product_price_per_oz]]</f>
        <v>0.99285714285714288</v>
      </c>
    </row>
    <row r="530" spans="1:11" x14ac:dyDescent="0.2">
      <c r="A530" t="s">
        <v>1490</v>
      </c>
      <c r="B530" t="s">
        <v>1491</v>
      </c>
      <c r="C530" t="s">
        <v>1492</v>
      </c>
      <c r="D530" t="str">
        <f>SUBSTITUTE(Table1[[#This Row],[Target_product_name]], "oz", " oz")</f>
        <v>Hershey's Plant Based Almond &amp; Sea Salt Oat Chocolate Candy - 1.55 oz</v>
      </c>
      <c r="E530" t="str">
        <f t="shared" si="34"/>
        <v>1.55oz</v>
      </c>
      <c r="F530" t="str">
        <f>LEFT(Table1[[#This Row],[Target_product_quantity]], FIND("o", Table1[[#This Row],[Target_product_quantity]])-1)</f>
        <v>1.55</v>
      </c>
      <c r="G530" t="str" cm="1">
        <f t="array" ref="G530">_xlfn.TEXTJOIN("", TRUE, IF(ISNUMBER(SEARCH($K$1010:$K$1054, C530)), $K$1010:$K$1054, ""))</f>
        <v>Hershey's</v>
      </c>
      <c r="H530" t="str">
        <f t="shared" si="32"/>
        <v>Prepared Food</v>
      </c>
      <c r="I530" t="str">
        <f t="shared" si="33"/>
        <v>Prepared Food</v>
      </c>
      <c r="J530">
        <v>2.19</v>
      </c>
      <c r="K530">
        <f>Table1[[#This Row],[Target_product_price]]/Table1[[#This Row],[product_price_per_oz]]</f>
        <v>1.4129032258064516</v>
      </c>
    </row>
    <row r="531" spans="1:11" x14ac:dyDescent="0.2">
      <c r="A531" t="s">
        <v>1493</v>
      </c>
      <c r="B531" t="s">
        <v>1494</v>
      </c>
      <c r="C531" t="s">
        <v>1495</v>
      </c>
      <c r="D531" t="str">
        <f>SUBSTITUTE(Table1[[#This Row],[Target_product_name]], "oz", " oz")</f>
        <v>Hershey's Snack Size Cookies 'N' Creme Bars - 34.2 oz/2ct</v>
      </c>
      <c r="E531" t="s">
        <v>3029</v>
      </c>
      <c r="F531" t="str">
        <f>LEFT(Table1[[#This Row],[Target_product_quantity]], FIND("o", Table1[[#This Row],[Target_product_quantity]])-1)</f>
        <v>68.4</v>
      </c>
      <c r="G531" t="str" cm="1">
        <f t="array" ref="G531">_xlfn.TEXTJOIN("", TRUE, IF(ISNUMBER(SEARCH($K$1010:$K$1054, C531)), $K$1010:$K$1054, ""))</f>
        <v>Hershey's</v>
      </c>
      <c r="H531" t="str">
        <f t="shared" si="32"/>
        <v>Prepared Food</v>
      </c>
      <c r="I531" t="str">
        <f t="shared" si="33"/>
        <v>Prepared Food</v>
      </c>
      <c r="J531">
        <v>29.99</v>
      </c>
      <c r="K531">
        <f>Table1[[#This Row],[Target_product_price]]/Table1[[#This Row],[product_price_per_oz]]</f>
        <v>0.43845029239766076</v>
      </c>
    </row>
    <row r="532" spans="1:11" x14ac:dyDescent="0.2">
      <c r="A532" t="s">
        <v>1496</v>
      </c>
      <c r="B532" t="s">
        <v>1497</v>
      </c>
      <c r="C532" t="s">
        <v>1498</v>
      </c>
      <c r="D532" t="str">
        <f>SUBSTITUTE(Table1[[#This Row],[Target_product_name]], "oz", " oz")</f>
        <v>Hershey's Snack Size Milk Chocolate Bars - 19.8 oz</v>
      </c>
      <c r="E532" t="str">
        <f t="shared" si="34"/>
        <v>19.8oz</v>
      </c>
      <c r="F532" t="str">
        <f>LEFT(Table1[[#This Row],[Target_product_quantity]], FIND("o", Table1[[#This Row],[Target_product_quantity]])-1)</f>
        <v>19.8</v>
      </c>
      <c r="G532" t="str" cm="1">
        <f t="array" ref="G532">_xlfn.TEXTJOIN("", TRUE, IF(ISNUMBER(SEARCH($K$1010:$K$1054, C532)), $K$1010:$K$1054, ""))</f>
        <v>Hershey's</v>
      </c>
      <c r="H532" t="str">
        <f t="shared" si="32"/>
        <v>Prepared Food</v>
      </c>
      <c r="I532" t="str">
        <f t="shared" si="33"/>
        <v>Prepared Food</v>
      </c>
      <c r="J532">
        <v>14.69</v>
      </c>
      <c r="K532">
        <f>Table1[[#This Row],[Target_product_price]]/Table1[[#This Row],[product_price_per_oz]]</f>
        <v>0.74191919191919187</v>
      </c>
    </row>
    <row r="533" spans="1:11" x14ac:dyDescent="0.2">
      <c r="A533" t="s">
        <v>1499</v>
      </c>
      <c r="B533" t="s">
        <v>1500</v>
      </c>
      <c r="C533" t="s">
        <v>1501</v>
      </c>
      <c r="D533" t="str">
        <f>SUBSTITUTE(Table1[[#This Row],[Target_product_name]], "oz", " oz")</f>
        <v>Hillshire Farm Beef Lit'l Smokies Smoked Sausage - 12 oz</v>
      </c>
      <c r="E533" t="str">
        <f t="shared" si="34"/>
        <v>12oz</v>
      </c>
      <c r="F533" t="str">
        <f>LEFT(Table1[[#This Row],[Target_product_quantity]], FIND("o", Table1[[#This Row],[Target_product_quantity]])-1)</f>
        <v>12</v>
      </c>
      <c r="G533" t="str" cm="1">
        <f t="array" ref="G533">_xlfn.TEXTJOIN("", TRUE, IF(ISNUMBER(SEARCH($K$1010:$K$1054, C533)), $K$1010:$K$1054, ""))</f>
        <v>Hillshire Farm</v>
      </c>
      <c r="H533" t="str">
        <f t="shared" si="32"/>
        <v>Protein</v>
      </c>
      <c r="I533" t="str">
        <f t="shared" si="33"/>
        <v>Protein</v>
      </c>
      <c r="J533">
        <v>3.99</v>
      </c>
      <c r="K533">
        <f>Table1[[#This Row],[Target_product_price]]/Table1[[#This Row],[product_price_per_oz]]</f>
        <v>0.33250000000000002</v>
      </c>
    </row>
    <row r="534" spans="1:11" x14ac:dyDescent="0.2">
      <c r="A534" t="s">
        <v>1502</v>
      </c>
      <c r="B534" t="s">
        <v>1503</v>
      </c>
      <c r="C534" t="s">
        <v>1504</v>
      </c>
      <c r="D534" t="str">
        <f>SUBSTITUTE(Table1[[#This Row],[Target_product_name]], "oz", " oz")</f>
        <v>Hillshire Farm Black Forest Ham - 9 oz</v>
      </c>
      <c r="E534" t="str">
        <f t="shared" si="34"/>
        <v>9oz</v>
      </c>
      <c r="F534" t="str">
        <f>LEFT(Table1[[#This Row],[Target_product_quantity]], FIND("o", Table1[[#This Row],[Target_product_quantity]])-1)</f>
        <v>9</v>
      </c>
      <c r="G534" t="str" cm="1">
        <f t="array" ref="G534">_xlfn.TEXTJOIN("", TRUE, IF(ISNUMBER(SEARCH($K$1010:$K$1054, C534)), $K$1010:$K$1054, ""))</f>
        <v>Hillshire Farm</v>
      </c>
      <c r="H534" t="str">
        <f t="shared" si="32"/>
        <v>Protein</v>
      </c>
      <c r="I534" t="str">
        <f t="shared" si="33"/>
        <v>Protein</v>
      </c>
      <c r="J534">
        <v>4.49</v>
      </c>
      <c r="K534">
        <f>Table1[[#This Row],[Target_product_price]]/Table1[[#This Row],[product_price_per_oz]]</f>
        <v>0.49888888888888894</v>
      </c>
    </row>
    <row r="535" spans="1:11" x14ac:dyDescent="0.2">
      <c r="A535" t="s">
        <v>1505</v>
      </c>
      <c r="B535" t="s">
        <v>1506</v>
      </c>
      <c r="C535" t="s">
        <v>1507</v>
      </c>
      <c r="D535" t="str">
        <f>SUBSTITUTE(Table1[[#This Row],[Target_product_name]], "oz", " oz")</f>
        <v>Hillshire Farm Lit'l Smokies Smoked Sausage - 14 oz</v>
      </c>
      <c r="E535" t="str">
        <f t="shared" si="34"/>
        <v>14oz</v>
      </c>
      <c r="F535" t="str">
        <f>LEFT(Table1[[#This Row],[Target_product_quantity]], FIND("o", Table1[[#This Row],[Target_product_quantity]])-1)</f>
        <v>14</v>
      </c>
      <c r="G535" t="str" cm="1">
        <f t="array" ref="G535">_xlfn.TEXTJOIN("", TRUE, IF(ISNUMBER(SEARCH($K$1010:$K$1054, C535)), $K$1010:$K$1054, ""))</f>
        <v>Hillshire Farm</v>
      </c>
      <c r="H535" t="str">
        <f t="shared" si="32"/>
        <v>Protein</v>
      </c>
      <c r="I535" t="str">
        <f t="shared" si="33"/>
        <v>Protein</v>
      </c>
      <c r="J535">
        <v>3.99</v>
      </c>
      <c r="K535">
        <f>Table1[[#This Row],[Target_product_price]]/Table1[[#This Row],[product_price_per_oz]]</f>
        <v>0.28500000000000003</v>
      </c>
    </row>
    <row r="536" spans="1:11" x14ac:dyDescent="0.2">
      <c r="A536" t="s">
        <v>1508</v>
      </c>
      <c r="B536" t="s">
        <v>1509</v>
      </c>
      <c r="C536" t="s">
        <v>1510</v>
      </c>
      <c r="D536" t="str">
        <f>SUBSTITUTE(Table1[[#This Row],[Target_product_name]], "oz", " oz")</f>
        <v>Hillshire Farm Snack Kits Ham &amp; Monterey Jack - 2.76 oz</v>
      </c>
      <c r="E536" t="str">
        <f t="shared" si="34"/>
        <v>2.76oz</v>
      </c>
      <c r="F536" t="str">
        <f>LEFT(Table1[[#This Row],[Target_product_quantity]], FIND("o", Table1[[#This Row],[Target_product_quantity]])-1)</f>
        <v>2.76</v>
      </c>
      <c r="G536" t="str" cm="1">
        <f t="array" ref="G536">_xlfn.TEXTJOIN("", TRUE, IF(ISNUMBER(SEARCH($K$1010:$K$1054, C536)), $K$1010:$K$1054, ""))</f>
        <v>Hillshire Farm</v>
      </c>
      <c r="H536" t="str">
        <f t="shared" si="32"/>
        <v>Protein</v>
      </c>
      <c r="I536" t="str">
        <f t="shared" si="33"/>
        <v>Protein</v>
      </c>
      <c r="J536">
        <v>2.99</v>
      </c>
      <c r="K536">
        <f>Table1[[#This Row],[Target_product_price]]/Table1[[#This Row],[product_price_per_oz]]</f>
        <v>1.0833333333333335</v>
      </c>
    </row>
    <row r="537" spans="1:11" x14ac:dyDescent="0.2">
      <c r="A537" t="s">
        <v>1511</v>
      </c>
      <c r="B537" t="s">
        <v>1512</v>
      </c>
      <c r="C537" t="s">
        <v>1513</v>
      </c>
      <c r="D537" t="str">
        <f>SUBSTITUTE(Table1[[#This Row],[Target_product_name]], "oz", " oz")</f>
        <v>Hillshire Farm Snack Kits Honey Turkey &amp; Colby Jack - 2.76 oz</v>
      </c>
      <c r="E537" t="str">
        <f t="shared" si="34"/>
        <v>2.76oz</v>
      </c>
      <c r="F537" t="str">
        <f>LEFT(Table1[[#This Row],[Target_product_quantity]], FIND("o", Table1[[#This Row],[Target_product_quantity]])-1)</f>
        <v>2.76</v>
      </c>
      <c r="G537" t="str" cm="1">
        <f t="array" ref="G537">_xlfn.TEXTJOIN("", TRUE, IF(ISNUMBER(SEARCH($K$1010:$K$1054, C537)), $K$1010:$K$1054, ""))</f>
        <v>Hillshire Farm</v>
      </c>
      <c r="H537" t="str">
        <f t="shared" si="32"/>
        <v>Protein</v>
      </c>
      <c r="I537" t="str">
        <f t="shared" si="33"/>
        <v>Protein</v>
      </c>
      <c r="J537">
        <v>2.99</v>
      </c>
      <c r="K537">
        <f>Table1[[#This Row],[Target_product_price]]/Table1[[#This Row],[product_price_per_oz]]</f>
        <v>1.0833333333333335</v>
      </c>
    </row>
    <row r="538" spans="1:11" x14ac:dyDescent="0.2">
      <c r="A538" t="s">
        <v>1514</v>
      </c>
      <c r="B538" t="s">
        <v>1515</v>
      </c>
      <c r="C538" t="s">
        <v>1516</v>
      </c>
      <c r="D538" t="str">
        <f>SUBSTITUTE(Table1[[#This Row],[Target_product_name]], "oz", " oz")</f>
        <v>Hillshire Farm Snack Kits Turkey &amp; Cheddar - 2.76 oz</v>
      </c>
      <c r="E538" t="str">
        <f t="shared" si="34"/>
        <v>2.76oz</v>
      </c>
      <c r="F538" t="str">
        <f>LEFT(Table1[[#This Row],[Target_product_quantity]], FIND("o", Table1[[#This Row],[Target_product_quantity]])-1)</f>
        <v>2.76</v>
      </c>
      <c r="G538" t="str" cm="1">
        <f t="array" ref="G538">_xlfn.TEXTJOIN("", TRUE, IF(ISNUMBER(SEARCH($K$1010:$K$1054, C538)), $K$1010:$K$1054, ""))</f>
        <v>Hillshire Farm</v>
      </c>
      <c r="H538" t="str">
        <f t="shared" si="32"/>
        <v>Protein</v>
      </c>
      <c r="I538" t="str">
        <f t="shared" si="33"/>
        <v>Protein</v>
      </c>
      <c r="J538">
        <v>2.99</v>
      </c>
      <c r="K538">
        <f>Table1[[#This Row],[Target_product_price]]/Table1[[#This Row],[product_price_per_oz]]</f>
        <v>1.0833333333333335</v>
      </c>
    </row>
    <row r="539" spans="1:11" x14ac:dyDescent="0.2">
      <c r="A539" t="s">
        <v>1517</v>
      </c>
      <c r="B539" t="s">
        <v>1518</v>
      </c>
      <c r="C539" t="s">
        <v>1519</v>
      </c>
      <c r="D539" t="str">
        <f>SUBSTITUTE(Table1[[#This Row],[Target_product_name]], "oz", " oz")</f>
        <v>Hillshire Farm Snacking Bistro Bites with Genoa Salami, Gouda &amp; Salted Almonds - 2.8 oz</v>
      </c>
      <c r="E539" t="str">
        <f t="shared" si="34"/>
        <v>2.8oz</v>
      </c>
      <c r="F539" t="str">
        <f>LEFT(Table1[[#This Row],[Target_product_quantity]], FIND("o", Table1[[#This Row],[Target_product_quantity]])-1)</f>
        <v>2.8</v>
      </c>
      <c r="G539" t="str" cm="1">
        <f t="array" ref="G539">_xlfn.TEXTJOIN("", TRUE, IF(ISNUMBER(SEARCH($K$1010:$K$1054, C539)), $K$1010:$K$1054, ""))</f>
        <v>Hillshire Farm</v>
      </c>
      <c r="H539" t="str">
        <f t="shared" si="32"/>
        <v>Protein</v>
      </c>
      <c r="I539" t="str">
        <f t="shared" si="33"/>
        <v>Protein</v>
      </c>
      <c r="J539">
        <v>3.29</v>
      </c>
      <c r="K539">
        <f>Table1[[#This Row],[Target_product_price]]/Table1[[#This Row],[product_price_per_oz]]</f>
        <v>1.175</v>
      </c>
    </row>
    <row r="540" spans="1:11" x14ac:dyDescent="0.2">
      <c r="A540" t="s">
        <v>1520</v>
      </c>
      <c r="B540" t="s">
        <v>1521</v>
      </c>
      <c r="C540" t="s">
        <v>1522</v>
      </c>
      <c r="D540" t="str">
        <f>SUBSTITUTE(Table1[[#This Row],[Target_product_name]], "oz", " oz")</f>
        <v>Hillshire Farm Snacking Bistro Bites with Italian Dry Salami, White Cheddar &amp; Chocolate Almonds - 2.8 oz</v>
      </c>
      <c r="E540" t="str">
        <f t="shared" si="34"/>
        <v>2.8oz</v>
      </c>
      <c r="F540" t="str">
        <f>LEFT(Table1[[#This Row],[Target_product_quantity]], FIND("o", Table1[[#This Row],[Target_product_quantity]])-1)</f>
        <v>2.8</v>
      </c>
      <c r="G540" t="str" cm="1">
        <f t="array" ref="G540">_xlfn.TEXTJOIN("", TRUE, IF(ISNUMBER(SEARCH($K$1010:$K$1054, C540)), $K$1010:$K$1054, ""))</f>
        <v>Hillshire Farm</v>
      </c>
      <c r="H540" t="str">
        <f t="shared" si="32"/>
        <v>Protein</v>
      </c>
      <c r="I540" t="str">
        <f t="shared" si="33"/>
        <v>Protein</v>
      </c>
      <c r="J540">
        <v>3.29</v>
      </c>
      <c r="K540">
        <f>Table1[[#This Row],[Target_product_price]]/Table1[[#This Row],[product_price_per_oz]]</f>
        <v>1.175</v>
      </c>
    </row>
    <row r="541" spans="1:11" x14ac:dyDescent="0.2">
      <c r="A541" t="s">
        <v>1523</v>
      </c>
      <c r="B541" t="s">
        <v>1524</v>
      </c>
      <c r="C541" t="s">
        <v>1525</v>
      </c>
      <c r="D541" t="str">
        <f>SUBSTITUTE(Table1[[#This Row],[Target_product_name]], "oz", " oz")</f>
        <v>Hillshire Farm Snacking Bistro Bites with Pepperoni, Monterey Jack, Walnut &amp; Cocoa-Coated Almond Mix - 2.8 oz</v>
      </c>
      <c r="E541" t="s">
        <v>3030</v>
      </c>
      <c r="F541" t="str">
        <f>LEFT(Table1[[#This Row],[Target_product_quantity]], FIND("o", Table1[[#This Row],[Target_product_quantity]])-1)</f>
        <v>2.8</v>
      </c>
      <c r="G541" t="str" cm="1">
        <f t="array" ref="G541">_xlfn.TEXTJOIN("", TRUE, IF(ISNUMBER(SEARCH($K$1010:$K$1054, C541)), $K$1010:$K$1054, ""))</f>
        <v>Hillshire Farm</v>
      </c>
      <c r="H541" t="str">
        <f t="shared" si="32"/>
        <v>Protein</v>
      </c>
      <c r="I541" t="str">
        <f t="shared" si="33"/>
        <v>Protein</v>
      </c>
      <c r="J541">
        <v>2.99</v>
      </c>
      <c r="K541">
        <f>Table1[[#This Row],[Target_product_price]]/Table1[[#This Row],[product_price_per_oz]]</f>
        <v>1.0678571428571431</v>
      </c>
    </row>
    <row r="542" spans="1:11" x14ac:dyDescent="0.2">
      <c r="A542" t="s">
        <v>1526</v>
      </c>
      <c r="B542" t="s">
        <v>1527</v>
      </c>
      <c r="C542" t="s">
        <v>1528</v>
      </c>
      <c r="D542" t="str">
        <f>SUBSTITUTE(Table1[[#This Row],[Target_product_name]], "oz", " oz")</f>
        <v>Hillshire Farm Ultra Thin Honey Ham - 16 oz</v>
      </c>
      <c r="E542" t="str">
        <f t="shared" si="34"/>
        <v>16oz</v>
      </c>
      <c r="F542" t="str">
        <f>LEFT(Table1[[#This Row],[Target_product_quantity]], FIND("o", Table1[[#This Row],[Target_product_quantity]])-1)</f>
        <v>16</v>
      </c>
      <c r="G542" t="str" cm="1">
        <f t="array" ref="G542">_xlfn.TEXTJOIN("", TRUE, IF(ISNUMBER(SEARCH($K$1010:$K$1054, C542)), $K$1010:$K$1054, ""))</f>
        <v>Hillshire Farm</v>
      </c>
      <c r="H542" t="str">
        <f t="shared" si="32"/>
        <v>Protein</v>
      </c>
      <c r="I542" t="str">
        <f t="shared" si="33"/>
        <v>Protein</v>
      </c>
      <c r="J542">
        <v>6.79</v>
      </c>
      <c r="K542">
        <f>Table1[[#This Row],[Target_product_price]]/Table1[[#This Row],[product_price_per_oz]]</f>
        <v>0.424375</v>
      </c>
    </row>
    <row r="543" spans="1:11" x14ac:dyDescent="0.2">
      <c r="A543" t="s">
        <v>1529</v>
      </c>
      <c r="B543" t="s">
        <v>1530</v>
      </c>
      <c r="C543" t="s">
        <v>1531</v>
      </c>
      <c r="D543" t="str">
        <f>SUBSTITUTE(Table1[[#This Row],[Target_product_name]], "oz", " oz")</f>
        <v>Hillshire Farm Ultra Thin Honey Roasted Turkey Breast - 9 oz</v>
      </c>
      <c r="E543" t="str">
        <f t="shared" si="34"/>
        <v>9oz</v>
      </c>
      <c r="F543" t="str">
        <f>LEFT(Table1[[#This Row],[Target_product_quantity]], FIND("o", Table1[[#This Row],[Target_product_quantity]])-1)</f>
        <v>9</v>
      </c>
      <c r="G543" t="str" cm="1">
        <f t="array" ref="G543">_xlfn.TEXTJOIN("", TRUE, IF(ISNUMBER(SEARCH($K$1010:$K$1054, C543)), $K$1010:$K$1054, ""))</f>
        <v>Hillshire Farm</v>
      </c>
      <c r="H543" t="str">
        <f t="shared" si="32"/>
        <v>Protein</v>
      </c>
      <c r="I543" t="str">
        <f t="shared" si="33"/>
        <v>Protein</v>
      </c>
      <c r="J543">
        <v>4.49</v>
      </c>
      <c r="K543">
        <f>Table1[[#This Row],[Target_product_price]]/Table1[[#This Row],[product_price_per_oz]]</f>
        <v>0.49888888888888894</v>
      </c>
    </row>
    <row r="544" spans="1:11" x14ac:dyDescent="0.2">
      <c r="A544" t="s">
        <v>1532</v>
      </c>
      <c r="B544" t="s">
        <v>1533</v>
      </c>
      <c r="C544" t="s">
        <v>1534</v>
      </c>
      <c r="D544" t="str">
        <f>SUBSTITUTE(Table1[[#This Row],[Target_product_name]], "oz", " oz")</f>
        <v>Hillshire Farm Ultra Thin Honey Roasted Turkey Breast &amp; Smoked Ham Variety Pack - 16 oz</v>
      </c>
      <c r="E544" t="str">
        <f t="shared" si="34"/>
        <v>16oz</v>
      </c>
      <c r="F544" t="str">
        <f>LEFT(Table1[[#This Row],[Target_product_quantity]], FIND("o", Table1[[#This Row],[Target_product_quantity]])-1)</f>
        <v>16</v>
      </c>
      <c r="G544" t="str" cm="1">
        <f t="array" ref="G544">_xlfn.TEXTJOIN("", TRUE, IF(ISNUMBER(SEARCH($K$1010:$K$1054, C544)), $K$1010:$K$1054, ""))</f>
        <v>Hillshire Farm</v>
      </c>
      <c r="H544" t="str">
        <f t="shared" si="32"/>
        <v>Protein</v>
      </c>
      <c r="I544" t="str">
        <f t="shared" si="33"/>
        <v>Protein</v>
      </c>
      <c r="J544">
        <v>6.79</v>
      </c>
      <c r="K544">
        <f>Table1[[#This Row],[Target_product_price]]/Table1[[#This Row],[product_price_per_oz]]</f>
        <v>0.424375</v>
      </c>
    </row>
    <row r="545" spans="1:11" x14ac:dyDescent="0.2">
      <c r="A545" t="s">
        <v>1535</v>
      </c>
      <c r="B545" t="s">
        <v>1536</v>
      </c>
      <c r="C545" t="s">
        <v>1537</v>
      </c>
      <c r="D545" t="str">
        <f>SUBSTITUTE(Table1[[#This Row],[Target_product_name]], "oz", " oz")</f>
        <v>Hillshire Farm Ultra Thin Oven Roasted Turkey - 16 oz</v>
      </c>
      <c r="E545" t="str">
        <f t="shared" si="34"/>
        <v>16oz</v>
      </c>
      <c r="F545" t="str">
        <f>LEFT(Table1[[#This Row],[Target_product_quantity]], FIND("o", Table1[[#This Row],[Target_product_quantity]])-1)</f>
        <v>16</v>
      </c>
      <c r="G545" t="str" cm="1">
        <f t="array" ref="G545">_xlfn.TEXTJOIN("", TRUE, IF(ISNUMBER(SEARCH($K$1010:$K$1054, C545)), $K$1010:$K$1054, ""))</f>
        <v>Hillshire Farm</v>
      </c>
      <c r="H545" t="str">
        <f t="shared" si="32"/>
        <v>Protein</v>
      </c>
      <c r="I545" t="str">
        <f t="shared" si="33"/>
        <v>Protein</v>
      </c>
      <c r="J545">
        <v>6.79</v>
      </c>
      <c r="K545">
        <f>Table1[[#This Row],[Target_product_price]]/Table1[[#This Row],[product_price_per_oz]]</f>
        <v>0.424375</v>
      </c>
    </row>
    <row r="546" spans="1:11" x14ac:dyDescent="0.2">
      <c r="A546" t="s">
        <v>1538</v>
      </c>
      <c r="B546" t="s">
        <v>1539</v>
      </c>
      <c r="C546" t="s">
        <v>1540</v>
      </c>
      <c r="D546" t="str">
        <f>SUBSTITUTE(Table1[[#This Row],[Target_product_name]], "oz", " oz")</f>
        <v>Hillshire Farms Pepperoni, Garlic &amp; Herb Dip with Toasted Rounds - 2.25 oz</v>
      </c>
      <c r="E546" t="str">
        <f t="shared" si="34"/>
        <v>2.25oz</v>
      </c>
      <c r="F546" t="str">
        <f>LEFT(Table1[[#This Row],[Target_product_quantity]], FIND("o", Table1[[#This Row],[Target_product_quantity]])-1)</f>
        <v>2.25</v>
      </c>
      <c r="G546" t="str" cm="1">
        <f t="array" ref="G546">_xlfn.TEXTJOIN("", TRUE, IF(ISNUMBER(SEARCH($K$1010:$K$1054, C546)), $K$1010:$K$1054, ""))</f>
        <v>Hillshire Farm</v>
      </c>
      <c r="H546" t="str">
        <f t="shared" si="32"/>
        <v>Protein</v>
      </c>
      <c r="I546" t="str">
        <f t="shared" si="33"/>
        <v>Protein</v>
      </c>
      <c r="J546">
        <v>2.99</v>
      </c>
      <c r="K546">
        <f>Table1[[#This Row],[Target_product_price]]/Table1[[#This Row],[product_price_per_oz]]</f>
        <v>1.328888888888889</v>
      </c>
    </row>
    <row r="547" spans="1:11" x14ac:dyDescent="0.2">
      <c r="A547" t="s">
        <v>1541</v>
      </c>
      <c r="B547" t="s">
        <v>1542</v>
      </c>
      <c r="C547" t="s">
        <v>1543</v>
      </c>
      <c r="D547" t="str">
        <f>SUBSTITUTE(Table1[[#This Row],[Target_product_name]], "oz", " oz")</f>
        <v>Hillshire Farms Pepperoni, M ozzarella &amp; Tomato Dip with Toasted Rounds - 2.25 oz</v>
      </c>
      <c r="E547" t="str">
        <f t="shared" si="34"/>
        <v>2.25oz</v>
      </c>
      <c r="F547" t="str">
        <f>LEFT(Table1[[#This Row],[Target_product_quantity]], FIND("o", Table1[[#This Row],[Target_product_quantity]])-1)</f>
        <v>2.25</v>
      </c>
      <c r="G547" t="str" cm="1">
        <f t="array" ref="G547">_xlfn.TEXTJOIN("", TRUE, IF(ISNUMBER(SEARCH($K$1010:$K$1054, C547)), $K$1010:$K$1054, ""))</f>
        <v>Hillshire Farm</v>
      </c>
      <c r="H547" t="str">
        <f t="shared" si="32"/>
        <v>Protein</v>
      </c>
      <c r="I547" t="str">
        <f t="shared" si="33"/>
        <v>Protein</v>
      </c>
      <c r="J547">
        <v>2.99</v>
      </c>
      <c r="K547">
        <f>Table1[[#This Row],[Target_product_price]]/Table1[[#This Row],[product_price_per_oz]]</f>
        <v>1.328888888888889</v>
      </c>
    </row>
    <row r="548" spans="1:11" x14ac:dyDescent="0.2">
      <c r="A548" t="s">
        <v>1544</v>
      </c>
      <c r="B548" t="s">
        <v>1545</v>
      </c>
      <c r="C548" t="s">
        <v>1546</v>
      </c>
      <c r="D548" t="str">
        <f>SUBSTITUTE(Table1[[#This Row],[Target_product_name]], "oz", " oz")</f>
        <v>Hillshire Farms Pepperoni, Red Pepper &amp; Italian Herbs Dip with Toasted Rounds - 2.25 oz</v>
      </c>
      <c r="E548" t="str">
        <f t="shared" si="34"/>
        <v>2.25oz</v>
      </c>
      <c r="F548" t="str">
        <f>LEFT(Table1[[#This Row],[Target_product_quantity]], FIND("o", Table1[[#This Row],[Target_product_quantity]])-1)</f>
        <v>2.25</v>
      </c>
      <c r="G548" t="str" cm="1">
        <f t="array" ref="G548">_xlfn.TEXTJOIN("", TRUE, IF(ISNUMBER(SEARCH($K$1010:$K$1054, C548)), $K$1010:$K$1054, ""))</f>
        <v>Hillshire Farm</v>
      </c>
      <c r="H548" t="str">
        <f t="shared" si="32"/>
        <v>Protein</v>
      </c>
      <c r="I548" t="str">
        <f t="shared" si="33"/>
        <v>Protein</v>
      </c>
      <c r="J548">
        <v>2.99</v>
      </c>
      <c r="K548">
        <f>Table1[[#This Row],[Target_product_price]]/Table1[[#This Row],[product_price_per_oz]]</f>
        <v>1.328888888888889</v>
      </c>
    </row>
    <row r="549" spans="1:11" x14ac:dyDescent="0.2">
      <c r="A549" t="s">
        <v>1547</v>
      </c>
      <c r="B549" t="s">
        <v>1548</v>
      </c>
      <c r="C549" t="s">
        <v>1549</v>
      </c>
      <c r="D549" t="str">
        <f>SUBSTITUTE(Table1[[#This Row],[Target_product_name]], "oz", " oz")</f>
        <v>Hillshire Farms Ultra Thin Deli Select Honey Ham - 9 oz</v>
      </c>
      <c r="E549" t="str">
        <f t="shared" si="34"/>
        <v>9oz</v>
      </c>
      <c r="F549" t="str">
        <f>LEFT(Table1[[#This Row],[Target_product_quantity]], FIND("o", Table1[[#This Row],[Target_product_quantity]])-1)</f>
        <v>9</v>
      </c>
      <c r="G549" t="str" cm="1">
        <f t="array" ref="G549">_xlfn.TEXTJOIN("", TRUE, IF(ISNUMBER(SEARCH($K$1010:$K$1054, C549)), $K$1010:$K$1054, ""))</f>
        <v>Hillshire Farm</v>
      </c>
      <c r="H549" t="str">
        <f t="shared" si="32"/>
        <v>Protein</v>
      </c>
      <c r="I549" t="str">
        <f t="shared" si="33"/>
        <v>Protein</v>
      </c>
      <c r="J549">
        <v>4.49</v>
      </c>
      <c r="K549">
        <f>Table1[[#This Row],[Target_product_price]]/Table1[[#This Row],[product_price_per_oz]]</f>
        <v>0.49888888888888894</v>
      </c>
    </row>
    <row r="550" spans="1:11" x14ac:dyDescent="0.2">
      <c r="A550" t="s">
        <v>1550</v>
      </c>
      <c r="B550" t="s">
        <v>1551</v>
      </c>
      <c r="C550" t="s">
        <v>1552</v>
      </c>
      <c r="D550" t="str">
        <f>SUBSTITUTE(Table1[[#This Row],[Target_product_name]], "oz", " oz")</f>
        <v>Hillshire Farms Ultra Thin Oven Roasted Turkey Breast - 9 oz</v>
      </c>
      <c r="E550" t="str">
        <f t="shared" si="34"/>
        <v>9oz</v>
      </c>
      <c r="F550" t="str">
        <f>LEFT(Table1[[#This Row],[Target_product_quantity]], FIND("o", Table1[[#This Row],[Target_product_quantity]])-1)</f>
        <v>9</v>
      </c>
      <c r="G550" t="str" cm="1">
        <f t="array" ref="G550">_xlfn.TEXTJOIN("", TRUE, IF(ISNUMBER(SEARCH($K$1010:$K$1054, C550)), $K$1010:$K$1054, ""))</f>
        <v>Hillshire Farm</v>
      </c>
      <c r="H550" t="str">
        <f t="shared" si="32"/>
        <v>Protein</v>
      </c>
      <c r="I550" t="str">
        <f t="shared" si="33"/>
        <v>Protein</v>
      </c>
      <c r="J550">
        <v>4.49</v>
      </c>
      <c r="K550">
        <f>Table1[[#This Row],[Target_product_price]]/Table1[[#This Row],[product_price_per_oz]]</f>
        <v>0.49888888888888894</v>
      </c>
    </row>
    <row r="551" spans="1:11" x14ac:dyDescent="0.2">
      <c r="A551" t="s">
        <v>1553</v>
      </c>
      <c r="B551" t="s">
        <v>1554</v>
      </c>
      <c r="C551" t="s">
        <v>1555</v>
      </c>
      <c r="D551" t="str">
        <f>SUBSTITUTE(Table1[[#This Row],[Target_product_name]], "oz", " oz")</f>
        <v>Honey Nut Cheerios Family Size Cereal - 263.2 oz/14ct</v>
      </c>
      <c r="E551" t="s">
        <v>3031</v>
      </c>
      <c r="F551" t="str">
        <f>LEFT(Table1[[#This Row],[Target_product_quantity]], FIND("o", Table1[[#This Row],[Target_product_quantity]])-1)</f>
        <v>3684.8</v>
      </c>
      <c r="G551" t="str" cm="1">
        <f t="array" ref="G551">_xlfn.TEXTJOIN("", TRUE, IF(ISNUMBER(SEARCH($K$1010:$K$1054, C551)), $K$1010:$K$1054, ""))</f>
        <v>Cheerios</v>
      </c>
      <c r="H551" t="str">
        <f t="shared" si="32"/>
        <v>Prepared Food</v>
      </c>
      <c r="I551" t="str">
        <f t="shared" si="33"/>
        <v>Prepared Food</v>
      </c>
      <c r="J551">
        <v>69.989999999999995</v>
      </c>
      <c r="K551">
        <f>Table1[[#This Row],[Target_product_price]]/Table1[[#This Row],[product_price_per_oz]]</f>
        <v>1.8994246634824141E-2</v>
      </c>
    </row>
    <row r="552" spans="1:11" x14ac:dyDescent="0.2">
      <c r="A552" t="s">
        <v>1556</v>
      </c>
      <c r="C552" t="s">
        <v>1557</v>
      </c>
      <c r="D552" t="str">
        <f>SUBSTITUTE(Table1[[#This Row],[Target_product_name]], "oz", " oz")</f>
        <v>Horizon Organic 1% Chocolate Milk DHA Added - 6pk/8 fl  oz Boxes</v>
      </c>
      <c r="E552" t="s">
        <v>936</v>
      </c>
      <c r="F552" t="str">
        <f>LEFT(Table1[[#This Row],[Target_product_quantity]], FIND("o", Table1[[#This Row],[Target_product_quantity]])-1)</f>
        <v>48</v>
      </c>
      <c r="G552" t="str" cm="1">
        <f t="array" ref="G552">_xlfn.TEXTJOIN("", TRUE, IF(ISNUMBER(SEARCH($K$1010:$K$1054, C552)), $K$1010:$K$1054, ""))</f>
        <v>Horizon Organic</v>
      </c>
      <c r="H552" t="str">
        <f t="shared" si="32"/>
        <v>Milk</v>
      </c>
      <c r="I552" t="str">
        <f t="shared" si="33"/>
        <v>Dairy</v>
      </c>
      <c r="J552" s="4">
        <v>7.99</v>
      </c>
      <c r="K552">
        <f>Table1[[#This Row],[Target_product_price]]/Table1[[#This Row],[product_price_per_oz]]</f>
        <v>0.16645833333333335</v>
      </c>
    </row>
    <row r="553" spans="1:11" x14ac:dyDescent="0.2">
      <c r="A553" t="s">
        <v>1558</v>
      </c>
      <c r="B553" t="s">
        <v>1559</v>
      </c>
      <c r="C553" t="s">
        <v>1560</v>
      </c>
      <c r="D553" t="str">
        <f>SUBSTITUTE(Table1[[#This Row],[Target_product_name]], "oz", " oz")</f>
        <v>Horizon Organic 1% Lowfat High Vitamin D Milk - 0.5gal</v>
      </c>
      <c r="E553" t="s">
        <v>2002</v>
      </c>
      <c r="F553" t="str">
        <f>LEFT(Table1[[#This Row],[Target_product_quantity]], FIND("o", Table1[[#This Row],[Target_product_quantity]])-1)</f>
        <v>64</v>
      </c>
      <c r="G553" t="str" cm="1">
        <f t="array" ref="G553">_xlfn.TEXTJOIN("", TRUE, IF(ISNUMBER(SEARCH($K$1010:$K$1054, C553)), $K$1010:$K$1054, ""))</f>
        <v>Horizon Organic</v>
      </c>
      <c r="H553" t="str">
        <f t="shared" si="32"/>
        <v>Milk</v>
      </c>
      <c r="I553" t="str">
        <f t="shared" si="33"/>
        <v>Dairy</v>
      </c>
      <c r="J553" s="4">
        <v>5.99</v>
      </c>
      <c r="K553">
        <f>Table1[[#This Row],[Target_product_price]]/Table1[[#This Row],[product_price_per_oz]]</f>
        <v>9.3593750000000003E-2</v>
      </c>
    </row>
    <row r="554" spans="1:11" x14ac:dyDescent="0.2">
      <c r="A554" t="s">
        <v>1561</v>
      </c>
      <c r="B554" t="s">
        <v>1562</v>
      </c>
      <c r="C554" t="s">
        <v>1563</v>
      </c>
      <c r="D554" t="str">
        <f>SUBSTITUTE(Table1[[#This Row],[Target_product_name]], "oz", " oz")</f>
        <v>Horizon Organic 2% Reduced Fat DHA Omega-3 Milk - 0.5gal</v>
      </c>
      <c r="E554" t="s">
        <v>2002</v>
      </c>
      <c r="F554" t="str">
        <f>LEFT(Table1[[#This Row],[Target_product_quantity]], FIND("o", Table1[[#This Row],[Target_product_quantity]])-1)</f>
        <v>64</v>
      </c>
      <c r="G554" t="str" cm="1">
        <f t="array" ref="G554">_xlfn.TEXTJOIN("", TRUE, IF(ISNUMBER(SEARCH($K$1010:$K$1054, C554)), $K$1010:$K$1054, ""))</f>
        <v>Horizon Organic</v>
      </c>
      <c r="H554" t="str">
        <f t="shared" si="32"/>
        <v>Milk</v>
      </c>
      <c r="I554" t="str">
        <f t="shared" si="33"/>
        <v>Dairy</v>
      </c>
      <c r="J554" s="4">
        <v>5.99</v>
      </c>
      <c r="K554">
        <f>Table1[[#This Row],[Target_product_price]]/Table1[[#This Row],[product_price_per_oz]]</f>
        <v>9.3593750000000003E-2</v>
      </c>
    </row>
    <row r="555" spans="1:11" x14ac:dyDescent="0.2">
      <c r="A555" t="s">
        <v>1564</v>
      </c>
      <c r="B555" t="s">
        <v>1565</v>
      </c>
      <c r="C555" t="s">
        <v>1566</v>
      </c>
      <c r="D555" t="str">
        <f>SUBSTITUTE(Table1[[#This Row],[Target_product_name]], "oz", " oz")</f>
        <v>Horizon Organic 2% Reduced Fat High Vitamin D Milk - 1gal</v>
      </c>
      <c r="E555" t="s">
        <v>2045</v>
      </c>
      <c r="F555" t="str">
        <f>LEFT(Table1[[#This Row],[Target_product_quantity]], FIND("o", Table1[[#This Row],[Target_product_quantity]])-1)</f>
        <v>128</v>
      </c>
      <c r="G555" t="str" cm="1">
        <f t="array" ref="G555">_xlfn.TEXTJOIN("", TRUE, IF(ISNUMBER(SEARCH($K$1010:$K$1054, C555)), $K$1010:$K$1054, ""))</f>
        <v>Horizon Organic</v>
      </c>
      <c r="H555" t="str">
        <f t="shared" si="32"/>
        <v>Milk</v>
      </c>
      <c r="I555" t="str">
        <f t="shared" si="33"/>
        <v>Dairy</v>
      </c>
      <c r="J555" s="4">
        <v>9.2899999999999991</v>
      </c>
      <c r="K555">
        <f>Table1[[#This Row],[Target_product_price]]/Table1[[#This Row],[product_price_per_oz]]</f>
        <v>7.2578124999999993E-2</v>
      </c>
    </row>
    <row r="556" spans="1:11" x14ac:dyDescent="0.2">
      <c r="A556" t="s">
        <v>1567</v>
      </c>
      <c r="B556" t="s">
        <v>1568</v>
      </c>
      <c r="C556" t="s">
        <v>1569</v>
      </c>
      <c r="D556" t="str">
        <f>SUBSTITUTE(Table1[[#This Row],[Target_product_name]], "oz", " oz")</f>
        <v>Horizon Organic Growing Years 2% Milk with DHA Omega-3 - 0.5gal</v>
      </c>
      <c r="E556" t="s">
        <v>2002</v>
      </c>
      <c r="F556" t="str">
        <f>LEFT(Table1[[#This Row],[Target_product_quantity]], FIND("o", Table1[[#This Row],[Target_product_quantity]])-1)</f>
        <v>64</v>
      </c>
      <c r="G556" t="str" cm="1">
        <f t="array" ref="G556">_xlfn.TEXTJOIN("", TRUE, IF(ISNUMBER(SEARCH($K$1010:$K$1054, C556)), $K$1010:$K$1054, ""))</f>
        <v>Horizon Organic</v>
      </c>
      <c r="H556" t="str">
        <f t="shared" si="32"/>
        <v>Milk</v>
      </c>
      <c r="I556" t="str">
        <f t="shared" si="33"/>
        <v>Dairy</v>
      </c>
      <c r="J556" s="4">
        <v>6.99</v>
      </c>
      <c r="K556">
        <f>Table1[[#This Row],[Target_product_price]]/Table1[[#This Row],[product_price_per_oz]]</f>
        <v>0.10921875</v>
      </c>
    </row>
    <row r="557" spans="1:11" x14ac:dyDescent="0.2">
      <c r="A557" t="s">
        <v>1570</v>
      </c>
      <c r="B557" t="s">
        <v>1571</v>
      </c>
      <c r="C557" t="s">
        <v>1572</v>
      </c>
      <c r="D557" t="str">
        <f>SUBSTITUTE(Table1[[#This Row],[Target_product_name]], "oz", " oz")</f>
        <v>Horizon Organic Nonfat High Vitamin D Milk - 0.5gal</v>
      </c>
      <c r="E557" t="s">
        <v>2002</v>
      </c>
      <c r="F557" t="str">
        <f>LEFT(Table1[[#This Row],[Target_product_quantity]], FIND("o", Table1[[#This Row],[Target_product_quantity]])-1)</f>
        <v>64</v>
      </c>
      <c r="G557" t="str" cm="1">
        <f t="array" ref="G557">_xlfn.TEXTJOIN("", TRUE, IF(ISNUMBER(SEARCH($K$1010:$K$1054, C557)), $K$1010:$K$1054, ""))</f>
        <v>Horizon Organic</v>
      </c>
      <c r="H557" t="str">
        <f t="shared" si="32"/>
        <v>Milk</v>
      </c>
      <c r="I557" t="str">
        <f t="shared" si="33"/>
        <v>Dairy</v>
      </c>
      <c r="J557" s="4">
        <v>5.99</v>
      </c>
      <c r="K557">
        <f>Table1[[#This Row],[Target_product_price]]/Table1[[#This Row],[product_price_per_oz]]</f>
        <v>9.3593750000000003E-2</v>
      </c>
    </row>
    <row r="558" spans="1:11" x14ac:dyDescent="0.2">
      <c r="A558" t="s">
        <v>1570</v>
      </c>
      <c r="B558" t="s">
        <v>1571</v>
      </c>
      <c r="C558" t="s">
        <v>1572</v>
      </c>
      <c r="D558" t="str">
        <f>SUBSTITUTE(Table1[[#This Row],[Target_product_name]], "oz", " oz")</f>
        <v>Horizon Organic Nonfat High Vitamin D Milk - 0.5gal</v>
      </c>
      <c r="E558" t="s">
        <v>2002</v>
      </c>
      <c r="F558" t="str">
        <f>LEFT(Table1[[#This Row],[Target_product_quantity]], FIND("o", Table1[[#This Row],[Target_product_quantity]])-1)</f>
        <v>64</v>
      </c>
      <c r="G558" t="str" cm="1">
        <f t="array" ref="G558">_xlfn.TEXTJOIN("", TRUE, IF(ISNUMBER(SEARCH($K$1010:$K$1054, C558)), $K$1010:$K$1054, ""))</f>
        <v>Horizon Organic</v>
      </c>
      <c r="H558" t="str">
        <f t="shared" si="32"/>
        <v>Milk</v>
      </c>
      <c r="I558" t="str">
        <f t="shared" si="33"/>
        <v>Dairy</v>
      </c>
      <c r="J558" s="4">
        <v>5.99</v>
      </c>
      <c r="K558">
        <f>Table1[[#This Row],[Target_product_price]]/Table1[[#This Row],[product_price_per_oz]]</f>
        <v>9.3593750000000003E-2</v>
      </c>
    </row>
    <row r="559" spans="1:11" x14ac:dyDescent="0.2">
      <c r="A559" t="s">
        <v>1573</v>
      </c>
      <c r="B559" s="2" t="s">
        <v>1574</v>
      </c>
      <c r="C559" t="s">
        <v>1575</v>
      </c>
      <c r="D559" t="str">
        <f>SUBSTITUTE(Table1[[#This Row],[Target_product_name]], "oz", " oz")</f>
        <v>Horizon Organic Whole DHA Omega-3 Milk - 0.5gal</v>
      </c>
      <c r="E559" t="s">
        <v>2002</v>
      </c>
      <c r="F559" t="str">
        <f>LEFT(Table1[[#This Row],[Target_product_quantity]], FIND("o", Table1[[#This Row],[Target_product_quantity]])-1)</f>
        <v>64</v>
      </c>
      <c r="G559" t="str" cm="1">
        <f t="array" ref="G559">_xlfn.TEXTJOIN("", TRUE, IF(ISNUMBER(SEARCH($K$1010:$K$1054, C559)), $K$1010:$K$1054, ""))</f>
        <v>Horizon Organic</v>
      </c>
      <c r="H559" t="str">
        <f t="shared" si="32"/>
        <v>Milk</v>
      </c>
      <c r="I559" t="str">
        <f t="shared" si="33"/>
        <v>Dairy</v>
      </c>
      <c r="J559" s="4">
        <v>5.99</v>
      </c>
      <c r="K559">
        <f>Table1[[#This Row],[Target_product_price]]/Table1[[#This Row],[product_price_per_oz]]</f>
        <v>9.3593750000000003E-2</v>
      </c>
    </row>
    <row r="560" spans="1:11" x14ac:dyDescent="0.2">
      <c r="A560" t="s">
        <v>1576</v>
      </c>
      <c r="B560" t="s">
        <v>1577</v>
      </c>
      <c r="C560" t="s">
        <v>1578</v>
      </c>
      <c r="D560" t="str">
        <f>SUBSTITUTE(Table1[[#This Row],[Target_product_name]], "oz", " oz")</f>
        <v>Horizon Organic Whole Grassfed Milk - 59 fl  oz</v>
      </c>
      <c r="E560" t="s">
        <v>1076</v>
      </c>
      <c r="F560" t="str">
        <f>LEFT(Table1[[#This Row],[Target_product_quantity]], FIND("o", Table1[[#This Row],[Target_product_quantity]])-1)</f>
        <v>59</v>
      </c>
      <c r="G560" t="str" cm="1">
        <f t="array" ref="G560">_xlfn.TEXTJOIN("", TRUE, IF(ISNUMBER(SEARCH($K$1010:$K$1054, C560)), $K$1010:$K$1054, ""))</f>
        <v>Horizon Organic</v>
      </c>
      <c r="H560" t="str">
        <f t="shared" si="32"/>
        <v>Milk</v>
      </c>
      <c r="I560" t="str">
        <f t="shared" si="33"/>
        <v>Dairy</v>
      </c>
      <c r="J560" s="4">
        <v>6.99</v>
      </c>
      <c r="K560">
        <f>Table1[[#This Row],[Target_product_price]]/Table1[[#This Row],[product_price_per_oz]]</f>
        <v>0.11847457627118645</v>
      </c>
    </row>
    <row r="561" spans="1:11" x14ac:dyDescent="0.2">
      <c r="A561" t="s">
        <v>1576</v>
      </c>
      <c r="C561" t="s">
        <v>1578</v>
      </c>
      <c r="D561" t="str">
        <f>SUBSTITUTE(Table1[[#This Row],[Target_product_name]], "oz", " oz")</f>
        <v>Horizon Organic Whole Grassfed Milk - 59 fl  oz</v>
      </c>
      <c r="E561" t="s">
        <v>1076</v>
      </c>
      <c r="F561" t="str">
        <f>LEFT(Table1[[#This Row],[Target_product_quantity]], FIND("o", Table1[[#This Row],[Target_product_quantity]])-1)</f>
        <v>59</v>
      </c>
      <c r="G561" t="str" cm="1">
        <f t="array" ref="G561">_xlfn.TEXTJOIN("", TRUE, IF(ISNUMBER(SEARCH($K$1010:$K$1054, C561)), $K$1010:$K$1054, ""))</f>
        <v>Horizon Organic</v>
      </c>
      <c r="H561" t="str">
        <f t="shared" si="32"/>
        <v>Milk</v>
      </c>
      <c r="I561" t="str">
        <f t="shared" si="33"/>
        <v>Dairy</v>
      </c>
      <c r="J561" s="4">
        <v>6.99</v>
      </c>
      <c r="K561">
        <f>Table1[[#This Row],[Target_product_price]]/Table1[[#This Row],[product_price_per_oz]]</f>
        <v>0.11847457627118645</v>
      </c>
    </row>
    <row r="562" spans="1:11" x14ac:dyDescent="0.2">
      <c r="A562" t="s">
        <v>1579</v>
      </c>
      <c r="B562" t="s">
        <v>1580</v>
      </c>
      <c r="C562" t="s">
        <v>1581</v>
      </c>
      <c r="D562" t="str">
        <f>SUBSTITUTE(Table1[[#This Row],[Target_product_name]], "oz", " oz")</f>
        <v>Horizon Organic Whole High Vitamin D Milk - 0.5gal</v>
      </c>
      <c r="E562" t="s">
        <v>2002</v>
      </c>
      <c r="F562" t="str">
        <f>LEFT(Table1[[#This Row],[Target_product_quantity]], FIND("o", Table1[[#This Row],[Target_product_quantity]])-1)</f>
        <v>64</v>
      </c>
      <c r="G562" t="str" cm="1">
        <f t="array" ref="G562">_xlfn.TEXTJOIN("", TRUE, IF(ISNUMBER(SEARCH($K$1010:$K$1054, C562)), $K$1010:$K$1054, ""))</f>
        <v>Horizon Organic</v>
      </c>
      <c r="H562" t="str">
        <f t="shared" si="32"/>
        <v>Milk</v>
      </c>
      <c r="I562" t="str">
        <f t="shared" si="33"/>
        <v>Dairy</v>
      </c>
      <c r="J562" s="4">
        <v>5.99</v>
      </c>
      <c r="K562">
        <f>Table1[[#This Row],[Target_product_price]]/Table1[[#This Row],[product_price_per_oz]]</f>
        <v>9.3593750000000003E-2</v>
      </c>
    </row>
    <row r="563" spans="1:11" x14ac:dyDescent="0.2">
      <c r="A563" t="s">
        <v>1582</v>
      </c>
      <c r="B563" t="s">
        <v>1583</v>
      </c>
      <c r="C563" t="s">
        <v>1584</v>
      </c>
      <c r="D563" t="str">
        <f>SUBSTITUTE(Table1[[#This Row],[Target_product_name]], "oz", " oz")</f>
        <v>Horizon Organic Whole High Vitamin D Milk - 1gal</v>
      </c>
      <c r="E563" t="s">
        <v>2045</v>
      </c>
      <c r="F563" t="str">
        <f>LEFT(Table1[[#This Row],[Target_product_quantity]], FIND("o", Table1[[#This Row],[Target_product_quantity]])-1)</f>
        <v>128</v>
      </c>
      <c r="G563" t="str" cm="1">
        <f t="array" ref="G563">_xlfn.TEXTJOIN("", TRUE, IF(ISNUMBER(SEARCH($K$1010:$K$1054, C563)), $K$1010:$K$1054, ""))</f>
        <v>Horizon Organic</v>
      </c>
      <c r="H563" t="str">
        <f t="shared" si="32"/>
        <v>Milk</v>
      </c>
      <c r="I563" t="str">
        <f t="shared" si="33"/>
        <v>Dairy</v>
      </c>
      <c r="J563" s="4">
        <v>9.2899999999999991</v>
      </c>
      <c r="K563">
        <f>Table1[[#This Row],[Target_product_price]]/Table1[[#This Row],[product_price_per_oz]]</f>
        <v>7.2578124999999993E-2</v>
      </c>
    </row>
    <row r="564" spans="1:11" x14ac:dyDescent="0.2">
      <c r="A564" t="s">
        <v>1585</v>
      </c>
      <c r="B564" t="s">
        <v>1586</v>
      </c>
      <c r="C564" t="s">
        <v>1587</v>
      </c>
      <c r="D564" t="str">
        <f>SUBSTITUTE(Table1[[#This Row],[Target_product_name]], "oz", " oz")</f>
        <v>Horizon Organic Whole Lactose Free Milk - 0.5gal</v>
      </c>
      <c r="E564" t="s">
        <v>2002</v>
      </c>
      <c r="F564" t="str">
        <f>LEFT(Table1[[#This Row],[Target_product_quantity]], FIND("o", Table1[[#This Row],[Target_product_quantity]])-1)</f>
        <v>64</v>
      </c>
      <c r="G564" t="str" cm="1">
        <f t="array" ref="G564">_xlfn.TEXTJOIN("", TRUE, IF(ISNUMBER(SEARCH($K$1010:$K$1054, C564)), $K$1010:$K$1054, ""))</f>
        <v>Horizon Organic</v>
      </c>
      <c r="H564" t="str">
        <f t="shared" si="32"/>
        <v>Milk</v>
      </c>
      <c r="I564" t="str">
        <f t="shared" si="33"/>
        <v>Dairy</v>
      </c>
      <c r="J564" s="4">
        <v>5.89</v>
      </c>
      <c r="K564">
        <f>Table1[[#This Row],[Target_product_price]]/Table1[[#This Row],[product_price_per_oz]]</f>
        <v>9.2031249999999995E-2</v>
      </c>
    </row>
    <row r="565" spans="1:11" x14ac:dyDescent="0.2">
      <c r="A565" t="s">
        <v>1588</v>
      </c>
      <c r="B565" t="s">
        <v>1589</v>
      </c>
      <c r="C565" t="s">
        <v>1590</v>
      </c>
      <c r="D565" t="str">
        <f>SUBSTITUTE(Table1[[#This Row],[Target_product_name]], "oz", " oz")</f>
        <v>Horizon Organic Whole Milk - 6pk/8 fl  oz Boxes</v>
      </c>
      <c r="E565" t="s">
        <v>936</v>
      </c>
      <c r="F565" t="str">
        <f>LEFT(Table1[[#This Row],[Target_product_quantity]], FIND("o", Table1[[#This Row],[Target_product_quantity]])-1)</f>
        <v>48</v>
      </c>
      <c r="G565" t="str" cm="1">
        <f t="array" ref="G565">_xlfn.TEXTJOIN("", TRUE, IF(ISNUMBER(SEARCH($K$1010:$K$1054, C565)), $K$1010:$K$1054, ""))</f>
        <v>Horizon Organic</v>
      </c>
      <c r="H565" t="str">
        <f t="shared" si="32"/>
        <v>Milk</v>
      </c>
      <c r="I565" t="str">
        <f t="shared" si="33"/>
        <v>Dairy</v>
      </c>
      <c r="J565" s="4">
        <v>7.99</v>
      </c>
      <c r="K565">
        <f>Table1[[#This Row],[Target_product_price]]/Table1[[#This Row],[product_price_per_oz]]</f>
        <v>0.16645833333333335</v>
      </c>
    </row>
    <row r="566" spans="1:11" x14ac:dyDescent="0.2">
      <c r="A566" t="s">
        <v>1591</v>
      </c>
      <c r="B566" t="s">
        <v>1592</v>
      </c>
      <c r="C566" t="s">
        <v>1593</v>
      </c>
      <c r="D566" t="str">
        <f>SUBSTITUTE(Table1[[#This Row],[Target_product_name]], "oz", " oz")</f>
        <v>Hunt's 100% Natural Basil, Garlic &amp; Oregano Diced Tomatoes - 14.5 oz</v>
      </c>
      <c r="E566" t="str">
        <f t="shared" si="34"/>
        <v>14.5oz</v>
      </c>
      <c r="F566" t="str">
        <f>LEFT(Table1[[#This Row],[Target_product_quantity]], FIND("o", Table1[[#This Row],[Target_product_quantity]])-1)</f>
        <v>14.5</v>
      </c>
      <c r="G566" t="str" cm="1">
        <f t="array" ref="G566">_xlfn.TEXTJOIN("", TRUE, IF(ISNUMBER(SEARCH($K$1010:$K$1054, C566)), $K$1010:$K$1054, ""))</f>
        <v>Hunt's</v>
      </c>
      <c r="H566" t="str">
        <f t="shared" si="32"/>
        <v>Canned Vegetables</v>
      </c>
      <c r="I566" t="str">
        <f t="shared" si="33"/>
        <v>Fruit &amp; Vegetables</v>
      </c>
      <c r="J566" s="4">
        <v>1.49</v>
      </c>
      <c r="K566">
        <f>Table1[[#This Row],[Target_product_price]]/Table1[[#This Row],[product_price_per_oz]]</f>
        <v>0.10275862068965518</v>
      </c>
    </row>
    <row r="567" spans="1:11" x14ac:dyDescent="0.2">
      <c r="A567" t="s">
        <v>1594</v>
      </c>
      <c r="B567" t="s">
        <v>1595</v>
      </c>
      <c r="C567" t="s">
        <v>1596</v>
      </c>
      <c r="D567" t="str">
        <f>SUBSTITUTE(Table1[[#This Row],[Target_product_name]], "oz", " oz")</f>
        <v>Hunt's 100% Natural Fire Roasted Diced Garlic Tomatoes - 14.5 oz</v>
      </c>
      <c r="E567" t="str">
        <f t="shared" si="34"/>
        <v>14.5oz</v>
      </c>
      <c r="F567" t="str">
        <f>LEFT(Table1[[#This Row],[Target_product_quantity]], FIND("o", Table1[[#This Row],[Target_product_quantity]])-1)</f>
        <v>14.5</v>
      </c>
      <c r="G567" t="str" cm="1">
        <f t="array" ref="G567">_xlfn.TEXTJOIN("", TRUE, IF(ISNUMBER(SEARCH($K$1010:$K$1054, C567)), $K$1010:$K$1054, ""))</f>
        <v>Hunt's</v>
      </c>
      <c r="H567" t="str">
        <f t="shared" si="32"/>
        <v>Canned Vegetables</v>
      </c>
      <c r="I567" t="str">
        <f t="shared" si="33"/>
        <v>Fruit &amp; Vegetables</v>
      </c>
      <c r="J567" s="4">
        <v>1.49</v>
      </c>
      <c r="K567">
        <f>Table1[[#This Row],[Target_product_price]]/Table1[[#This Row],[product_price_per_oz]]</f>
        <v>0.10275862068965518</v>
      </c>
    </row>
    <row r="568" spans="1:11" x14ac:dyDescent="0.2">
      <c r="A568" t="s">
        <v>1597</v>
      </c>
      <c r="B568" t="s">
        <v>1598</v>
      </c>
      <c r="C568" t="s">
        <v>1599</v>
      </c>
      <c r="D568" t="str">
        <f>SUBSTITUTE(Table1[[#This Row],[Target_product_name]], "oz", " oz")</f>
        <v>Hunt's 100% Natural Fire Roasted Diced Tomatoes - 14.5 oz</v>
      </c>
      <c r="E568" t="str">
        <f t="shared" si="34"/>
        <v>14.5oz</v>
      </c>
      <c r="F568" t="str">
        <f>LEFT(Table1[[#This Row],[Target_product_quantity]], FIND("o", Table1[[#This Row],[Target_product_quantity]])-1)</f>
        <v>14.5</v>
      </c>
      <c r="G568" t="str" cm="1">
        <f t="array" ref="G568">_xlfn.TEXTJOIN("", TRUE, IF(ISNUMBER(SEARCH($K$1010:$K$1054, C568)), $K$1010:$K$1054, ""))</f>
        <v>Hunt's</v>
      </c>
      <c r="H568" t="str">
        <f t="shared" si="32"/>
        <v>Canned Vegetables</v>
      </c>
      <c r="I568" t="str">
        <f t="shared" si="33"/>
        <v>Fruit &amp; Vegetables</v>
      </c>
      <c r="J568" s="4">
        <v>1.49</v>
      </c>
      <c r="K568">
        <f>Table1[[#This Row],[Target_product_price]]/Table1[[#This Row],[product_price_per_oz]]</f>
        <v>0.10275862068965518</v>
      </c>
    </row>
    <row r="569" spans="1:11" x14ac:dyDescent="0.2">
      <c r="A569" t="s">
        <v>1600</v>
      </c>
      <c r="B569" t="s">
        <v>1601</v>
      </c>
      <c r="C569" t="s">
        <v>1602</v>
      </c>
      <c r="D569" t="str">
        <f>SUBSTITUTE(Table1[[#This Row],[Target_product_name]], "oz", " oz")</f>
        <v>Hunt's 100% Natural Stewed Tomatoes - 14.5 oz</v>
      </c>
      <c r="E569" t="str">
        <f t="shared" si="34"/>
        <v>14.5oz</v>
      </c>
      <c r="F569" t="str">
        <f>LEFT(Table1[[#This Row],[Target_product_quantity]], FIND("o", Table1[[#This Row],[Target_product_quantity]])-1)</f>
        <v>14.5</v>
      </c>
      <c r="G569" t="str" cm="1">
        <f t="array" ref="G569">_xlfn.TEXTJOIN("", TRUE, IF(ISNUMBER(SEARCH($K$1010:$K$1054, C569)), $K$1010:$K$1054, ""))</f>
        <v>Hunt's</v>
      </c>
      <c r="H569" t="str">
        <f t="shared" si="32"/>
        <v>Canned Vegetables</v>
      </c>
      <c r="I569" t="str">
        <f t="shared" si="33"/>
        <v>Fruit &amp; Vegetables</v>
      </c>
      <c r="J569" s="4">
        <v>1.49</v>
      </c>
      <c r="K569">
        <f>Table1[[#This Row],[Target_product_price]]/Table1[[#This Row],[product_price_per_oz]]</f>
        <v>0.10275862068965518</v>
      </c>
    </row>
    <row r="570" spans="1:11" x14ac:dyDescent="0.2">
      <c r="A570" t="s">
        <v>1603</v>
      </c>
      <c r="B570" t="s">
        <v>1604</v>
      </c>
      <c r="C570" t="s">
        <v>1605</v>
      </c>
      <c r="D570" t="str">
        <f>SUBSTITUTE(Table1[[#This Row],[Target_product_name]], "oz", " oz")</f>
        <v>Hunt's 100% Natural Tomato Paste - 6 oz</v>
      </c>
      <c r="E570" t="str">
        <f t="shared" si="34"/>
        <v>6oz</v>
      </c>
      <c r="F570" t="str">
        <f>LEFT(Table1[[#This Row],[Target_product_quantity]], FIND("o", Table1[[#This Row],[Target_product_quantity]])-1)</f>
        <v>6</v>
      </c>
      <c r="G570" t="str" cm="1">
        <f t="array" ref="G570">_xlfn.TEXTJOIN("", TRUE, IF(ISNUMBER(SEARCH($K$1010:$K$1054, C570)), $K$1010:$K$1054, ""))</f>
        <v>Hunt's</v>
      </c>
      <c r="H570" t="str">
        <f t="shared" si="32"/>
        <v>Canned Vegetables</v>
      </c>
      <c r="I570" t="str">
        <f t="shared" si="33"/>
        <v>Fruit &amp; Vegetables</v>
      </c>
      <c r="J570" s="4">
        <v>1.29</v>
      </c>
      <c r="K570">
        <f>Table1[[#This Row],[Target_product_price]]/Table1[[#This Row],[product_price_per_oz]]</f>
        <v>0.215</v>
      </c>
    </row>
    <row r="571" spans="1:11" x14ac:dyDescent="0.2">
      <c r="A571" t="s">
        <v>1606</v>
      </c>
      <c r="B571" t="s">
        <v>1607</v>
      </c>
      <c r="C571" t="s">
        <v>1608</v>
      </c>
      <c r="D571" t="str">
        <f>SUBSTITUTE(Table1[[#This Row],[Target_product_name]], "oz", " oz")</f>
        <v>Hunt's 100% Natural Tomato Sauce - 15 oz</v>
      </c>
      <c r="E571" t="str">
        <f t="shared" si="34"/>
        <v>15oz</v>
      </c>
      <c r="F571" t="str">
        <f>LEFT(Table1[[#This Row],[Target_product_quantity]], FIND("o", Table1[[#This Row],[Target_product_quantity]])-1)</f>
        <v>15</v>
      </c>
      <c r="G571" t="str" cm="1">
        <f t="array" ref="G571">_xlfn.TEXTJOIN("", TRUE, IF(ISNUMBER(SEARCH($K$1010:$K$1054, C571)), $K$1010:$K$1054, ""))</f>
        <v>Hunt's</v>
      </c>
      <c r="H571" t="str">
        <f t="shared" si="32"/>
        <v>Canned Vegetables</v>
      </c>
      <c r="I571" t="str">
        <f t="shared" si="33"/>
        <v>Fruit &amp; Vegetables</v>
      </c>
      <c r="J571" s="4">
        <v>1.49</v>
      </c>
      <c r="K571">
        <f>Table1[[#This Row],[Target_product_price]]/Table1[[#This Row],[product_price_per_oz]]</f>
        <v>9.9333333333333329E-2</v>
      </c>
    </row>
    <row r="572" spans="1:11" x14ac:dyDescent="0.2">
      <c r="A572" t="s">
        <v>1609</v>
      </c>
      <c r="B572" t="s">
        <v>1610</v>
      </c>
      <c r="C572" t="s">
        <v>1611</v>
      </c>
      <c r="D572" t="str">
        <f>SUBSTITUTE(Table1[[#This Row],[Target_product_name]], "oz", " oz")</f>
        <v>Hunt's 100% Natural Tomato Sauce - 29 oz</v>
      </c>
      <c r="E572" t="str">
        <f t="shared" si="34"/>
        <v>29oz</v>
      </c>
      <c r="F572" t="str">
        <f>LEFT(Table1[[#This Row],[Target_product_quantity]], FIND("o", Table1[[#This Row],[Target_product_quantity]])-1)</f>
        <v>29</v>
      </c>
      <c r="G572" t="str" cm="1">
        <f t="array" ref="G572">_xlfn.TEXTJOIN("", TRUE, IF(ISNUMBER(SEARCH($K$1010:$K$1054, C572)), $K$1010:$K$1054, ""))</f>
        <v>Hunt's</v>
      </c>
      <c r="H572" t="str">
        <f t="shared" si="32"/>
        <v>Canned Vegetables</v>
      </c>
      <c r="I572" t="str">
        <f t="shared" si="33"/>
        <v>Fruit &amp; Vegetables</v>
      </c>
      <c r="J572" s="4">
        <v>2.19</v>
      </c>
      <c r="K572">
        <f>Table1[[#This Row],[Target_product_price]]/Table1[[#This Row],[product_price_per_oz]]</f>
        <v>7.5517241379310346E-2</v>
      </c>
    </row>
    <row r="573" spans="1:11" x14ac:dyDescent="0.2">
      <c r="A573" t="s">
        <v>1612</v>
      </c>
      <c r="B573" t="s">
        <v>1613</v>
      </c>
      <c r="C573" t="s">
        <v>1614</v>
      </c>
      <c r="D573" t="str">
        <f>SUBSTITUTE(Table1[[#This Row],[Target_product_name]], "oz", " oz")</f>
        <v>Hunt's 100% Natural Tomato Sauce - 8 oz</v>
      </c>
      <c r="E573" t="str">
        <f t="shared" si="34"/>
        <v>8oz</v>
      </c>
      <c r="F573" t="str">
        <f>LEFT(Table1[[#This Row],[Target_product_quantity]], FIND("o", Table1[[#This Row],[Target_product_quantity]])-1)</f>
        <v>8</v>
      </c>
      <c r="G573" t="str" cm="1">
        <f t="array" ref="G573">_xlfn.TEXTJOIN("", TRUE, IF(ISNUMBER(SEARCH($K$1010:$K$1054, C573)), $K$1010:$K$1054, ""))</f>
        <v>Hunt's</v>
      </c>
      <c r="H573" t="str">
        <f t="shared" si="32"/>
        <v>Canned Vegetables</v>
      </c>
      <c r="I573" t="str">
        <f t="shared" si="33"/>
        <v>Fruit &amp; Vegetables</v>
      </c>
      <c r="J573" s="4">
        <v>0.89</v>
      </c>
      <c r="K573">
        <f>Table1[[#This Row],[Target_product_price]]/Table1[[#This Row],[product_price_per_oz]]</f>
        <v>0.11125</v>
      </c>
    </row>
    <row r="574" spans="1:11" x14ac:dyDescent="0.2">
      <c r="A574" t="s">
        <v>1615</v>
      </c>
      <c r="B574" t="s">
        <v>1616</v>
      </c>
      <c r="C574" t="s">
        <v>1617</v>
      </c>
      <c r="D574" t="str">
        <f>SUBSTITUTE(Table1[[#This Row],[Target_product_name]], "oz", " oz")</f>
        <v>Java Chip Oreo Cookies Family Size - 17 oz</v>
      </c>
      <c r="E574" t="str">
        <f t="shared" si="34"/>
        <v>17oz</v>
      </c>
      <c r="F574" t="str">
        <f>LEFT(Table1[[#This Row],[Target_product_quantity]], FIND("o", Table1[[#This Row],[Target_product_quantity]])-1)</f>
        <v>17</v>
      </c>
      <c r="G574" t="str" cm="1">
        <f t="array" ref="G574">_xlfn.TEXTJOIN("", TRUE, IF(ISNUMBER(SEARCH($K$1010:$K$1054, C574)), $K$1010:$K$1054, ""))</f>
        <v>Oreo</v>
      </c>
      <c r="H574" t="str">
        <f t="shared" si="32"/>
        <v>Prepared Food</v>
      </c>
      <c r="I574" t="str">
        <f t="shared" si="33"/>
        <v>Prepared Food</v>
      </c>
      <c r="J574">
        <v>5.29</v>
      </c>
      <c r="K574">
        <f>Table1[[#This Row],[Target_product_price]]/Table1[[#This Row],[product_price_per_oz]]</f>
        <v>0.31117647058823528</v>
      </c>
    </row>
    <row r="575" spans="1:11" x14ac:dyDescent="0.2">
      <c r="A575" t="s">
        <v>1618</v>
      </c>
      <c r="B575" t="s">
        <v>1619</v>
      </c>
      <c r="C575" t="s">
        <v>1620</v>
      </c>
      <c r="D575" t="str">
        <f>SUBSTITUTE(Table1[[#This Row],[Target_product_name]], "oz", " oz")</f>
        <v>Jif 36 Pack Creamy To Go Peanut Butter Dipping Cups - 1.5 oz Each Cup</v>
      </c>
      <c r="E575" t="s">
        <v>3032</v>
      </c>
      <c r="F575" t="str">
        <f>LEFT(Table1[[#This Row],[Target_product_quantity]], FIND("o", Table1[[#This Row],[Target_product_quantity]])-1)</f>
        <v>54</v>
      </c>
      <c r="G575" t="str" cm="1">
        <f t="array" ref="G575">_xlfn.TEXTJOIN("", TRUE, IF(ISNUMBER(SEARCH($K$1010:$K$1054, C575)), $K$1010:$K$1054, ""))</f>
        <v>Jif</v>
      </c>
      <c r="H575" t="str">
        <f t="shared" si="32"/>
        <v>Prepared Food</v>
      </c>
      <c r="I575" t="str">
        <f t="shared" si="33"/>
        <v>Prepared Food</v>
      </c>
      <c r="J575" s="4">
        <v>32.99</v>
      </c>
      <c r="K575">
        <f>Table1[[#This Row],[Target_product_price]]/Table1[[#This Row],[product_price_per_oz]]</f>
        <v>0.61092592592592598</v>
      </c>
    </row>
    <row r="576" spans="1:11" x14ac:dyDescent="0.2">
      <c r="A576" t="s">
        <v>1621</v>
      </c>
      <c r="B576" t="s">
        <v>1622</v>
      </c>
      <c r="C576" t="s">
        <v>1623</v>
      </c>
      <c r="D576" t="str">
        <f>SUBSTITUTE(Table1[[#This Row],[Target_product_name]], "oz", " oz")</f>
        <v>Jif Creamy Peanut Butter - 16 oz</v>
      </c>
      <c r="E576" t="str">
        <f t="shared" si="34"/>
        <v>16oz</v>
      </c>
      <c r="F576" t="str">
        <f>LEFT(Table1[[#This Row],[Target_product_quantity]], FIND("o", Table1[[#This Row],[Target_product_quantity]])-1)</f>
        <v>16</v>
      </c>
      <c r="G576" t="str" cm="1">
        <f t="array" ref="G576">_xlfn.TEXTJOIN("", TRUE, IF(ISNUMBER(SEARCH($K$1010:$K$1054, C576)), $K$1010:$K$1054, ""))</f>
        <v>Jif</v>
      </c>
      <c r="H576" t="str">
        <f t="shared" si="32"/>
        <v>Prepared Food</v>
      </c>
      <c r="I576" t="str">
        <f t="shared" si="33"/>
        <v>Prepared Food</v>
      </c>
      <c r="J576" s="4">
        <v>3.29</v>
      </c>
      <c r="K576">
        <f>Table1[[#This Row],[Target_product_price]]/Table1[[#This Row],[product_price_per_oz]]</f>
        <v>0.205625</v>
      </c>
    </row>
    <row r="577" spans="1:11" x14ac:dyDescent="0.2">
      <c r="A577" t="s">
        <v>1624</v>
      </c>
      <c r="B577" t="s">
        <v>1625</v>
      </c>
      <c r="C577" t="s">
        <v>1626</v>
      </c>
      <c r="D577" t="str">
        <f>SUBSTITUTE(Table1[[#This Row],[Target_product_name]], "oz", " oz")</f>
        <v>Jif Creamy Peanut Butter - 40 oz</v>
      </c>
      <c r="E577" t="str">
        <f t="shared" si="34"/>
        <v>40oz</v>
      </c>
      <c r="F577" t="str">
        <f>LEFT(Table1[[#This Row],[Target_product_quantity]], FIND("o", Table1[[#This Row],[Target_product_quantity]])-1)</f>
        <v>40</v>
      </c>
      <c r="G577" t="str" cm="1">
        <f t="array" ref="G577">_xlfn.TEXTJOIN("", TRUE, IF(ISNUMBER(SEARCH($K$1010:$K$1054, C577)), $K$1010:$K$1054, ""))</f>
        <v>Jif</v>
      </c>
      <c r="H577" t="str">
        <f t="shared" si="32"/>
        <v>Prepared Food</v>
      </c>
      <c r="I577" t="str">
        <f t="shared" si="33"/>
        <v>Prepared Food</v>
      </c>
      <c r="J577" s="4">
        <v>7.39</v>
      </c>
      <c r="K577">
        <f>Table1[[#This Row],[Target_product_price]]/Table1[[#This Row],[product_price_per_oz]]</f>
        <v>0.18475</v>
      </c>
    </row>
    <row r="578" spans="1:11" x14ac:dyDescent="0.2">
      <c r="A578" t="s">
        <v>1627</v>
      </c>
      <c r="B578" t="s">
        <v>1628</v>
      </c>
      <c r="C578" t="s">
        <v>1629</v>
      </c>
      <c r="D578" t="str">
        <f>SUBSTITUTE(Table1[[#This Row],[Target_product_name]], "oz", " oz")</f>
        <v>Jif Creamy Peanut Butter Twin Pack - 80 oz</v>
      </c>
      <c r="E578" t="str">
        <f t="shared" si="34"/>
        <v>80oz</v>
      </c>
      <c r="F578" t="str">
        <f>LEFT(Table1[[#This Row],[Target_product_quantity]], FIND("o", Table1[[#This Row],[Target_product_quantity]])-1)</f>
        <v>80</v>
      </c>
      <c r="G578" t="str" cm="1">
        <f t="array" ref="G578">_xlfn.TEXTJOIN("", TRUE, IF(ISNUMBER(SEARCH($K$1010:$K$1054, C578)), $K$1010:$K$1054, ""))</f>
        <v>Jif</v>
      </c>
      <c r="H578" t="str">
        <f t="shared" ref="H578:H641" si="35">IF(OR(G578="Mission",G578="Nature's Own",G578="Sara Lee"),"Bread",
IF(OR(G578="Del Monte",G578="Dole",G578="Mott's"),"Canned Fruit",
IF(OR(G578="Goya",G578="Hunt's",G578="Birds Eye"),"Canned Vegetables",
IF(OR(G578="Fairlife",G578="Horizon Organic",G578="Lactaid",G578="Ben &amp; Jerry's"),"Milk",
IF(OR(G578="BelGioioso",G578="Kraft",G578="Philadelphia"),"Cheese",
IF(OR(G578="Chobani",G578="Oikos",G578="Light + Fit"),"Yogurt",
IF(OR(G578="Barilla",G578="Annie's",G578="Rao's Homemade"),"Pasta",
IF(OR(G578="Hershey's",G578="Lay's",G578="Totino's",G578="Cheerios",G578="Jif",G578="Skippy",G578="Nature Valley",G578="Oreo",G578="DiGiorno",G578="Eggo"),"Prepared Food",
IF(OR(G578="Ben's Original",G578="Lundberg",G578="Quaker"),"Rice",
IF(OR(G578="Bush's",G578="Hillshire Farm",G578="Oscar Mayer",G578="SPAM"),"Protein",
IF(OR(G578="Starbucks",G578="Sparkling Ice",G578="Coca-Cola",G578="San Pellegrino",G578="Gatorade",G578="Arizona"),"Beverages",
"Other")))))))))))</f>
        <v>Prepared Food</v>
      </c>
      <c r="I578" t="str">
        <f t="shared" ref="I578:I641" si="36">IF(OR(H578="Bread",H578="Rice",H578="Pasta"), "Grain",
IF(OR(H578="Milk",H578="Cheese",H578="Yogurt"), "Dairy",
IF(OR(H578="Canned Fruit",H578="Canned Vegetables"), "Fruit &amp; Vegetables",
IF(H578="Prepared Food", "Prepared Food",
IF(H578="Protein", "Protein",
IF(H578="Beverages", "Beverages",
"Other"))))))</f>
        <v>Prepared Food</v>
      </c>
      <c r="J578" s="4">
        <v>13.89</v>
      </c>
      <c r="K578">
        <f>Table1[[#This Row],[Target_product_price]]/Table1[[#This Row],[product_price_per_oz]]</f>
        <v>0.173625</v>
      </c>
    </row>
    <row r="579" spans="1:11" x14ac:dyDescent="0.2">
      <c r="A579" t="s">
        <v>1630</v>
      </c>
      <c r="B579" t="s">
        <v>1631</v>
      </c>
      <c r="C579" t="s">
        <v>1632</v>
      </c>
      <c r="D579" t="str">
        <f>SUBSTITUTE(Table1[[#This Row],[Target_product_name]], "oz", " oz")</f>
        <v>Jif Extra Crunchy Peanut Butter - 16 oz</v>
      </c>
      <c r="E579" t="str">
        <f t="shared" si="34"/>
        <v>16oz</v>
      </c>
      <c r="F579" t="str">
        <f>LEFT(Table1[[#This Row],[Target_product_quantity]], FIND("o", Table1[[#This Row],[Target_product_quantity]])-1)</f>
        <v>16</v>
      </c>
      <c r="G579" t="str" cm="1">
        <f t="array" ref="G579">_xlfn.TEXTJOIN("", TRUE, IF(ISNUMBER(SEARCH($K$1010:$K$1054, C579)), $K$1010:$K$1054, ""))</f>
        <v>Jif</v>
      </c>
      <c r="H579" t="str">
        <f t="shared" si="35"/>
        <v>Prepared Food</v>
      </c>
      <c r="I579" t="str">
        <f t="shared" si="36"/>
        <v>Prepared Food</v>
      </c>
      <c r="J579" s="4">
        <v>3.29</v>
      </c>
      <c r="K579">
        <f>Table1[[#This Row],[Target_product_price]]/Table1[[#This Row],[product_price_per_oz]]</f>
        <v>0.205625</v>
      </c>
    </row>
    <row r="580" spans="1:11" x14ac:dyDescent="0.2">
      <c r="A580" t="s">
        <v>1633</v>
      </c>
      <c r="B580" t="s">
        <v>1634</v>
      </c>
      <c r="C580" t="s">
        <v>1635</v>
      </c>
      <c r="D580" t="str">
        <f>SUBSTITUTE(Table1[[#This Row],[Target_product_name]], "oz", " oz")</f>
        <v>Jif Extra Crunchy Peanut Butter - 40 oz</v>
      </c>
      <c r="E580" t="str">
        <f t="shared" si="34"/>
        <v>40oz</v>
      </c>
      <c r="F580" t="str">
        <f>LEFT(Table1[[#This Row],[Target_product_quantity]], FIND("o", Table1[[#This Row],[Target_product_quantity]])-1)</f>
        <v>40</v>
      </c>
      <c r="G580" t="str" cm="1">
        <f t="array" ref="G580">_xlfn.TEXTJOIN("", TRUE, IF(ISNUMBER(SEARCH($K$1010:$K$1054, C580)), $K$1010:$K$1054, ""))</f>
        <v>Jif</v>
      </c>
      <c r="H580" t="str">
        <f t="shared" si="35"/>
        <v>Prepared Food</v>
      </c>
      <c r="I580" t="str">
        <f t="shared" si="36"/>
        <v>Prepared Food</v>
      </c>
      <c r="J580" s="4">
        <v>7.39</v>
      </c>
      <c r="K580">
        <f>Table1[[#This Row],[Target_product_price]]/Table1[[#This Row],[product_price_per_oz]]</f>
        <v>0.18475</v>
      </c>
    </row>
    <row r="581" spans="1:11" x14ac:dyDescent="0.2">
      <c r="A581" t="s">
        <v>1636</v>
      </c>
      <c r="B581" t="s">
        <v>1637</v>
      </c>
      <c r="C581" t="s">
        <v>1638</v>
      </c>
      <c r="D581" t="str">
        <f>SUBSTITUTE(Table1[[#This Row],[Target_product_name]], "oz", " oz")</f>
        <v>Jif Natural Creamy Peanut Butter Spread - 16 oz</v>
      </c>
      <c r="E581" t="str">
        <f t="shared" si="34"/>
        <v>16oz</v>
      </c>
      <c r="F581" t="str">
        <f>LEFT(Table1[[#This Row],[Target_product_quantity]], FIND("o", Table1[[#This Row],[Target_product_quantity]])-1)</f>
        <v>16</v>
      </c>
      <c r="G581" t="str" cm="1">
        <f t="array" ref="G581">_xlfn.TEXTJOIN("", TRUE, IF(ISNUMBER(SEARCH($K$1010:$K$1054, C581)), $K$1010:$K$1054, ""))</f>
        <v>Jif</v>
      </c>
      <c r="H581" t="str">
        <f t="shared" si="35"/>
        <v>Prepared Food</v>
      </c>
      <c r="I581" t="str">
        <f t="shared" si="36"/>
        <v>Prepared Food</v>
      </c>
      <c r="J581" s="4">
        <v>3.29</v>
      </c>
      <c r="K581">
        <f>Table1[[#This Row],[Target_product_price]]/Table1[[#This Row],[product_price_per_oz]]</f>
        <v>0.205625</v>
      </c>
    </row>
    <row r="582" spans="1:11" x14ac:dyDescent="0.2">
      <c r="A582" t="s">
        <v>1639</v>
      </c>
      <c r="B582" t="s">
        <v>1640</v>
      </c>
      <c r="C582" t="s">
        <v>1641</v>
      </c>
      <c r="D582" t="str">
        <f>SUBSTITUTE(Table1[[#This Row],[Target_product_name]], "oz", " oz")</f>
        <v>Jif Natural Creamy Peanut Butter Spread - 40 oz</v>
      </c>
      <c r="E582" t="str">
        <f t="shared" ref="E582:E642" si="37">TRIM(RIGHT(C582, LEN(C582) - FIND("-", C582)))</f>
        <v>40oz</v>
      </c>
      <c r="F582" t="str">
        <f>LEFT(Table1[[#This Row],[Target_product_quantity]], FIND("o", Table1[[#This Row],[Target_product_quantity]])-1)</f>
        <v>40</v>
      </c>
      <c r="G582" t="str" cm="1">
        <f t="array" ref="G582">_xlfn.TEXTJOIN("", TRUE, IF(ISNUMBER(SEARCH($K$1010:$K$1054, C582)), $K$1010:$K$1054, ""))</f>
        <v>Jif</v>
      </c>
      <c r="H582" t="str">
        <f t="shared" si="35"/>
        <v>Prepared Food</v>
      </c>
      <c r="I582" t="str">
        <f t="shared" si="36"/>
        <v>Prepared Food</v>
      </c>
      <c r="J582" s="4">
        <v>7.39</v>
      </c>
      <c r="K582">
        <f>Table1[[#This Row],[Target_product_price]]/Table1[[#This Row],[product_price_per_oz]]</f>
        <v>0.18475</v>
      </c>
    </row>
    <row r="583" spans="1:11" x14ac:dyDescent="0.2">
      <c r="A583" t="s">
        <v>1642</v>
      </c>
      <c r="B583" t="s">
        <v>1643</v>
      </c>
      <c r="C583" t="s">
        <v>1644</v>
      </c>
      <c r="D583" t="str">
        <f>SUBSTITUTE(Table1[[#This Row],[Target_product_name]], "oz", " oz")</f>
        <v>Jif Natural Creamy Peanut Butter Spread and Honey - 40 oz</v>
      </c>
      <c r="E583" t="str">
        <f t="shared" si="37"/>
        <v>40oz</v>
      </c>
      <c r="F583" t="str">
        <f>LEFT(Table1[[#This Row],[Target_product_quantity]], FIND("o", Table1[[#This Row],[Target_product_quantity]])-1)</f>
        <v>40</v>
      </c>
      <c r="G583" t="str" cm="1">
        <f t="array" ref="G583">_xlfn.TEXTJOIN("", TRUE, IF(ISNUMBER(SEARCH($K$1010:$K$1054, C583)), $K$1010:$K$1054, ""))</f>
        <v>Jif</v>
      </c>
      <c r="H583" t="str">
        <f t="shared" si="35"/>
        <v>Prepared Food</v>
      </c>
      <c r="I583" t="str">
        <f t="shared" si="36"/>
        <v>Prepared Food</v>
      </c>
      <c r="J583" s="4">
        <v>6.99</v>
      </c>
      <c r="K583">
        <f>Table1[[#This Row],[Target_product_price]]/Table1[[#This Row],[product_price_per_oz]]</f>
        <v>0.17475000000000002</v>
      </c>
    </row>
    <row r="584" spans="1:11" x14ac:dyDescent="0.2">
      <c r="A584" t="s">
        <v>1645</v>
      </c>
      <c r="B584" t="s">
        <v>1646</v>
      </c>
      <c r="C584" t="s">
        <v>1647</v>
      </c>
      <c r="D584" t="str">
        <f>SUBSTITUTE(Table1[[#This Row],[Target_product_name]], "oz", " oz")</f>
        <v>Jif Natural Creamy Peanut Butter Spread Twin Pack - 80 oz</v>
      </c>
      <c r="E584" t="str">
        <f t="shared" si="37"/>
        <v>80oz</v>
      </c>
      <c r="F584" t="str">
        <f>LEFT(Table1[[#This Row],[Target_product_quantity]], FIND("o", Table1[[#This Row],[Target_product_quantity]])-1)</f>
        <v>80</v>
      </c>
      <c r="G584" t="str" cm="1">
        <f t="array" ref="G584">_xlfn.TEXTJOIN("", TRUE, IF(ISNUMBER(SEARCH($K$1010:$K$1054, C584)), $K$1010:$K$1054, ""))</f>
        <v>Jif</v>
      </c>
      <c r="H584" t="str">
        <f t="shared" si="35"/>
        <v>Prepared Food</v>
      </c>
      <c r="I584" t="str">
        <f t="shared" si="36"/>
        <v>Prepared Food</v>
      </c>
      <c r="J584" s="4">
        <v>13.89</v>
      </c>
      <c r="K584">
        <f>Table1[[#This Row],[Target_product_price]]/Table1[[#This Row],[product_price_per_oz]]</f>
        <v>0.173625</v>
      </c>
    </row>
    <row r="585" spans="1:11" x14ac:dyDescent="0.2">
      <c r="A585" t="s">
        <v>1648</v>
      </c>
      <c r="B585" t="s">
        <v>1649</v>
      </c>
      <c r="C585" t="s">
        <v>1650</v>
      </c>
      <c r="D585" t="str">
        <f>SUBSTITUTE(Table1[[#This Row],[Target_product_name]], "oz", " oz")</f>
        <v>Jif Natural Crunchy Peanut Butter Spread - 16 oz</v>
      </c>
      <c r="E585" t="str">
        <f t="shared" si="37"/>
        <v>16oz</v>
      </c>
      <c r="F585" t="str">
        <f>LEFT(Table1[[#This Row],[Target_product_quantity]], FIND("o", Table1[[#This Row],[Target_product_quantity]])-1)</f>
        <v>16</v>
      </c>
      <c r="G585" t="str" cm="1">
        <f t="array" ref="G585">_xlfn.TEXTJOIN("", TRUE, IF(ISNUMBER(SEARCH($K$1010:$K$1054, C585)), $K$1010:$K$1054, ""))</f>
        <v>Jif</v>
      </c>
      <c r="H585" t="str">
        <f t="shared" si="35"/>
        <v>Prepared Food</v>
      </c>
      <c r="I585" t="str">
        <f t="shared" si="36"/>
        <v>Prepared Food</v>
      </c>
      <c r="J585" s="4">
        <v>3.29</v>
      </c>
      <c r="K585">
        <f>Table1[[#This Row],[Target_product_price]]/Table1[[#This Row],[product_price_per_oz]]</f>
        <v>0.205625</v>
      </c>
    </row>
    <row r="586" spans="1:11" x14ac:dyDescent="0.2">
      <c r="A586" t="s">
        <v>1651</v>
      </c>
      <c r="B586" t="s">
        <v>1652</v>
      </c>
      <c r="C586" t="s">
        <v>1653</v>
      </c>
      <c r="D586" t="str">
        <f>SUBSTITUTE(Table1[[#This Row],[Target_product_name]], "oz", " oz")</f>
        <v>Jif Natural Crunchy Peanut Butter Spread - 40 oz</v>
      </c>
      <c r="E586" t="str">
        <f t="shared" si="37"/>
        <v>40oz</v>
      </c>
      <c r="F586" t="str">
        <f>LEFT(Table1[[#This Row],[Target_product_quantity]], FIND("o", Table1[[#This Row],[Target_product_quantity]])-1)</f>
        <v>40</v>
      </c>
      <c r="G586" t="str" cm="1">
        <f t="array" ref="G586">_xlfn.TEXTJOIN("", TRUE, IF(ISNUMBER(SEARCH($K$1010:$K$1054, C586)), $K$1010:$K$1054, ""))</f>
        <v>Jif</v>
      </c>
      <c r="H586" t="str">
        <f t="shared" si="35"/>
        <v>Prepared Food</v>
      </c>
      <c r="I586" t="str">
        <f t="shared" si="36"/>
        <v>Prepared Food</v>
      </c>
      <c r="J586" s="4">
        <v>7.39</v>
      </c>
      <c r="K586">
        <f>Table1[[#This Row],[Target_product_price]]/Table1[[#This Row],[product_price_per_oz]]</f>
        <v>0.18475</v>
      </c>
    </row>
    <row r="587" spans="1:11" x14ac:dyDescent="0.2">
      <c r="A587" t="s">
        <v>1654</v>
      </c>
      <c r="B587" t="s">
        <v>1655</v>
      </c>
      <c r="C587" t="s">
        <v>1656</v>
      </c>
      <c r="D587" t="str">
        <f>SUBSTITUTE(Table1[[#This Row],[Target_product_name]], "oz", " oz")</f>
        <v>Jif Natural Squeeze Creamy Peanut Butter Spread - 13 oz</v>
      </c>
      <c r="E587" t="str">
        <f t="shared" si="37"/>
        <v>13oz</v>
      </c>
      <c r="F587" t="str">
        <f>LEFT(Table1[[#This Row],[Target_product_quantity]], FIND("o", Table1[[#This Row],[Target_product_quantity]])-1)</f>
        <v>13</v>
      </c>
      <c r="G587" t="str" cm="1">
        <f t="array" ref="G587">_xlfn.TEXTJOIN("", TRUE, IF(ISNUMBER(SEARCH($K$1010:$K$1054, C587)), $K$1010:$K$1054, ""))</f>
        <v>Jif</v>
      </c>
      <c r="H587" t="str">
        <f t="shared" si="35"/>
        <v>Prepared Food</v>
      </c>
      <c r="I587" t="str">
        <f t="shared" si="36"/>
        <v>Prepared Food</v>
      </c>
      <c r="J587" s="4">
        <v>3.69</v>
      </c>
      <c r="K587">
        <f>Table1[[#This Row],[Target_product_price]]/Table1[[#This Row],[product_price_per_oz]]</f>
        <v>0.28384615384615386</v>
      </c>
    </row>
    <row r="588" spans="1:11" x14ac:dyDescent="0.2">
      <c r="A588" t="s">
        <v>1657</v>
      </c>
      <c r="B588" t="s">
        <v>1658</v>
      </c>
      <c r="C588" t="s">
        <v>1659</v>
      </c>
      <c r="D588" t="str">
        <f>SUBSTITUTE(Table1[[#This Row],[Target_product_name]], "oz", " oz")</f>
        <v>Jif No Added Sugar Creamy Peanut Butter Spread - 15.5 oz</v>
      </c>
      <c r="E588" t="str">
        <f t="shared" si="37"/>
        <v>15.5oz</v>
      </c>
      <c r="F588" t="str">
        <f>LEFT(Table1[[#This Row],[Target_product_quantity]], FIND("o", Table1[[#This Row],[Target_product_quantity]])-1)</f>
        <v>15.5</v>
      </c>
      <c r="G588" t="str" cm="1">
        <f t="array" ref="G588">_xlfn.TEXTJOIN("", TRUE, IF(ISNUMBER(SEARCH($K$1010:$K$1054, C588)), $K$1010:$K$1054, ""))</f>
        <v>Jif</v>
      </c>
      <c r="H588" t="str">
        <f t="shared" si="35"/>
        <v>Prepared Food</v>
      </c>
      <c r="I588" t="str">
        <f t="shared" si="36"/>
        <v>Prepared Food</v>
      </c>
      <c r="J588" s="4">
        <v>3.49</v>
      </c>
      <c r="K588">
        <f>Table1[[#This Row],[Target_product_price]]/Table1[[#This Row],[product_price_per_oz]]</f>
        <v>0.22516129032258067</v>
      </c>
    </row>
    <row r="589" spans="1:11" x14ac:dyDescent="0.2">
      <c r="A589" t="s">
        <v>1660</v>
      </c>
      <c r="B589" t="s">
        <v>1661</v>
      </c>
      <c r="C589" t="s">
        <v>1662</v>
      </c>
      <c r="D589" t="str">
        <f>SUBSTITUTE(Table1[[#This Row],[Target_product_name]], "oz", " oz")</f>
        <v>Jif No Added Sugar Creamy Peanut Butter Spread - 33.5 oz</v>
      </c>
      <c r="E589" t="str">
        <f t="shared" si="37"/>
        <v>33.5oz</v>
      </c>
      <c r="F589" t="str">
        <f>LEFT(Table1[[#This Row],[Target_product_quantity]], FIND("o", Table1[[#This Row],[Target_product_quantity]])-1)</f>
        <v>33.5</v>
      </c>
      <c r="G589" t="str" cm="1">
        <f t="array" ref="G589">_xlfn.TEXTJOIN("", TRUE, IF(ISNUMBER(SEARCH($K$1010:$K$1054, C589)), $K$1010:$K$1054, ""))</f>
        <v>Jif</v>
      </c>
      <c r="H589" t="str">
        <f t="shared" si="35"/>
        <v>Prepared Food</v>
      </c>
      <c r="I589" t="str">
        <f t="shared" si="36"/>
        <v>Prepared Food</v>
      </c>
      <c r="J589" s="4">
        <v>6.99</v>
      </c>
      <c r="K589">
        <f>Table1[[#This Row],[Target_product_price]]/Table1[[#This Row],[product_price_per_oz]]</f>
        <v>0.20865671641791045</v>
      </c>
    </row>
    <row r="590" spans="1:11" x14ac:dyDescent="0.2">
      <c r="A590" t="s">
        <v>1663</v>
      </c>
      <c r="B590" t="s">
        <v>1664</v>
      </c>
      <c r="C590" t="s">
        <v>1665</v>
      </c>
      <c r="D590" t="str">
        <f>SUBSTITUTE(Table1[[#This Row],[Target_product_name]], "oz", " oz")</f>
        <v>Jif Peanut Butter &amp; Chocolate Flavored Spread - 15 oz</v>
      </c>
      <c r="E590" t="str">
        <f t="shared" si="37"/>
        <v>15oz</v>
      </c>
      <c r="F590" t="str">
        <f>LEFT(Table1[[#This Row],[Target_product_quantity]], FIND("o", Table1[[#This Row],[Target_product_quantity]])-1)</f>
        <v>15</v>
      </c>
      <c r="G590" t="str" cm="1">
        <f t="array" ref="G590">_xlfn.TEXTJOIN("", TRUE, IF(ISNUMBER(SEARCH($K$1010:$K$1054, C590)), $K$1010:$K$1054, ""))</f>
        <v>Jif</v>
      </c>
      <c r="H590" t="str">
        <f t="shared" si="35"/>
        <v>Prepared Food</v>
      </c>
      <c r="I590" t="str">
        <f t="shared" si="36"/>
        <v>Prepared Food</v>
      </c>
      <c r="J590" s="4">
        <v>3.39</v>
      </c>
      <c r="K590">
        <f>Table1[[#This Row],[Target_product_price]]/Table1[[#This Row],[product_price_per_oz]]</f>
        <v>0.22600000000000001</v>
      </c>
    </row>
    <row r="591" spans="1:11" x14ac:dyDescent="0.2">
      <c r="A591" t="s">
        <v>1666</v>
      </c>
      <c r="B591" t="s">
        <v>1667</v>
      </c>
      <c r="C591" t="s">
        <v>1668</v>
      </c>
      <c r="D591" t="str">
        <f>SUBSTITUTE(Table1[[#This Row],[Target_product_name]], "oz", " oz")</f>
        <v>Jif Reduced Fat Creamy Peanut Butter - 16 oz</v>
      </c>
      <c r="E591" t="str">
        <f t="shared" si="37"/>
        <v>16oz</v>
      </c>
      <c r="F591" t="str">
        <f>LEFT(Table1[[#This Row],[Target_product_quantity]], FIND("o", Table1[[#This Row],[Target_product_quantity]])-1)</f>
        <v>16</v>
      </c>
      <c r="G591" t="str" cm="1">
        <f t="array" ref="G591">_xlfn.TEXTJOIN("", TRUE, IF(ISNUMBER(SEARCH($K$1010:$K$1054, C591)), $K$1010:$K$1054, ""))</f>
        <v>Jif</v>
      </c>
      <c r="H591" t="str">
        <f t="shared" si="35"/>
        <v>Prepared Food</v>
      </c>
      <c r="I591" t="str">
        <f t="shared" si="36"/>
        <v>Prepared Food</v>
      </c>
      <c r="J591" s="4">
        <v>3.29</v>
      </c>
      <c r="K591">
        <f>Table1[[#This Row],[Target_product_price]]/Table1[[#This Row],[product_price_per_oz]]</f>
        <v>0.205625</v>
      </c>
    </row>
    <row r="592" spans="1:11" x14ac:dyDescent="0.2">
      <c r="A592" t="s">
        <v>1669</v>
      </c>
      <c r="B592" t="s">
        <v>1670</v>
      </c>
      <c r="C592" t="s">
        <v>1671</v>
      </c>
      <c r="D592" t="str">
        <f>SUBSTITUTE(Table1[[#This Row],[Target_product_name]], "oz", " oz")</f>
        <v>Jif Reduced Fat Creamy Peanut Butter - 40 oz</v>
      </c>
      <c r="E592" t="str">
        <f t="shared" si="37"/>
        <v>40oz</v>
      </c>
      <c r="F592" t="str">
        <f>LEFT(Table1[[#This Row],[Target_product_quantity]], FIND("o", Table1[[#This Row],[Target_product_quantity]])-1)</f>
        <v>40</v>
      </c>
      <c r="G592" t="str" cm="1">
        <f t="array" ref="G592">_xlfn.TEXTJOIN("", TRUE, IF(ISNUMBER(SEARCH($K$1010:$K$1054, C592)), $K$1010:$K$1054, ""))</f>
        <v>Jif</v>
      </c>
      <c r="H592" t="str">
        <f t="shared" si="35"/>
        <v>Prepared Food</v>
      </c>
      <c r="I592" t="str">
        <f t="shared" si="36"/>
        <v>Prepared Food</v>
      </c>
      <c r="J592" s="4">
        <v>7.39</v>
      </c>
      <c r="K592">
        <f>Table1[[#This Row],[Target_product_price]]/Table1[[#This Row],[product_price_per_oz]]</f>
        <v>0.18475</v>
      </c>
    </row>
    <row r="593" spans="1:11" x14ac:dyDescent="0.2">
      <c r="A593" t="s">
        <v>1672</v>
      </c>
      <c r="B593" t="s">
        <v>1673</v>
      </c>
      <c r="C593" t="s">
        <v>1674</v>
      </c>
      <c r="D593" t="str">
        <f>SUBSTITUTE(Table1[[#This Row],[Target_product_name]], "oz", " oz")</f>
        <v>Jif Squeeze Creamy Peanut Butter - 13 oz</v>
      </c>
      <c r="E593" t="str">
        <f t="shared" si="37"/>
        <v>13oz</v>
      </c>
      <c r="F593" t="str">
        <f>LEFT(Table1[[#This Row],[Target_product_quantity]], FIND("o", Table1[[#This Row],[Target_product_quantity]])-1)</f>
        <v>13</v>
      </c>
      <c r="G593" t="str" cm="1">
        <f t="array" ref="G593">_xlfn.TEXTJOIN("", TRUE, IF(ISNUMBER(SEARCH($K$1010:$K$1054, C593)), $K$1010:$K$1054, ""))</f>
        <v>Jif</v>
      </c>
      <c r="H593" t="str">
        <f t="shared" si="35"/>
        <v>Prepared Food</v>
      </c>
      <c r="I593" t="str">
        <f t="shared" si="36"/>
        <v>Prepared Food</v>
      </c>
      <c r="J593" s="4">
        <v>3.69</v>
      </c>
      <c r="K593">
        <f>Table1[[#This Row],[Target_product_price]]/Table1[[#This Row],[product_price_per_oz]]</f>
        <v>0.28384615384615386</v>
      </c>
    </row>
    <row r="594" spans="1:11" x14ac:dyDescent="0.2">
      <c r="A594" t="s">
        <v>1675</v>
      </c>
      <c r="B594" t="s">
        <v>1676</v>
      </c>
      <c r="C594" t="s">
        <v>1677</v>
      </c>
      <c r="D594" t="str">
        <f>SUBSTITUTE(Table1[[#This Row],[Target_product_name]], "oz", " oz")</f>
        <v>Jif To Go Peanut Butter &amp; Chocolate Flavored Spread - 8.8 oz/8ct</v>
      </c>
      <c r="E594" t="s">
        <v>3033</v>
      </c>
      <c r="F594" t="str">
        <f>LEFT(Table1[[#This Row],[Target_product_quantity]], FIND("o", Table1[[#This Row],[Target_product_quantity]])-1)</f>
        <v>70.4</v>
      </c>
      <c r="G594" t="str" cm="1">
        <f t="array" ref="G594">_xlfn.TEXTJOIN("", TRUE, IF(ISNUMBER(SEARCH($K$1010:$K$1054, C594)), $K$1010:$K$1054, ""))</f>
        <v>Jif</v>
      </c>
      <c r="H594" t="str">
        <f t="shared" si="35"/>
        <v>Prepared Food</v>
      </c>
      <c r="I594" t="str">
        <f t="shared" si="36"/>
        <v>Prepared Food</v>
      </c>
      <c r="J594" s="4">
        <v>3.19</v>
      </c>
      <c r="K594">
        <f>Table1[[#This Row],[Target_product_price]]/Table1[[#This Row],[product_price_per_oz]]</f>
        <v>4.5312499999999999E-2</v>
      </c>
    </row>
    <row r="595" spans="1:11" x14ac:dyDescent="0.2">
      <c r="A595" t="s">
        <v>1678</v>
      </c>
      <c r="B595" t="s">
        <v>1679</v>
      </c>
      <c r="C595" t="s">
        <v>1680</v>
      </c>
      <c r="D595" t="str">
        <f>SUBSTITUTE(Table1[[#This Row],[Target_product_name]], "oz", " oz")</f>
        <v>Kimberley's Oreo Frosted Cookie - 13.5 oz/10ct</v>
      </c>
      <c r="E595" t="s">
        <v>3034</v>
      </c>
      <c r="F595" t="str">
        <f>LEFT(Table1[[#This Row],[Target_product_quantity]], FIND("o", Table1[[#This Row],[Target_product_quantity]])-1)</f>
        <v>135</v>
      </c>
      <c r="G595" t="str" cm="1">
        <f t="array" ref="G595">_xlfn.TEXTJOIN("", TRUE, IF(ISNUMBER(SEARCH($K$1010:$K$1054, C595)), $K$1010:$K$1054, ""))</f>
        <v>Oreo</v>
      </c>
      <c r="H595" t="str">
        <f t="shared" si="35"/>
        <v>Prepared Food</v>
      </c>
      <c r="I595" t="str">
        <f t="shared" si="36"/>
        <v>Prepared Food</v>
      </c>
      <c r="J595">
        <v>4.99</v>
      </c>
      <c r="K595">
        <f>Table1[[#This Row],[Target_product_price]]/Table1[[#This Row],[product_price_per_oz]]</f>
        <v>3.6962962962962961E-2</v>
      </c>
    </row>
    <row r="596" spans="1:11" x14ac:dyDescent="0.2">
      <c r="A596" t="s">
        <v>1681</v>
      </c>
      <c r="B596" t="s">
        <v>1682</v>
      </c>
      <c r="C596" t="s">
        <v>1683</v>
      </c>
      <c r="D596" t="str">
        <f>SUBSTITUTE(Table1[[#This Row],[Target_product_name]], "oz", " oz")</f>
        <v>Kraft 100% Grated Parmesan &amp; Romano Cheese - 8 oz</v>
      </c>
      <c r="E596" t="str">
        <f t="shared" si="37"/>
        <v>8oz</v>
      </c>
      <c r="F596" t="str">
        <f>LEFT(Table1[[#This Row],[Target_product_quantity]], FIND("o", Table1[[#This Row],[Target_product_quantity]])-1)</f>
        <v>8</v>
      </c>
      <c r="G596" t="str" cm="1">
        <f t="array" ref="G596">_xlfn.TEXTJOIN("", TRUE, IF(ISNUMBER(SEARCH($K$1010:$K$1054, C596)), $K$1010:$K$1054, ""))</f>
        <v>Kraft</v>
      </c>
      <c r="H596" t="str">
        <f t="shared" si="35"/>
        <v>Cheese</v>
      </c>
      <c r="I596" t="str">
        <f t="shared" si="36"/>
        <v>Dairy</v>
      </c>
      <c r="J596" s="4">
        <v>4.79</v>
      </c>
      <c r="K596">
        <f>Table1[[#This Row],[Target_product_price]]/Table1[[#This Row],[product_price_per_oz]]</f>
        <v>0.59875</v>
      </c>
    </row>
    <row r="597" spans="1:11" x14ac:dyDescent="0.2">
      <c r="A597" t="s">
        <v>1684</v>
      </c>
      <c r="B597" t="s">
        <v>1685</v>
      </c>
      <c r="C597" t="s">
        <v>1686</v>
      </c>
      <c r="D597" t="str">
        <f>SUBSTITUTE(Table1[[#This Row],[Target_product_name]], "oz", " oz")</f>
        <v>Kraft 100% Grated Parmesan Cheese - 16 oz</v>
      </c>
      <c r="E597" t="str">
        <f t="shared" si="37"/>
        <v>16oz</v>
      </c>
      <c r="F597" t="str">
        <f>LEFT(Table1[[#This Row],[Target_product_quantity]], FIND("o", Table1[[#This Row],[Target_product_quantity]])-1)</f>
        <v>16</v>
      </c>
      <c r="G597" t="str" cm="1">
        <f t="array" ref="G597">_xlfn.TEXTJOIN("", TRUE, IF(ISNUMBER(SEARCH($K$1010:$K$1054, C597)), $K$1010:$K$1054, ""))</f>
        <v>Kraft</v>
      </c>
      <c r="H597" t="str">
        <f t="shared" si="35"/>
        <v>Cheese</v>
      </c>
      <c r="I597" t="str">
        <f t="shared" si="36"/>
        <v>Dairy</v>
      </c>
      <c r="J597" s="4">
        <v>9.89</v>
      </c>
      <c r="K597">
        <f>Table1[[#This Row],[Target_product_price]]/Table1[[#This Row],[product_price_per_oz]]</f>
        <v>0.61812500000000004</v>
      </c>
    </row>
    <row r="598" spans="1:11" x14ac:dyDescent="0.2">
      <c r="A598" t="s">
        <v>1687</v>
      </c>
      <c r="B598" t="s">
        <v>1688</v>
      </c>
      <c r="C598" t="s">
        <v>1689</v>
      </c>
      <c r="D598" t="str">
        <f>SUBSTITUTE(Table1[[#This Row],[Target_product_name]], "oz", " oz")</f>
        <v>Kraft 100% Grated Parmesan Cheese - 8 oz</v>
      </c>
      <c r="E598" t="str">
        <f t="shared" si="37"/>
        <v>8oz</v>
      </c>
      <c r="F598" t="str">
        <f>LEFT(Table1[[#This Row],[Target_product_quantity]], FIND("o", Table1[[#This Row],[Target_product_quantity]])-1)</f>
        <v>8</v>
      </c>
      <c r="G598" t="str" cm="1">
        <f t="array" ref="G598">_xlfn.TEXTJOIN("", TRUE, IF(ISNUMBER(SEARCH($K$1010:$K$1054, C598)), $K$1010:$K$1054, ""))</f>
        <v>Kraft</v>
      </c>
      <c r="H598" t="str">
        <f t="shared" si="35"/>
        <v>Cheese</v>
      </c>
      <c r="I598" t="str">
        <f t="shared" si="36"/>
        <v>Dairy</v>
      </c>
      <c r="J598" s="4">
        <v>4.79</v>
      </c>
      <c r="K598">
        <f>Table1[[#This Row],[Target_product_price]]/Table1[[#This Row],[product_price_per_oz]]</f>
        <v>0.59875</v>
      </c>
    </row>
    <row r="599" spans="1:11" x14ac:dyDescent="0.2">
      <c r="A599" t="s">
        <v>1690</v>
      </c>
      <c r="C599" t="s">
        <v>1691</v>
      </c>
      <c r="D599" t="str">
        <f>SUBSTITUTE(Table1[[#This Row],[Target_product_name]], "oz", " oz")</f>
        <v>Lactaid Lactose Free 1% Low Fat Milk - 0.5gal</v>
      </c>
      <c r="E599" t="s">
        <v>2002</v>
      </c>
      <c r="F599" t="str">
        <f>LEFT(Table1[[#This Row],[Target_product_quantity]], FIND("o", Table1[[#This Row],[Target_product_quantity]])-1)</f>
        <v>64</v>
      </c>
      <c r="G599" t="str" cm="1">
        <f t="array" ref="G599">_xlfn.TEXTJOIN("", TRUE, IF(ISNUMBER(SEARCH($K$1010:$K$1054, C599)), $K$1010:$K$1054, ""))</f>
        <v>Lactaid</v>
      </c>
      <c r="H599" t="str">
        <f t="shared" si="35"/>
        <v>Milk</v>
      </c>
      <c r="I599" t="str">
        <f t="shared" si="36"/>
        <v>Dairy</v>
      </c>
      <c r="J599" s="4">
        <v>4.8899999999999997</v>
      </c>
      <c r="K599">
        <f>Table1[[#This Row],[Target_product_price]]/Table1[[#This Row],[product_price_per_oz]]</f>
        <v>7.6406249999999995E-2</v>
      </c>
    </row>
    <row r="600" spans="1:11" x14ac:dyDescent="0.2">
      <c r="A600" t="s">
        <v>1692</v>
      </c>
      <c r="C600" t="s">
        <v>1693</v>
      </c>
      <c r="D600" t="str">
        <f>SUBSTITUTE(Table1[[#This Row],[Target_product_name]], "oz", " oz")</f>
        <v>Lactaid Lactose Free 2% Reduced Fat Milk - 96 fl  oz</v>
      </c>
      <c r="E600" t="s">
        <v>2010</v>
      </c>
      <c r="F600" t="str">
        <f>LEFT(Table1[[#This Row],[Target_product_quantity]], FIND("o", Table1[[#This Row],[Target_product_quantity]])-1)</f>
        <v>96</v>
      </c>
      <c r="G600" t="str" cm="1">
        <f t="array" ref="G600">_xlfn.TEXTJOIN("", TRUE, IF(ISNUMBER(SEARCH($K$1010:$K$1054, C600)), $K$1010:$K$1054, ""))</f>
        <v>Lactaid</v>
      </c>
      <c r="H600" t="str">
        <f t="shared" si="35"/>
        <v>Milk</v>
      </c>
      <c r="I600" t="str">
        <f t="shared" si="36"/>
        <v>Dairy</v>
      </c>
      <c r="J600" s="4">
        <v>6.99</v>
      </c>
      <c r="K600">
        <f>Table1[[#This Row],[Target_product_price]]/Table1[[#This Row],[product_price_per_oz]]</f>
        <v>7.2812500000000002E-2</v>
      </c>
    </row>
    <row r="601" spans="1:11" x14ac:dyDescent="0.2">
      <c r="A601" t="s">
        <v>1694</v>
      </c>
      <c r="B601" t="s">
        <v>1695</v>
      </c>
      <c r="C601" t="s">
        <v>1696</v>
      </c>
      <c r="D601" t="str">
        <f>SUBSTITUTE(Table1[[#This Row],[Target_product_name]], "oz", " oz")</f>
        <v>Lactaid Lactose Free Fat Free Milk - 0.5gal</v>
      </c>
      <c r="E601" t="s">
        <v>2002</v>
      </c>
      <c r="F601" t="str">
        <f>LEFT(Table1[[#This Row],[Target_product_quantity]], FIND("o", Table1[[#This Row],[Target_product_quantity]])-1)</f>
        <v>64</v>
      </c>
      <c r="G601" t="str" cm="1">
        <f t="array" ref="G601">_xlfn.TEXTJOIN("", TRUE, IF(ISNUMBER(SEARCH($K$1010:$K$1054, C601)), $K$1010:$K$1054, ""))</f>
        <v>Lactaid</v>
      </c>
      <c r="H601" t="str">
        <f t="shared" si="35"/>
        <v>Milk</v>
      </c>
      <c r="I601" t="str">
        <f t="shared" si="36"/>
        <v>Dairy</v>
      </c>
      <c r="J601" s="4">
        <v>4.79</v>
      </c>
      <c r="K601">
        <f>Table1[[#This Row],[Target_product_price]]/Table1[[#This Row],[product_price_per_oz]]</f>
        <v>7.4843750000000001E-2</v>
      </c>
    </row>
    <row r="602" spans="1:11" x14ac:dyDescent="0.2">
      <c r="A602" t="s">
        <v>1697</v>
      </c>
      <c r="B602" t="s">
        <v>1698</v>
      </c>
      <c r="C602" t="s">
        <v>1699</v>
      </c>
      <c r="D602" t="str">
        <f>SUBSTITUTE(Table1[[#This Row],[Target_product_name]], "oz", " oz")</f>
        <v>Lactaid Lactose Free Whole Milk - 0.5gal</v>
      </c>
      <c r="E602" t="s">
        <v>2002</v>
      </c>
      <c r="F602" t="str">
        <f>LEFT(Table1[[#This Row],[Target_product_quantity]], FIND("o", Table1[[#This Row],[Target_product_quantity]])-1)</f>
        <v>64</v>
      </c>
      <c r="G602" t="str" cm="1">
        <f t="array" ref="G602">_xlfn.TEXTJOIN("", TRUE, IF(ISNUMBER(SEARCH($K$1010:$K$1054, C602)), $K$1010:$K$1054, ""))</f>
        <v>Lactaid</v>
      </c>
      <c r="H602" t="str">
        <f t="shared" si="35"/>
        <v>Milk</v>
      </c>
      <c r="I602" t="str">
        <f t="shared" si="36"/>
        <v>Dairy</v>
      </c>
      <c r="J602" s="4">
        <v>4.79</v>
      </c>
      <c r="K602">
        <f>Table1[[#This Row],[Target_product_price]]/Table1[[#This Row],[product_price_per_oz]]</f>
        <v>7.4843750000000001E-2</v>
      </c>
    </row>
    <row r="603" spans="1:11" x14ac:dyDescent="0.2">
      <c r="A603" t="s">
        <v>1700</v>
      </c>
      <c r="C603" t="s">
        <v>1701</v>
      </c>
      <c r="D603" t="str">
        <f>SUBSTITUTE(Table1[[#This Row],[Target_product_name]], "oz", " oz")</f>
        <v>Lactaid Lactose Free Whole Milk - 96 fl  oz</v>
      </c>
      <c r="E603" t="s">
        <v>2010</v>
      </c>
      <c r="F603" t="str">
        <f>LEFT(Table1[[#This Row],[Target_product_quantity]], FIND("o", Table1[[#This Row],[Target_product_quantity]])-1)</f>
        <v>96</v>
      </c>
      <c r="G603" t="str" cm="1">
        <f t="array" ref="G603">_xlfn.TEXTJOIN("", TRUE, IF(ISNUMBER(SEARCH($K$1010:$K$1054, C603)), $K$1010:$K$1054, ""))</f>
        <v>Lactaid</v>
      </c>
      <c r="H603" t="str">
        <f t="shared" si="35"/>
        <v>Milk</v>
      </c>
      <c r="I603" t="str">
        <f t="shared" si="36"/>
        <v>Dairy</v>
      </c>
      <c r="J603" s="4">
        <v>6.99</v>
      </c>
      <c r="K603">
        <f>Table1[[#This Row],[Target_product_price]]/Table1[[#This Row],[product_price_per_oz]]</f>
        <v>7.2812500000000002E-2</v>
      </c>
    </row>
    <row r="604" spans="1:11" x14ac:dyDescent="0.2">
      <c r="A604" t="s">
        <v>1702</v>
      </c>
      <c r="B604" t="s">
        <v>1703</v>
      </c>
      <c r="C604" t="s">
        <v>1704</v>
      </c>
      <c r="D604" t="str">
        <f>SUBSTITUTE(Table1[[#This Row],[Target_product_name]], "oz", " oz")</f>
        <v>Lay's All Dressed Potato Chips - 7.75 oz</v>
      </c>
      <c r="E604" t="str">
        <f t="shared" si="37"/>
        <v>7.75oz</v>
      </c>
      <c r="F604" t="str">
        <f>LEFT(Table1[[#This Row],[Target_product_quantity]], FIND("o", Table1[[#This Row],[Target_product_quantity]])-1)</f>
        <v>7.75</v>
      </c>
      <c r="G604" t="str" cm="1">
        <f t="array" ref="G604">_xlfn.TEXTJOIN("", TRUE, IF(ISNUMBER(SEARCH($K$1010:$K$1054, C604)), $K$1010:$K$1054, ""))</f>
        <v>Lay's</v>
      </c>
      <c r="H604" t="str">
        <f t="shared" si="35"/>
        <v>Prepared Food</v>
      </c>
      <c r="I604" t="str">
        <f t="shared" si="36"/>
        <v>Prepared Food</v>
      </c>
      <c r="J604">
        <v>3.99</v>
      </c>
      <c r="K604">
        <f>Table1[[#This Row],[Target_product_price]]/Table1[[#This Row],[product_price_per_oz]]</f>
        <v>0.5148387096774194</v>
      </c>
    </row>
    <row r="605" spans="1:11" x14ac:dyDescent="0.2">
      <c r="A605" t="s">
        <v>1705</v>
      </c>
      <c r="B605" t="s">
        <v>1706</v>
      </c>
      <c r="C605" t="s">
        <v>1707</v>
      </c>
      <c r="D605" t="str">
        <f>SUBSTITUTE(Table1[[#This Row],[Target_product_name]], "oz", " oz")</f>
        <v>Lay's Barbecue Flavor Party Size Potato Chips - 12.50 oz</v>
      </c>
      <c r="E605" t="str">
        <f t="shared" si="37"/>
        <v>12.50oz</v>
      </c>
      <c r="F605" t="str">
        <f>LEFT(Table1[[#This Row],[Target_product_quantity]], FIND("o", Table1[[#This Row],[Target_product_quantity]])-1)</f>
        <v>12.50</v>
      </c>
      <c r="G605" t="str" cm="1">
        <f t="array" ref="G605">_xlfn.TEXTJOIN("", TRUE, IF(ISNUMBER(SEARCH($K$1010:$K$1054, C605)), $K$1010:$K$1054, ""))</f>
        <v>Lay's</v>
      </c>
      <c r="H605" t="str">
        <f t="shared" si="35"/>
        <v>Prepared Food</v>
      </c>
      <c r="I605" t="str">
        <f t="shared" si="36"/>
        <v>Prepared Food</v>
      </c>
      <c r="J605">
        <v>5.89</v>
      </c>
      <c r="K605">
        <f>Table1[[#This Row],[Target_product_price]]/Table1[[#This Row],[product_price_per_oz]]</f>
        <v>0.47119999999999995</v>
      </c>
    </row>
    <row r="606" spans="1:11" x14ac:dyDescent="0.2">
      <c r="A606" t="s">
        <v>1708</v>
      </c>
      <c r="B606" t="s">
        <v>1709</v>
      </c>
      <c r="C606" t="s">
        <v>1710</v>
      </c>
      <c r="D606" t="str">
        <f>SUBSTITUTE(Table1[[#This Row],[Target_product_name]], "oz", " oz")</f>
        <v>Lay's Barbecue Flavored Potato Chips - 7.75 oz</v>
      </c>
      <c r="E606" t="str">
        <f t="shared" si="37"/>
        <v>7.75oz</v>
      </c>
      <c r="F606" t="str">
        <f>LEFT(Table1[[#This Row],[Target_product_quantity]], FIND("o", Table1[[#This Row],[Target_product_quantity]])-1)</f>
        <v>7.75</v>
      </c>
      <c r="G606" t="str" cm="1">
        <f t="array" ref="G606">_xlfn.TEXTJOIN("", TRUE, IF(ISNUMBER(SEARCH($K$1010:$K$1054, C606)), $K$1010:$K$1054, ""))</f>
        <v>Lay's</v>
      </c>
      <c r="H606" t="str">
        <f t="shared" si="35"/>
        <v>Prepared Food</v>
      </c>
      <c r="I606" t="str">
        <f t="shared" si="36"/>
        <v>Prepared Food</v>
      </c>
      <c r="J606">
        <v>3.99</v>
      </c>
      <c r="K606">
        <f>Table1[[#This Row],[Target_product_price]]/Table1[[#This Row],[product_price_per_oz]]</f>
        <v>0.5148387096774194</v>
      </c>
    </row>
    <row r="607" spans="1:11" x14ac:dyDescent="0.2">
      <c r="A607" t="s">
        <v>1711</v>
      </c>
      <c r="B607" t="s">
        <v>1712</v>
      </c>
      <c r="C607" t="s">
        <v>1713</v>
      </c>
      <c r="D607" t="str">
        <f>SUBSTITUTE(Table1[[#This Row],[Target_product_name]], "oz", " oz")</f>
        <v>Lay's Cheddar &amp; Sour Cream Flavored Potato Chips - 7.75 oz</v>
      </c>
      <c r="E607" t="str">
        <f t="shared" si="37"/>
        <v>7.75oz</v>
      </c>
      <c r="F607" t="str">
        <f>LEFT(Table1[[#This Row],[Target_product_quantity]], FIND("o", Table1[[#This Row],[Target_product_quantity]])-1)</f>
        <v>7.75</v>
      </c>
      <c r="G607" t="str" cm="1">
        <f t="array" ref="G607">_xlfn.TEXTJOIN("", TRUE, IF(ISNUMBER(SEARCH($K$1010:$K$1054, C607)), $K$1010:$K$1054, ""))</f>
        <v>Lay's</v>
      </c>
      <c r="H607" t="str">
        <f t="shared" si="35"/>
        <v>Prepared Food</v>
      </c>
      <c r="I607" t="str">
        <f t="shared" si="36"/>
        <v>Prepared Food</v>
      </c>
      <c r="J607">
        <v>3.99</v>
      </c>
      <c r="K607">
        <f>Table1[[#This Row],[Target_product_price]]/Table1[[#This Row],[product_price_per_oz]]</f>
        <v>0.5148387096774194</v>
      </c>
    </row>
    <row r="608" spans="1:11" x14ac:dyDescent="0.2">
      <c r="A608" t="s">
        <v>1714</v>
      </c>
      <c r="B608" t="s">
        <v>1715</v>
      </c>
      <c r="C608" t="s">
        <v>1716</v>
      </c>
      <c r="D608" t="str">
        <f>SUBSTITUTE(Table1[[#This Row],[Target_product_name]], "oz", " oz")</f>
        <v>Lay's Chile Limón Flavored Potato Chips - 7.75 oz</v>
      </c>
      <c r="E608" t="str">
        <f t="shared" si="37"/>
        <v>7.75oz</v>
      </c>
      <c r="F608" t="str">
        <f>LEFT(Table1[[#This Row],[Target_product_quantity]], FIND("o", Table1[[#This Row],[Target_product_quantity]])-1)</f>
        <v>7.75</v>
      </c>
      <c r="G608" t="str" cm="1">
        <f t="array" ref="G608">_xlfn.TEXTJOIN("", TRUE, IF(ISNUMBER(SEARCH($K$1010:$K$1054, C608)), $K$1010:$K$1054, ""))</f>
        <v>Lay's</v>
      </c>
      <c r="H608" t="str">
        <f t="shared" si="35"/>
        <v>Prepared Food</v>
      </c>
      <c r="I608" t="str">
        <f t="shared" si="36"/>
        <v>Prepared Food</v>
      </c>
      <c r="J608">
        <v>3.99</v>
      </c>
      <c r="K608">
        <f>Table1[[#This Row],[Target_product_price]]/Table1[[#This Row],[product_price_per_oz]]</f>
        <v>0.5148387096774194</v>
      </c>
    </row>
    <row r="609" spans="1:11" x14ac:dyDescent="0.2">
      <c r="A609" t="s">
        <v>1717</v>
      </c>
      <c r="B609" t="s">
        <v>1718</v>
      </c>
      <c r="C609" t="s">
        <v>1719</v>
      </c>
      <c r="D609" t="str">
        <f>SUBSTITUTE(Table1[[#This Row],[Target_product_name]], "oz", " oz")</f>
        <v>Lay's Classic Party Size Potato Chips - 13 oz</v>
      </c>
      <c r="E609" t="str">
        <f t="shared" si="37"/>
        <v>13oz</v>
      </c>
      <c r="F609" t="str">
        <f>LEFT(Table1[[#This Row],[Target_product_quantity]], FIND("o", Table1[[#This Row],[Target_product_quantity]])-1)</f>
        <v>13</v>
      </c>
      <c r="G609" t="str" cm="1">
        <f t="array" ref="G609">_xlfn.TEXTJOIN("", TRUE, IF(ISNUMBER(SEARCH($K$1010:$K$1054, C609)), $K$1010:$K$1054, ""))</f>
        <v>Lay's</v>
      </c>
      <c r="H609" t="str">
        <f t="shared" si="35"/>
        <v>Prepared Food</v>
      </c>
      <c r="I609" t="str">
        <f t="shared" si="36"/>
        <v>Prepared Food</v>
      </c>
      <c r="J609">
        <v>5.89</v>
      </c>
      <c r="K609">
        <f>Table1[[#This Row],[Target_product_price]]/Table1[[#This Row],[product_price_per_oz]]</f>
        <v>0.45307692307692304</v>
      </c>
    </row>
    <row r="610" spans="1:11" x14ac:dyDescent="0.2">
      <c r="A610" t="s">
        <v>1720</v>
      </c>
      <c r="B610" t="s">
        <v>1721</v>
      </c>
      <c r="C610" t="s">
        <v>1722</v>
      </c>
      <c r="D610" t="str">
        <f>SUBSTITUTE(Table1[[#This Row],[Target_product_name]], "oz", " oz")</f>
        <v>Lay's Classic Potato Chips - 2.5 oz</v>
      </c>
      <c r="E610" t="str">
        <f t="shared" si="37"/>
        <v>2.5oz</v>
      </c>
      <c r="F610" t="str">
        <f>LEFT(Table1[[#This Row],[Target_product_quantity]], FIND("o", Table1[[#This Row],[Target_product_quantity]])-1)</f>
        <v>2.5</v>
      </c>
      <c r="G610" t="str" cm="1">
        <f t="array" ref="G610">_xlfn.TEXTJOIN("", TRUE, IF(ISNUMBER(SEARCH($K$1010:$K$1054, C610)), $K$1010:$K$1054, ""))</f>
        <v>Lay's</v>
      </c>
      <c r="H610" t="str">
        <f t="shared" si="35"/>
        <v>Prepared Food</v>
      </c>
      <c r="I610" t="str">
        <f t="shared" si="36"/>
        <v>Prepared Food</v>
      </c>
      <c r="J610">
        <v>2.59</v>
      </c>
      <c r="K610">
        <f>Table1[[#This Row],[Target_product_price]]/Table1[[#This Row],[product_price_per_oz]]</f>
        <v>1.036</v>
      </c>
    </row>
    <row r="611" spans="1:11" x14ac:dyDescent="0.2">
      <c r="A611" t="s">
        <v>1723</v>
      </c>
      <c r="B611" t="s">
        <v>1724</v>
      </c>
      <c r="C611" t="s">
        <v>1725</v>
      </c>
      <c r="D611" t="str">
        <f>SUBSTITUTE(Table1[[#This Row],[Target_product_name]], "oz", " oz")</f>
        <v>Lay's Classic Potato Chips - 8 oz</v>
      </c>
      <c r="E611" t="str">
        <f t="shared" si="37"/>
        <v>8oz</v>
      </c>
      <c r="F611" t="str">
        <f>LEFT(Table1[[#This Row],[Target_product_quantity]], FIND("o", Table1[[#This Row],[Target_product_quantity]])-1)</f>
        <v>8</v>
      </c>
      <c r="G611" t="str" cm="1">
        <f t="array" ref="G611">_xlfn.TEXTJOIN("", TRUE, IF(ISNUMBER(SEARCH($K$1010:$K$1054, C611)), $K$1010:$K$1054, ""))</f>
        <v>Lay's</v>
      </c>
      <c r="H611" t="str">
        <f t="shared" si="35"/>
        <v>Prepared Food</v>
      </c>
      <c r="I611" t="str">
        <f t="shared" si="36"/>
        <v>Prepared Food</v>
      </c>
      <c r="J611">
        <v>3.99</v>
      </c>
      <c r="K611">
        <f>Table1[[#This Row],[Target_product_price]]/Table1[[#This Row],[product_price_per_oz]]</f>
        <v>0.49875000000000003</v>
      </c>
    </row>
    <row r="612" spans="1:11" x14ac:dyDescent="0.2">
      <c r="A612" t="s">
        <v>1726</v>
      </c>
      <c r="B612" t="s">
        <v>1727</v>
      </c>
      <c r="C612" t="s">
        <v>1728</v>
      </c>
      <c r="D612" t="str">
        <f>SUBSTITUTE(Table1[[#This Row],[Target_product_name]], "oz", " oz")</f>
        <v>Lay's Dill Pickle Flavored Potato Chips - 7.75 oz</v>
      </c>
      <c r="E612" t="str">
        <f t="shared" si="37"/>
        <v>7.75oz</v>
      </c>
      <c r="F612" t="str">
        <f>LEFT(Table1[[#This Row],[Target_product_quantity]], FIND("o", Table1[[#This Row],[Target_product_quantity]])-1)</f>
        <v>7.75</v>
      </c>
      <c r="G612" t="str" cm="1">
        <f t="array" ref="G612">_xlfn.TEXTJOIN("", TRUE, IF(ISNUMBER(SEARCH($K$1010:$K$1054, C612)), $K$1010:$K$1054, ""))</f>
        <v>Lay's</v>
      </c>
      <c r="H612" t="str">
        <f t="shared" si="35"/>
        <v>Prepared Food</v>
      </c>
      <c r="I612" t="str">
        <f t="shared" si="36"/>
        <v>Prepared Food</v>
      </c>
      <c r="J612">
        <v>3.99</v>
      </c>
      <c r="K612">
        <f>Table1[[#This Row],[Target_product_price]]/Table1[[#This Row],[product_price_per_oz]]</f>
        <v>0.5148387096774194</v>
      </c>
    </row>
    <row r="613" spans="1:11" x14ac:dyDescent="0.2">
      <c r="A613" t="s">
        <v>1729</v>
      </c>
      <c r="B613" t="s">
        <v>1730</v>
      </c>
      <c r="C613" t="s">
        <v>1731</v>
      </c>
      <c r="D613" t="str">
        <f>SUBSTITUTE(Table1[[#This Row],[Target_product_name]], "oz", " oz")</f>
        <v>Lay's Dill Pickle Party Size Potato Chips - 12.5 oz</v>
      </c>
      <c r="E613" t="str">
        <f t="shared" si="37"/>
        <v>12.5oz</v>
      </c>
      <c r="F613" t="str">
        <f>LEFT(Table1[[#This Row],[Target_product_quantity]], FIND("o", Table1[[#This Row],[Target_product_quantity]])-1)</f>
        <v>12.5</v>
      </c>
      <c r="G613" t="str" cm="1">
        <f t="array" ref="G613">_xlfn.TEXTJOIN("", TRUE, IF(ISNUMBER(SEARCH($K$1010:$K$1054, C613)), $K$1010:$K$1054, ""))</f>
        <v>Lay's</v>
      </c>
      <c r="H613" t="str">
        <f t="shared" si="35"/>
        <v>Prepared Food</v>
      </c>
      <c r="I613" t="str">
        <f t="shared" si="36"/>
        <v>Prepared Food</v>
      </c>
      <c r="J613">
        <v>5.89</v>
      </c>
      <c r="K613">
        <f>Table1[[#This Row],[Target_product_price]]/Table1[[#This Row],[product_price_per_oz]]</f>
        <v>0.47119999999999995</v>
      </c>
    </row>
    <row r="614" spans="1:11" x14ac:dyDescent="0.2">
      <c r="A614" t="s">
        <v>1732</v>
      </c>
      <c r="B614" t="s">
        <v>1733</v>
      </c>
      <c r="C614" t="s">
        <v>1734</v>
      </c>
      <c r="D614" t="str">
        <f>SUBSTITUTE(Table1[[#This Row],[Target_product_name]], "oz", " oz")</f>
        <v>Lay's Flamin' Hot Flavored Potato Chips - 7.75 oz</v>
      </c>
      <c r="E614" t="str">
        <f t="shared" si="37"/>
        <v>7.75oz</v>
      </c>
      <c r="F614" t="str">
        <f>LEFT(Table1[[#This Row],[Target_product_quantity]], FIND("o", Table1[[#This Row],[Target_product_quantity]])-1)</f>
        <v>7.75</v>
      </c>
      <c r="G614" t="str" cm="1">
        <f t="array" ref="G614">_xlfn.TEXTJOIN("", TRUE, IF(ISNUMBER(SEARCH($K$1010:$K$1054, C614)), $K$1010:$K$1054, ""))</f>
        <v>Lay's</v>
      </c>
      <c r="H614" t="str">
        <f t="shared" si="35"/>
        <v>Prepared Food</v>
      </c>
      <c r="I614" t="str">
        <f t="shared" si="36"/>
        <v>Prepared Food</v>
      </c>
      <c r="J614">
        <v>3.99</v>
      </c>
      <c r="K614">
        <f>Table1[[#This Row],[Target_product_price]]/Table1[[#This Row],[product_price_per_oz]]</f>
        <v>0.5148387096774194</v>
      </c>
    </row>
    <row r="615" spans="1:11" x14ac:dyDescent="0.2">
      <c r="A615" t="s">
        <v>1735</v>
      </c>
      <c r="B615" t="s">
        <v>1736</v>
      </c>
      <c r="C615" t="s">
        <v>1737</v>
      </c>
      <c r="D615" t="str">
        <f>SUBSTITUTE(Table1[[#This Row],[Target_product_name]], "oz", " oz")</f>
        <v>Lay's Honey Barbecue Flavored Potato Chips - 7.75 oz</v>
      </c>
      <c r="E615" t="str">
        <f t="shared" si="37"/>
        <v>7.75oz</v>
      </c>
      <c r="F615" t="str">
        <f>LEFT(Table1[[#This Row],[Target_product_quantity]], FIND("o", Table1[[#This Row],[Target_product_quantity]])-1)</f>
        <v>7.75</v>
      </c>
      <c r="G615" t="str" cm="1">
        <f t="array" ref="G615">_xlfn.TEXTJOIN("", TRUE, IF(ISNUMBER(SEARCH($K$1010:$K$1054, C615)), $K$1010:$K$1054, ""))</f>
        <v>Lay's</v>
      </c>
      <c r="H615" t="str">
        <f t="shared" si="35"/>
        <v>Prepared Food</v>
      </c>
      <c r="I615" t="str">
        <f t="shared" si="36"/>
        <v>Prepared Food</v>
      </c>
      <c r="J615">
        <v>3.99</v>
      </c>
      <c r="K615">
        <f>Table1[[#This Row],[Target_product_price]]/Table1[[#This Row],[product_price_per_oz]]</f>
        <v>0.5148387096774194</v>
      </c>
    </row>
    <row r="616" spans="1:11" x14ac:dyDescent="0.2">
      <c r="A616" t="s">
        <v>1738</v>
      </c>
      <c r="B616" t="s">
        <v>1739</v>
      </c>
      <c r="C616" t="s">
        <v>1740</v>
      </c>
      <c r="D616" t="str">
        <f>SUBSTITUTE(Table1[[#This Row],[Target_product_name]], "oz", " oz")</f>
        <v>Lay's Jalapeño Kettle Cooked Chips Party Size - 14 oz</v>
      </c>
      <c r="E616" t="str">
        <f t="shared" si="37"/>
        <v>14oz</v>
      </c>
      <c r="F616" t="str">
        <f>LEFT(Table1[[#This Row],[Target_product_quantity]], FIND("o", Table1[[#This Row],[Target_product_quantity]])-1)</f>
        <v>14</v>
      </c>
      <c r="G616" t="str" cm="1">
        <f t="array" ref="G616">_xlfn.TEXTJOIN("", TRUE, IF(ISNUMBER(SEARCH($K$1010:$K$1054, C616)), $K$1010:$K$1054, ""))</f>
        <v>Lay's</v>
      </c>
      <c r="H616" t="str">
        <f t="shared" si="35"/>
        <v>Prepared Food</v>
      </c>
      <c r="I616" t="str">
        <f t="shared" si="36"/>
        <v>Prepared Food</v>
      </c>
      <c r="J616">
        <v>5.89</v>
      </c>
      <c r="K616">
        <f>Table1[[#This Row],[Target_product_price]]/Table1[[#This Row],[product_price_per_oz]]</f>
        <v>0.42071428571428571</v>
      </c>
    </row>
    <row r="617" spans="1:11" x14ac:dyDescent="0.2">
      <c r="A617" t="s">
        <v>1741</v>
      </c>
      <c r="B617" t="s">
        <v>1742</v>
      </c>
      <c r="C617" t="s">
        <v>1743</v>
      </c>
      <c r="D617" t="str">
        <f>SUBSTITUTE(Table1[[#This Row],[Target_product_name]], "oz", " oz")</f>
        <v>Lay's Kettle Cooked Cajun Spice Potato Chips - 8 oz</v>
      </c>
      <c r="E617" t="str">
        <f t="shared" si="37"/>
        <v>8oz</v>
      </c>
      <c r="F617" t="str">
        <f>LEFT(Table1[[#This Row],[Target_product_quantity]], FIND("o", Table1[[#This Row],[Target_product_quantity]])-1)</f>
        <v>8</v>
      </c>
      <c r="G617" t="str" cm="1">
        <f t="array" ref="G617">_xlfn.TEXTJOIN("", TRUE, IF(ISNUMBER(SEARCH($K$1010:$K$1054, C617)), $K$1010:$K$1054, ""))</f>
        <v>Lay's</v>
      </c>
      <c r="H617" t="str">
        <f t="shared" si="35"/>
        <v>Prepared Food</v>
      </c>
      <c r="I617" t="str">
        <f t="shared" si="36"/>
        <v>Prepared Food</v>
      </c>
      <c r="J617">
        <v>4.8899999999999997</v>
      </c>
      <c r="K617">
        <f>Table1[[#This Row],[Target_product_price]]/Table1[[#This Row],[product_price_per_oz]]</f>
        <v>0.61124999999999996</v>
      </c>
    </row>
    <row r="618" spans="1:11" x14ac:dyDescent="0.2">
      <c r="A618" t="s">
        <v>1744</v>
      </c>
      <c r="B618" t="s">
        <v>1745</v>
      </c>
      <c r="C618" t="s">
        <v>1746</v>
      </c>
      <c r="D618" t="str">
        <f>SUBSTITUTE(Table1[[#This Row],[Target_product_name]], "oz", " oz")</f>
        <v>Lay's Kettle Cooked Jalapeño Flavored Potato Chips - 8 oz</v>
      </c>
      <c r="E618" t="str">
        <f t="shared" si="37"/>
        <v>8oz</v>
      </c>
      <c r="F618" t="str">
        <f>LEFT(Table1[[#This Row],[Target_product_quantity]], FIND("o", Table1[[#This Row],[Target_product_quantity]])-1)</f>
        <v>8</v>
      </c>
      <c r="G618" t="str" cm="1">
        <f t="array" ref="G618">_xlfn.TEXTJOIN("", TRUE, IF(ISNUMBER(SEARCH($K$1010:$K$1054, C618)), $K$1010:$K$1054, ""))</f>
        <v>Lay's</v>
      </c>
      <c r="H618" t="str">
        <f t="shared" si="35"/>
        <v>Prepared Food</v>
      </c>
      <c r="I618" t="str">
        <f t="shared" si="36"/>
        <v>Prepared Food</v>
      </c>
      <c r="J618">
        <v>4.8899999999999997</v>
      </c>
      <c r="K618">
        <f>Table1[[#This Row],[Target_product_price]]/Table1[[#This Row],[product_price_per_oz]]</f>
        <v>0.61124999999999996</v>
      </c>
    </row>
    <row r="619" spans="1:11" x14ac:dyDescent="0.2">
      <c r="A619" t="s">
        <v>1747</v>
      </c>
      <c r="B619" t="s">
        <v>1748</v>
      </c>
      <c r="C619" t="s">
        <v>1749</v>
      </c>
      <c r="D619" t="str">
        <f>SUBSTITUTE(Table1[[#This Row],[Target_product_name]], "oz", " oz")</f>
        <v>Lay's Kettle Cooked Maui Onion Flavored Potato Chips - 8 oz</v>
      </c>
      <c r="E619" t="str">
        <f t="shared" si="37"/>
        <v>8oz</v>
      </c>
      <c r="F619" t="str">
        <f>LEFT(Table1[[#This Row],[Target_product_quantity]], FIND("o", Table1[[#This Row],[Target_product_quantity]])-1)</f>
        <v>8</v>
      </c>
      <c r="G619" t="str" cm="1">
        <f t="array" ref="G619">_xlfn.TEXTJOIN("", TRUE, IF(ISNUMBER(SEARCH($K$1010:$K$1054, C619)), $K$1010:$K$1054, ""))</f>
        <v>Lay's</v>
      </c>
      <c r="H619" t="str">
        <f t="shared" si="35"/>
        <v>Prepared Food</v>
      </c>
      <c r="I619" t="str">
        <f t="shared" si="36"/>
        <v>Prepared Food</v>
      </c>
      <c r="J619">
        <v>4.8899999999999997</v>
      </c>
      <c r="K619">
        <f>Table1[[#This Row],[Target_product_price]]/Table1[[#This Row],[product_price_per_oz]]</f>
        <v>0.61124999999999996</v>
      </c>
    </row>
    <row r="620" spans="1:11" x14ac:dyDescent="0.2">
      <c r="A620" t="s">
        <v>1750</v>
      </c>
      <c r="B620" t="s">
        <v>1751</v>
      </c>
      <c r="C620" t="s">
        <v>1752</v>
      </c>
      <c r="D620" t="str">
        <f>SUBSTITUTE(Table1[[#This Row],[Target_product_name]], "oz", " oz")</f>
        <v>Lay's Kettle Cooked Original Potato Chips - 8 oz</v>
      </c>
      <c r="E620" t="str">
        <f t="shared" si="37"/>
        <v>8oz</v>
      </c>
      <c r="F620" t="str">
        <f>LEFT(Table1[[#This Row],[Target_product_quantity]], FIND("o", Table1[[#This Row],[Target_product_quantity]])-1)</f>
        <v>8</v>
      </c>
      <c r="G620" t="str" cm="1">
        <f t="array" ref="G620">_xlfn.TEXTJOIN("", TRUE, IF(ISNUMBER(SEARCH($K$1010:$K$1054, C620)), $K$1010:$K$1054, ""))</f>
        <v>Lay's</v>
      </c>
      <c r="H620" t="str">
        <f t="shared" si="35"/>
        <v>Prepared Food</v>
      </c>
      <c r="I620" t="str">
        <f t="shared" si="36"/>
        <v>Prepared Food</v>
      </c>
      <c r="J620">
        <v>4.8899999999999997</v>
      </c>
      <c r="K620">
        <f>Table1[[#This Row],[Target_product_price]]/Table1[[#This Row],[product_price_per_oz]]</f>
        <v>0.61124999999999996</v>
      </c>
    </row>
    <row r="621" spans="1:11" x14ac:dyDescent="0.2">
      <c r="A621" t="s">
        <v>1753</v>
      </c>
      <c r="B621" t="s">
        <v>1754</v>
      </c>
      <c r="C621" t="s">
        <v>1755</v>
      </c>
      <c r="D621" t="str">
        <f>SUBSTITUTE(Table1[[#This Row],[Target_product_name]], "oz", " oz")</f>
        <v>Lay's Kettle Cooked Potato Chips, Variety Pack - 0.85 Oz Bag (Pack of 40)</v>
      </c>
      <c r="E621" t="s">
        <v>3035</v>
      </c>
      <c r="F621" t="str">
        <f>LEFT(Table1[[#This Row],[Target_product_quantity]], FIND("o", Table1[[#This Row],[Target_product_quantity]])-1)</f>
        <v>34</v>
      </c>
      <c r="G621" t="str" cm="1">
        <f t="array" ref="G621">_xlfn.TEXTJOIN("", TRUE, IF(ISNUMBER(SEARCH($K$1010:$K$1054, C621)), $K$1010:$K$1054, ""))</f>
        <v>Lay's</v>
      </c>
      <c r="H621" t="str">
        <f t="shared" si="35"/>
        <v>Prepared Food</v>
      </c>
      <c r="I621" t="str">
        <f t="shared" si="36"/>
        <v>Prepared Food</v>
      </c>
      <c r="J621">
        <v>42.99</v>
      </c>
      <c r="K621">
        <f>Table1[[#This Row],[Target_product_price]]/Table1[[#This Row],[product_price_per_oz]]</f>
        <v>1.2644117647058823</v>
      </c>
    </row>
    <row r="622" spans="1:11" x14ac:dyDescent="0.2">
      <c r="A622" t="s">
        <v>1756</v>
      </c>
      <c r="B622" t="s">
        <v>1757</v>
      </c>
      <c r="C622" t="s">
        <v>1758</v>
      </c>
      <c r="D622" t="str">
        <f>SUBSTITUTE(Table1[[#This Row],[Target_product_name]], "oz", " oz")</f>
        <v>Lay's Kettle Cooked Sea Salt &amp; Vinegar Potato Chips - 8 oz</v>
      </c>
      <c r="E622" t="str">
        <f t="shared" si="37"/>
        <v>8oz</v>
      </c>
      <c r="F622" t="str">
        <f>LEFT(Table1[[#This Row],[Target_product_quantity]], FIND("o", Table1[[#This Row],[Target_product_quantity]])-1)</f>
        <v>8</v>
      </c>
      <c r="G622" t="str" cm="1">
        <f t="array" ref="G622">_xlfn.TEXTJOIN("", TRUE, IF(ISNUMBER(SEARCH($K$1010:$K$1054, C622)), $K$1010:$K$1054, ""))</f>
        <v>Lay's</v>
      </c>
      <c r="H622" t="str">
        <f t="shared" si="35"/>
        <v>Prepared Food</v>
      </c>
      <c r="I622" t="str">
        <f t="shared" si="36"/>
        <v>Prepared Food</v>
      </c>
      <c r="J622">
        <v>4.8899999999999997</v>
      </c>
      <c r="K622">
        <f>Table1[[#This Row],[Target_product_price]]/Table1[[#This Row],[product_price_per_oz]]</f>
        <v>0.61124999999999996</v>
      </c>
    </row>
    <row r="623" spans="1:11" x14ac:dyDescent="0.2">
      <c r="A623" t="s">
        <v>1759</v>
      </c>
      <c r="B623" t="s">
        <v>1760</v>
      </c>
      <c r="C623" t="s">
        <v>1761</v>
      </c>
      <c r="D623" t="str">
        <f>SUBSTITUTE(Table1[[#This Row],[Target_product_name]], "oz", " oz")</f>
        <v>Lay's Lightly Salted Classic Potato Chips - 7.75 oz</v>
      </c>
      <c r="E623" t="str">
        <f t="shared" si="37"/>
        <v>7.75oz</v>
      </c>
      <c r="F623" t="str">
        <f>LEFT(Table1[[#This Row],[Target_product_quantity]], FIND("o", Table1[[#This Row],[Target_product_quantity]])-1)</f>
        <v>7.75</v>
      </c>
      <c r="G623" t="str" cm="1">
        <f t="array" ref="G623">_xlfn.TEXTJOIN("", TRUE, IF(ISNUMBER(SEARCH($K$1010:$K$1054, C623)), $K$1010:$K$1054, ""))</f>
        <v>Lay's</v>
      </c>
      <c r="H623" t="str">
        <f t="shared" si="35"/>
        <v>Prepared Food</v>
      </c>
      <c r="I623" t="str">
        <f t="shared" si="36"/>
        <v>Prepared Food</v>
      </c>
      <c r="J623">
        <v>3.99</v>
      </c>
      <c r="K623">
        <f>Table1[[#This Row],[Target_product_price]]/Table1[[#This Row],[product_price_per_oz]]</f>
        <v>0.5148387096774194</v>
      </c>
    </row>
    <row r="624" spans="1:11" x14ac:dyDescent="0.2">
      <c r="A624" t="s">
        <v>1762</v>
      </c>
      <c r="B624" t="s">
        <v>1763</v>
      </c>
      <c r="C624" t="s">
        <v>1764</v>
      </c>
      <c r="D624" t="str">
        <f>SUBSTITUTE(Table1[[#This Row],[Target_product_name]], "oz", " oz")</f>
        <v>Lay's Lightly Salted Party Size Potato Chips- 12.5 oz</v>
      </c>
      <c r="E624" t="str">
        <f t="shared" si="37"/>
        <v>12.5oz</v>
      </c>
      <c r="F624" t="str">
        <f>LEFT(Table1[[#This Row],[Target_product_quantity]], FIND("o", Table1[[#This Row],[Target_product_quantity]])-1)</f>
        <v>12.5</v>
      </c>
      <c r="G624" t="str" cm="1">
        <f t="array" ref="G624">_xlfn.TEXTJOIN("", TRUE, IF(ISNUMBER(SEARCH($K$1010:$K$1054, C624)), $K$1010:$K$1054, ""))</f>
        <v>Lay's</v>
      </c>
      <c r="H624" t="str">
        <f t="shared" si="35"/>
        <v>Prepared Food</v>
      </c>
      <c r="I624" t="str">
        <f t="shared" si="36"/>
        <v>Prepared Food</v>
      </c>
      <c r="J624">
        <v>5.89</v>
      </c>
      <c r="K624">
        <f>Table1[[#This Row],[Target_product_price]]/Table1[[#This Row],[product_price_per_oz]]</f>
        <v>0.47119999999999995</v>
      </c>
    </row>
    <row r="625" spans="1:11" x14ac:dyDescent="0.2">
      <c r="A625" t="s">
        <v>1765</v>
      </c>
      <c r="B625" t="s">
        <v>1766</v>
      </c>
      <c r="C625" t="s">
        <v>1767</v>
      </c>
      <c r="D625" t="str">
        <f>SUBSTITUTE(Table1[[#This Row],[Target_product_name]], "oz", " oz")</f>
        <v>Lay's Lightly Salted Wavy Potato Chips - 7.5 oz</v>
      </c>
      <c r="E625" t="str">
        <f t="shared" si="37"/>
        <v>7.5oz</v>
      </c>
      <c r="F625" t="str">
        <f>LEFT(Table1[[#This Row],[Target_product_quantity]], FIND("o", Table1[[#This Row],[Target_product_quantity]])-1)</f>
        <v>7.5</v>
      </c>
      <c r="G625" t="str" cm="1">
        <f t="array" ref="G625">_xlfn.TEXTJOIN("", TRUE, IF(ISNUMBER(SEARCH($K$1010:$K$1054, C625)), $K$1010:$K$1054, ""))</f>
        <v>Lay's</v>
      </c>
      <c r="H625" t="str">
        <f t="shared" si="35"/>
        <v>Prepared Food</v>
      </c>
      <c r="I625" t="str">
        <f t="shared" si="36"/>
        <v>Prepared Food</v>
      </c>
      <c r="J625">
        <v>3.99</v>
      </c>
      <c r="K625">
        <f>Table1[[#This Row],[Target_product_price]]/Table1[[#This Row],[product_price_per_oz]]</f>
        <v>0.53200000000000003</v>
      </c>
    </row>
    <row r="626" spans="1:11" x14ac:dyDescent="0.2">
      <c r="A626" t="s">
        <v>1768</v>
      </c>
      <c r="B626" t="s">
        <v>1769</v>
      </c>
      <c r="C626" t="s">
        <v>1770</v>
      </c>
      <c r="D626" t="str">
        <f>SUBSTITUTE(Table1[[#This Row],[Target_product_name]], "oz", " oz")</f>
        <v>Lay's Limón Flavored Potato Chips - 7.75 oz</v>
      </c>
      <c r="E626" t="str">
        <f t="shared" si="37"/>
        <v>7.75oz</v>
      </c>
      <c r="F626" t="str">
        <f>LEFT(Table1[[#This Row],[Target_product_quantity]], FIND("o", Table1[[#This Row],[Target_product_quantity]])-1)</f>
        <v>7.75</v>
      </c>
      <c r="G626" t="str" cm="1">
        <f t="array" ref="G626">_xlfn.TEXTJOIN("", TRUE, IF(ISNUMBER(SEARCH($K$1010:$K$1054, C626)), $K$1010:$K$1054, ""))</f>
        <v>Lay's</v>
      </c>
      <c r="H626" t="str">
        <f t="shared" si="35"/>
        <v>Prepared Food</v>
      </c>
      <c r="I626" t="str">
        <f t="shared" si="36"/>
        <v>Prepared Food</v>
      </c>
      <c r="J626">
        <v>3.99</v>
      </c>
      <c r="K626">
        <f>Table1[[#This Row],[Target_product_price]]/Table1[[#This Row],[product_price_per_oz]]</f>
        <v>0.5148387096774194</v>
      </c>
    </row>
    <row r="627" spans="1:11" x14ac:dyDescent="0.2">
      <c r="A627" t="s">
        <v>1771</v>
      </c>
      <c r="B627" t="s">
        <v>1772</v>
      </c>
      <c r="C627" t="s">
        <v>1773</v>
      </c>
      <c r="D627" t="str">
        <f>SUBSTITUTE(Table1[[#This Row],[Target_product_name]], "oz", " oz")</f>
        <v>Lay's Limon Party Size Potato Chips - 12.5 oz</v>
      </c>
      <c r="E627" t="str">
        <f t="shared" si="37"/>
        <v>12.5oz</v>
      </c>
      <c r="F627" t="str">
        <f>LEFT(Table1[[#This Row],[Target_product_quantity]], FIND("o", Table1[[#This Row],[Target_product_quantity]])-1)</f>
        <v>12.5</v>
      </c>
      <c r="G627" t="str" cm="1">
        <f t="array" ref="G627">_xlfn.TEXTJOIN("", TRUE, IF(ISNUMBER(SEARCH($K$1010:$K$1054, C627)), $K$1010:$K$1054, ""))</f>
        <v>Lay's</v>
      </c>
      <c r="H627" t="str">
        <f t="shared" si="35"/>
        <v>Prepared Food</v>
      </c>
      <c r="I627" t="str">
        <f t="shared" si="36"/>
        <v>Prepared Food</v>
      </c>
      <c r="J627">
        <v>5.89</v>
      </c>
      <c r="K627">
        <f>Table1[[#This Row],[Target_product_price]]/Table1[[#This Row],[product_price_per_oz]]</f>
        <v>0.47119999999999995</v>
      </c>
    </row>
    <row r="628" spans="1:11" x14ac:dyDescent="0.2">
      <c r="A628" t="s">
        <v>1774</v>
      </c>
      <c r="B628" t="s">
        <v>1775</v>
      </c>
      <c r="C628" t="s">
        <v>1776</v>
      </c>
      <c r="D628" t="str">
        <f>SUBSTITUTE(Table1[[#This Row],[Target_product_name]], "oz", " oz")</f>
        <v>Lay's Mesquite BBQ Flavored Kettle Cooked Potato Chips - 8 oz</v>
      </c>
      <c r="E628" t="str">
        <f t="shared" si="37"/>
        <v>8oz</v>
      </c>
      <c r="F628" t="str">
        <f>LEFT(Table1[[#This Row],[Target_product_quantity]], FIND("o", Table1[[#This Row],[Target_product_quantity]])-1)</f>
        <v>8</v>
      </c>
      <c r="G628" t="str" cm="1">
        <f t="array" ref="G628">_xlfn.TEXTJOIN("", TRUE, IF(ISNUMBER(SEARCH($K$1010:$K$1054, C628)), $K$1010:$K$1054, ""))</f>
        <v>Lay's</v>
      </c>
      <c r="H628" t="str">
        <f t="shared" si="35"/>
        <v>Prepared Food</v>
      </c>
      <c r="I628" t="str">
        <f t="shared" si="36"/>
        <v>Prepared Food</v>
      </c>
      <c r="J628">
        <v>4.8899999999999997</v>
      </c>
      <c r="K628">
        <f>Table1[[#This Row],[Target_product_price]]/Table1[[#This Row],[product_price_per_oz]]</f>
        <v>0.61124999999999996</v>
      </c>
    </row>
    <row r="629" spans="1:11" x14ac:dyDescent="0.2">
      <c r="A629" t="s">
        <v>1777</v>
      </c>
      <c r="B629" t="s">
        <v>1778</v>
      </c>
      <c r="C629" t="s">
        <v>1779</v>
      </c>
      <c r="D629" t="str">
        <f>SUBSTITUTE(Table1[[#This Row],[Target_product_name]], "oz", " oz")</f>
        <v>Lay's Oven Baked Barbecue Flavored Potato Chips - 6.25 oz</v>
      </c>
      <c r="E629" t="str">
        <f t="shared" si="37"/>
        <v>6.25oz</v>
      </c>
      <c r="F629" t="str">
        <f>LEFT(Table1[[#This Row],[Target_product_quantity]], FIND("o", Table1[[#This Row],[Target_product_quantity]])-1)</f>
        <v>6.25</v>
      </c>
      <c r="G629" t="str" cm="1">
        <f t="array" ref="G629">_xlfn.TEXTJOIN("", TRUE, IF(ISNUMBER(SEARCH($K$1010:$K$1054, C629)), $K$1010:$K$1054, ""))</f>
        <v>Lay's</v>
      </c>
      <c r="H629" t="str">
        <f t="shared" si="35"/>
        <v>Prepared Food</v>
      </c>
      <c r="I629" t="str">
        <f t="shared" si="36"/>
        <v>Prepared Food</v>
      </c>
      <c r="J629">
        <v>4.79</v>
      </c>
      <c r="K629">
        <f>Table1[[#This Row],[Target_product_price]]/Table1[[#This Row],[product_price_per_oz]]</f>
        <v>0.76639999999999997</v>
      </c>
    </row>
    <row r="630" spans="1:11" x14ac:dyDescent="0.2">
      <c r="A630" t="s">
        <v>1780</v>
      </c>
      <c r="B630" t="s">
        <v>1781</v>
      </c>
      <c r="C630" t="s">
        <v>1782</v>
      </c>
      <c r="D630" t="str">
        <f>SUBSTITUTE(Table1[[#This Row],[Target_product_name]], "oz", " oz")</f>
        <v>Lay's Oven Baked Original Potato Chips - 6.25 oz</v>
      </c>
      <c r="E630" t="str">
        <f t="shared" si="37"/>
        <v>6.25oz</v>
      </c>
      <c r="F630" t="str">
        <f>LEFT(Table1[[#This Row],[Target_product_quantity]], FIND("o", Table1[[#This Row],[Target_product_quantity]])-1)</f>
        <v>6.25</v>
      </c>
      <c r="G630" t="str" cm="1">
        <f t="array" ref="G630">_xlfn.TEXTJOIN("", TRUE, IF(ISNUMBER(SEARCH($K$1010:$K$1054, C630)), $K$1010:$K$1054, ""))</f>
        <v>Lay's</v>
      </c>
      <c r="H630" t="str">
        <f t="shared" si="35"/>
        <v>Prepared Food</v>
      </c>
      <c r="I630" t="str">
        <f t="shared" si="36"/>
        <v>Prepared Food</v>
      </c>
      <c r="J630">
        <v>4.79</v>
      </c>
      <c r="K630">
        <f>Table1[[#This Row],[Target_product_price]]/Table1[[#This Row],[product_price_per_oz]]</f>
        <v>0.76639999999999997</v>
      </c>
    </row>
    <row r="631" spans="1:11" x14ac:dyDescent="0.2">
      <c r="A631" t="s">
        <v>1783</v>
      </c>
      <c r="B631" t="s">
        <v>1784</v>
      </c>
      <c r="C631" t="s">
        <v>1785</v>
      </c>
      <c r="D631" t="str">
        <f>SUBSTITUTE(Table1[[#This Row],[Target_product_name]], "oz", " oz")</f>
        <v>Lay's Potato Chips Classic - 1 Ounce Bag (Pack of 40)</v>
      </c>
      <c r="E631" t="s">
        <v>1918</v>
      </c>
      <c r="F631" t="str">
        <f>LEFT(Table1[[#This Row],[Target_product_quantity]], FIND("o", Table1[[#This Row],[Target_product_quantity]])-1)</f>
        <v>40</v>
      </c>
      <c r="G631" t="str" cm="1">
        <f t="array" ref="G631">_xlfn.TEXTJOIN("", TRUE, IF(ISNUMBER(SEARCH($K$1010:$K$1054, C631)), $K$1010:$K$1054, ""))</f>
        <v>Lay's</v>
      </c>
      <c r="H631" t="str">
        <f t="shared" si="35"/>
        <v>Prepared Food</v>
      </c>
      <c r="I631" t="str">
        <f t="shared" si="36"/>
        <v>Prepared Food</v>
      </c>
      <c r="J631">
        <v>46.99</v>
      </c>
      <c r="K631">
        <f>Table1[[#This Row],[Target_product_price]]/Table1[[#This Row],[product_price_per_oz]]</f>
        <v>1.17475</v>
      </c>
    </row>
    <row r="632" spans="1:11" x14ac:dyDescent="0.2">
      <c r="A632" t="s">
        <v>1786</v>
      </c>
      <c r="B632" t="s">
        <v>1787</v>
      </c>
      <c r="C632" t="s">
        <v>1788</v>
      </c>
      <c r="D632" t="str">
        <f>SUBSTITUTE(Table1[[#This Row],[Target_product_name]], "oz", " oz")</f>
        <v>Lay's Salt &amp; Vinegar Flavored Potato Chips - 7.75 oz</v>
      </c>
      <c r="E632" t="str">
        <f t="shared" si="37"/>
        <v>7.75oz</v>
      </c>
      <c r="F632" t="str">
        <f>LEFT(Table1[[#This Row],[Target_product_quantity]], FIND("o", Table1[[#This Row],[Target_product_quantity]])-1)</f>
        <v>7.75</v>
      </c>
      <c r="G632" t="str" cm="1">
        <f t="array" ref="G632">_xlfn.TEXTJOIN("", TRUE, IF(ISNUMBER(SEARCH($K$1010:$K$1054, C632)), $K$1010:$K$1054, ""))</f>
        <v>Lay's</v>
      </c>
      <c r="H632" t="str">
        <f t="shared" si="35"/>
        <v>Prepared Food</v>
      </c>
      <c r="I632" t="str">
        <f t="shared" si="36"/>
        <v>Prepared Food</v>
      </c>
      <c r="J632">
        <v>3.99</v>
      </c>
      <c r="K632">
        <f>Table1[[#This Row],[Target_product_price]]/Table1[[#This Row],[product_price_per_oz]]</f>
        <v>0.5148387096774194</v>
      </c>
    </row>
    <row r="633" spans="1:11" x14ac:dyDescent="0.2">
      <c r="A633" t="s">
        <v>1789</v>
      </c>
      <c r="B633" t="s">
        <v>1790</v>
      </c>
      <c r="C633" t="s">
        <v>1791</v>
      </c>
      <c r="D633" t="str">
        <f>SUBSTITUTE(Table1[[#This Row],[Target_product_name]], "oz", " oz")</f>
        <v>Lay's Salt and Vinegar Party Size Potato Chips - 12.5 oz</v>
      </c>
      <c r="E633" t="str">
        <f t="shared" si="37"/>
        <v>12.5oz</v>
      </c>
      <c r="F633" t="str">
        <f>LEFT(Table1[[#This Row],[Target_product_quantity]], FIND("o", Table1[[#This Row],[Target_product_quantity]])-1)</f>
        <v>12.5</v>
      </c>
      <c r="G633" t="str" cm="1">
        <f t="array" ref="G633">_xlfn.TEXTJOIN("", TRUE, IF(ISNUMBER(SEARCH($K$1010:$K$1054, C633)), $K$1010:$K$1054, ""))</f>
        <v>Lay's</v>
      </c>
      <c r="H633" t="str">
        <f t="shared" si="35"/>
        <v>Prepared Food</v>
      </c>
      <c r="I633" t="str">
        <f t="shared" si="36"/>
        <v>Prepared Food</v>
      </c>
      <c r="J633">
        <v>5.89</v>
      </c>
      <c r="K633">
        <f>Table1[[#This Row],[Target_product_price]]/Table1[[#This Row],[product_price_per_oz]]</f>
        <v>0.47119999999999995</v>
      </c>
    </row>
    <row r="634" spans="1:11" x14ac:dyDescent="0.2">
      <c r="A634" t="s">
        <v>1792</v>
      </c>
      <c r="B634" t="s">
        <v>1793</v>
      </c>
      <c r="C634" t="s">
        <v>1794</v>
      </c>
      <c r="D634" t="str">
        <f>SUBSTITUTE(Table1[[#This Row],[Target_product_name]], "oz", " oz")</f>
        <v>Lay's Snack Pack Classic Potato Chips - 10ct/10 oz</v>
      </c>
      <c r="E634" t="s">
        <v>2330</v>
      </c>
      <c r="F634" t="str">
        <f>LEFT(Table1[[#This Row],[Target_product_quantity]], FIND("o", Table1[[#This Row],[Target_product_quantity]])-1)</f>
        <v>100</v>
      </c>
      <c r="G634" t="str" cm="1">
        <f t="array" ref="G634">_xlfn.TEXTJOIN("", TRUE, IF(ISNUMBER(SEARCH($K$1010:$K$1054, C634)), $K$1010:$K$1054, ""))</f>
        <v>Lay's</v>
      </c>
      <c r="H634" t="str">
        <f t="shared" si="35"/>
        <v>Prepared Food</v>
      </c>
      <c r="I634" t="str">
        <f t="shared" si="36"/>
        <v>Prepared Food</v>
      </c>
      <c r="J634">
        <v>6.19</v>
      </c>
      <c r="K634">
        <f>Table1[[#This Row],[Target_product_price]]/Table1[[#This Row],[product_price_per_oz]]</f>
        <v>6.1900000000000004E-2</v>
      </c>
    </row>
    <row r="635" spans="1:11" x14ac:dyDescent="0.2">
      <c r="A635" t="s">
        <v>1795</v>
      </c>
      <c r="B635" t="s">
        <v>1796</v>
      </c>
      <c r="C635" t="s">
        <v>1797</v>
      </c>
      <c r="D635" t="str">
        <f>SUBSTITUTE(Table1[[#This Row],[Target_product_name]], "oz", " oz")</f>
        <v>Lay's Sour Cream &amp; Onion Flavored Party Size Potato Chips - 12.50 oz</v>
      </c>
      <c r="E635" t="str">
        <f t="shared" si="37"/>
        <v>12.50oz</v>
      </c>
      <c r="F635" t="str">
        <f>LEFT(Table1[[#This Row],[Target_product_quantity]], FIND("o", Table1[[#This Row],[Target_product_quantity]])-1)</f>
        <v>12.50</v>
      </c>
      <c r="G635" t="str" cm="1">
        <f t="array" ref="G635">_xlfn.TEXTJOIN("", TRUE, IF(ISNUMBER(SEARCH($K$1010:$K$1054, C635)), $K$1010:$K$1054, ""))</f>
        <v>Lay's</v>
      </c>
      <c r="H635" t="str">
        <f t="shared" si="35"/>
        <v>Prepared Food</v>
      </c>
      <c r="I635" t="str">
        <f t="shared" si="36"/>
        <v>Prepared Food</v>
      </c>
      <c r="J635">
        <v>5.89</v>
      </c>
      <c r="K635">
        <f>Table1[[#This Row],[Target_product_price]]/Table1[[#This Row],[product_price_per_oz]]</f>
        <v>0.47119999999999995</v>
      </c>
    </row>
    <row r="636" spans="1:11" x14ac:dyDescent="0.2">
      <c r="A636" t="s">
        <v>1798</v>
      </c>
      <c r="B636" t="s">
        <v>1799</v>
      </c>
      <c r="C636" t="s">
        <v>1800</v>
      </c>
      <c r="D636" t="str">
        <f>SUBSTITUTE(Table1[[#This Row],[Target_product_name]], "oz", " oz")</f>
        <v>Lay's Sour Cream &amp; Onion Flavored Potato Chips - 7.75 oz</v>
      </c>
      <c r="E636" t="str">
        <f t="shared" si="37"/>
        <v>7.75oz</v>
      </c>
      <c r="F636" t="str">
        <f>LEFT(Table1[[#This Row],[Target_product_quantity]], FIND("o", Table1[[#This Row],[Target_product_quantity]])-1)</f>
        <v>7.75</v>
      </c>
      <c r="G636" t="str" cm="1">
        <f t="array" ref="G636">_xlfn.TEXTJOIN("", TRUE, IF(ISNUMBER(SEARCH($K$1010:$K$1054, C636)), $K$1010:$K$1054, ""))</f>
        <v>Lay's</v>
      </c>
      <c r="H636" t="str">
        <f t="shared" si="35"/>
        <v>Prepared Food</v>
      </c>
      <c r="I636" t="str">
        <f t="shared" si="36"/>
        <v>Prepared Food</v>
      </c>
      <c r="J636">
        <v>3.99</v>
      </c>
      <c r="K636">
        <f>Table1[[#This Row],[Target_product_price]]/Table1[[#This Row],[product_price_per_oz]]</f>
        <v>0.5148387096774194</v>
      </c>
    </row>
    <row r="637" spans="1:11" x14ac:dyDescent="0.2">
      <c r="A637" t="s">
        <v>1801</v>
      </c>
      <c r="B637" t="s">
        <v>1802</v>
      </c>
      <c r="C637" t="s">
        <v>1803</v>
      </c>
      <c r="D637" t="str">
        <f>SUBSTITUTE(Table1[[#This Row],[Target_product_name]], "oz", " oz")</f>
        <v>Lay's Sweet &amp; Spicy Honey Flavored Chips - 7.75 oz</v>
      </c>
      <c r="E637" t="str">
        <f t="shared" si="37"/>
        <v>7.75oz</v>
      </c>
      <c r="F637" t="str">
        <f>LEFT(Table1[[#This Row],[Target_product_quantity]], FIND("o", Table1[[#This Row],[Target_product_quantity]])-1)</f>
        <v>7.75</v>
      </c>
      <c r="G637" t="str" cm="1">
        <f t="array" ref="G637">_xlfn.TEXTJOIN("", TRUE, IF(ISNUMBER(SEARCH($K$1010:$K$1054, C637)), $K$1010:$K$1054, ""))</f>
        <v>Lay's</v>
      </c>
      <c r="H637" t="str">
        <f t="shared" si="35"/>
        <v>Prepared Food</v>
      </c>
      <c r="I637" t="str">
        <f t="shared" si="36"/>
        <v>Prepared Food</v>
      </c>
      <c r="J637">
        <v>3.99</v>
      </c>
      <c r="K637">
        <f>Table1[[#This Row],[Target_product_price]]/Table1[[#This Row],[product_price_per_oz]]</f>
        <v>0.5148387096774194</v>
      </c>
    </row>
    <row r="638" spans="1:11" x14ac:dyDescent="0.2">
      <c r="A638" t="s">
        <v>1804</v>
      </c>
      <c r="B638" t="s">
        <v>1805</v>
      </c>
      <c r="C638" t="s">
        <v>1806</v>
      </c>
      <c r="D638" t="str">
        <f>SUBSTITUTE(Table1[[#This Row],[Target_product_name]], "oz", " oz")</f>
        <v>Lay's Sweet Southern Heat Barbecue Flavored Potato Chips - 7.75 oz</v>
      </c>
      <c r="E638" t="str">
        <f t="shared" si="37"/>
        <v>7.75oz</v>
      </c>
      <c r="F638" t="str">
        <f>LEFT(Table1[[#This Row],[Target_product_quantity]], FIND("o", Table1[[#This Row],[Target_product_quantity]])-1)</f>
        <v>7.75</v>
      </c>
      <c r="G638" t="str" cm="1">
        <f t="array" ref="G638">_xlfn.TEXTJOIN("", TRUE, IF(ISNUMBER(SEARCH($K$1010:$K$1054, C638)), $K$1010:$K$1054, ""))</f>
        <v>Lay's</v>
      </c>
      <c r="H638" t="str">
        <f t="shared" si="35"/>
        <v>Prepared Food</v>
      </c>
      <c r="I638" t="str">
        <f t="shared" si="36"/>
        <v>Prepared Food</v>
      </c>
      <c r="J638">
        <v>3.99</v>
      </c>
      <c r="K638">
        <f>Table1[[#This Row],[Target_product_price]]/Table1[[#This Row],[product_price_per_oz]]</f>
        <v>0.5148387096774194</v>
      </c>
    </row>
    <row r="639" spans="1:11" x14ac:dyDescent="0.2">
      <c r="A639" t="s">
        <v>1807</v>
      </c>
      <c r="B639" t="s">
        <v>1808</v>
      </c>
      <c r="C639" t="s">
        <v>1809</v>
      </c>
      <c r="D639" t="str">
        <f>SUBSTITUTE(Table1[[#This Row],[Target_product_name]], "oz", " oz")</f>
        <v>Lay's Wavy Funyuns Onion Potato Chips - 7.5 oz</v>
      </c>
      <c r="E639" t="str">
        <f t="shared" si="37"/>
        <v>7.5oz</v>
      </c>
      <c r="F639" t="str">
        <f>LEFT(Table1[[#This Row],[Target_product_quantity]], FIND("o", Table1[[#This Row],[Target_product_quantity]])-1)</f>
        <v>7.5</v>
      </c>
      <c r="G639" t="str" cm="1">
        <f t="array" ref="G639">_xlfn.TEXTJOIN("", TRUE, IF(ISNUMBER(SEARCH($K$1010:$K$1054, C639)), $K$1010:$K$1054, ""))</f>
        <v>Lay's</v>
      </c>
      <c r="H639" t="str">
        <f t="shared" si="35"/>
        <v>Prepared Food</v>
      </c>
      <c r="I639" t="str">
        <f t="shared" si="36"/>
        <v>Prepared Food</v>
      </c>
      <c r="J639">
        <v>3.99</v>
      </c>
      <c r="K639">
        <f>Table1[[#This Row],[Target_product_price]]/Table1[[#This Row],[product_price_per_oz]]</f>
        <v>0.53200000000000003</v>
      </c>
    </row>
    <row r="640" spans="1:11" x14ac:dyDescent="0.2">
      <c r="A640" t="s">
        <v>1810</v>
      </c>
      <c r="B640" t="s">
        <v>1811</v>
      </c>
      <c r="C640" t="s">
        <v>1812</v>
      </c>
      <c r="D640" t="str">
        <f>SUBSTITUTE(Table1[[#This Row],[Target_product_name]], "oz", " oz")</f>
        <v>Lay's Wavy Hickory Barbecue Flavored Potato Chips - 7.5 oz</v>
      </c>
      <c r="E640" t="str">
        <f t="shared" si="37"/>
        <v>7.5oz</v>
      </c>
      <c r="F640" t="str">
        <f>LEFT(Table1[[#This Row],[Target_product_quantity]], FIND("o", Table1[[#This Row],[Target_product_quantity]])-1)</f>
        <v>7.5</v>
      </c>
      <c r="G640" t="str" cm="1">
        <f t="array" ref="G640">_xlfn.TEXTJOIN("", TRUE, IF(ISNUMBER(SEARCH($K$1010:$K$1054, C640)), $K$1010:$K$1054, ""))</f>
        <v>Lay's</v>
      </c>
      <c r="H640" t="str">
        <f t="shared" si="35"/>
        <v>Prepared Food</v>
      </c>
      <c r="I640" t="str">
        <f t="shared" si="36"/>
        <v>Prepared Food</v>
      </c>
      <c r="J640">
        <v>3.99</v>
      </c>
      <c r="K640">
        <f>Table1[[#This Row],[Target_product_price]]/Table1[[#This Row],[product_price_per_oz]]</f>
        <v>0.53200000000000003</v>
      </c>
    </row>
    <row r="641" spans="1:11" x14ac:dyDescent="0.2">
      <c r="A641" t="s">
        <v>1813</v>
      </c>
      <c r="B641" t="s">
        <v>1814</v>
      </c>
      <c r="C641" t="s">
        <v>1815</v>
      </c>
      <c r="D641" t="str">
        <f>SUBSTITUTE(Table1[[#This Row],[Target_product_name]], "oz", " oz")</f>
        <v>Lay's Wavy Original Party Size Potato Chips - 13 oz</v>
      </c>
      <c r="E641" t="str">
        <f t="shared" si="37"/>
        <v>13oz</v>
      </c>
      <c r="F641" t="str">
        <f>LEFT(Table1[[#This Row],[Target_product_quantity]], FIND("o", Table1[[#This Row],[Target_product_quantity]])-1)</f>
        <v>13</v>
      </c>
      <c r="G641" t="str" cm="1">
        <f t="array" ref="G641">_xlfn.TEXTJOIN("", TRUE, IF(ISNUMBER(SEARCH($K$1010:$K$1054, C641)), $K$1010:$K$1054, ""))</f>
        <v>Lay's</v>
      </c>
      <c r="H641" t="str">
        <f t="shared" si="35"/>
        <v>Prepared Food</v>
      </c>
      <c r="I641" t="str">
        <f t="shared" si="36"/>
        <v>Prepared Food</v>
      </c>
      <c r="J641">
        <v>5.89</v>
      </c>
      <c r="K641">
        <f>Table1[[#This Row],[Target_product_price]]/Table1[[#This Row],[product_price_per_oz]]</f>
        <v>0.45307692307692304</v>
      </c>
    </row>
    <row r="642" spans="1:11" x14ac:dyDescent="0.2">
      <c r="A642" t="s">
        <v>1816</v>
      </c>
      <c r="B642" t="s">
        <v>1817</v>
      </c>
      <c r="C642" t="s">
        <v>1818</v>
      </c>
      <c r="D642" t="str">
        <f>SUBSTITUTE(Table1[[#This Row],[Target_product_name]], "oz", " oz")</f>
        <v>Lay's Wavy Original Potato Chips - 7.75 oz</v>
      </c>
      <c r="E642" t="str">
        <f t="shared" si="37"/>
        <v>7.75oz</v>
      </c>
      <c r="F642" t="str">
        <f>LEFT(Table1[[#This Row],[Target_product_quantity]], FIND("o", Table1[[#This Row],[Target_product_quantity]])-1)</f>
        <v>7.75</v>
      </c>
      <c r="G642" t="str" cm="1">
        <f t="array" ref="G642">_xlfn.TEXTJOIN("", TRUE, IF(ISNUMBER(SEARCH($K$1010:$K$1054, C642)), $K$1010:$K$1054, ""))</f>
        <v>Lay's</v>
      </c>
      <c r="H642" t="str">
        <f t="shared" ref="H642:H705" si="38">IF(OR(G642="Mission",G642="Nature's Own",G642="Sara Lee"),"Bread",
IF(OR(G642="Del Monte",G642="Dole",G642="Mott's"),"Canned Fruit",
IF(OR(G642="Goya",G642="Hunt's",G642="Birds Eye"),"Canned Vegetables",
IF(OR(G642="Fairlife",G642="Horizon Organic",G642="Lactaid",G642="Ben &amp; Jerry's"),"Milk",
IF(OR(G642="BelGioioso",G642="Kraft",G642="Philadelphia"),"Cheese",
IF(OR(G642="Chobani",G642="Oikos",G642="Light + Fit"),"Yogurt",
IF(OR(G642="Barilla",G642="Annie's",G642="Rao's Homemade"),"Pasta",
IF(OR(G642="Hershey's",G642="Lay's",G642="Totino's",G642="Cheerios",G642="Jif",G642="Skippy",G642="Nature Valley",G642="Oreo",G642="DiGiorno",G642="Eggo"),"Prepared Food",
IF(OR(G642="Ben's Original",G642="Lundberg",G642="Quaker"),"Rice",
IF(OR(G642="Bush's",G642="Hillshire Farm",G642="Oscar Mayer",G642="SPAM"),"Protein",
IF(OR(G642="Starbucks",G642="Sparkling Ice",G642="Coca-Cola",G642="San Pellegrino",G642="Gatorade",G642="Arizona"),"Beverages",
"Other")))))))))))</f>
        <v>Prepared Food</v>
      </c>
      <c r="I642" t="str">
        <f t="shared" ref="I642:I705" si="39">IF(OR(H642="Bread",H642="Rice",H642="Pasta"), "Grain",
IF(OR(H642="Milk",H642="Cheese",H642="Yogurt"), "Dairy",
IF(OR(H642="Canned Fruit",H642="Canned Vegetables"), "Fruit &amp; Vegetables",
IF(H642="Prepared Food", "Prepared Food",
IF(H642="Protein", "Protein",
IF(H642="Beverages", "Beverages",
"Other"))))))</f>
        <v>Prepared Food</v>
      </c>
      <c r="J642">
        <v>3.99</v>
      </c>
      <c r="K642">
        <f>Table1[[#This Row],[Target_product_price]]/Table1[[#This Row],[product_price_per_oz]]</f>
        <v>0.5148387096774194</v>
      </c>
    </row>
    <row r="643" spans="1:11" x14ac:dyDescent="0.2">
      <c r="A643" t="s">
        <v>1819</v>
      </c>
      <c r="B643" t="s">
        <v>1820</v>
      </c>
      <c r="C643" t="s">
        <v>1821</v>
      </c>
      <c r="D643" t="str">
        <f>SUBSTITUTE(Table1[[#This Row],[Target_product_name]], "oz", " oz")</f>
        <v>Light + Fit Nonfat Gluten-Free Cherry Greek Yogurt - 4ct/5.3 oz Cups</v>
      </c>
      <c r="E643" t="s">
        <v>3003</v>
      </c>
      <c r="F643" t="str">
        <f>LEFT(Table1[[#This Row],[Target_product_quantity]], FIND("o", Table1[[#This Row],[Target_product_quantity]])-1)</f>
        <v>21.2</v>
      </c>
      <c r="G643" t="str" cm="1">
        <f t="array" ref="G643">_xlfn.TEXTJOIN("", TRUE, IF(ISNUMBER(SEARCH($K$1010:$K$1054, C643)), $K$1010:$K$1054, ""))</f>
        <v>Light + Fit</v>
      </c>
      <c r="H643" t="str">
        <f t="shared" si="38"/>
        <v>Yogurt</v>
      </c>
      <c r="I643" t="str">
        <f t="shared" si="39"/>
        <v>Dairy</v>
      </c>
      <c r="J643">
        <v>4.49</v>
      </c>
      <c r="K643">
        <f>Table1[[#This Row],[Target_product_price]]/Table1[[#This Row],[product_price_per_oz]]</f>
        <v>0.21179245283018869</v>
      </c>
    </row>
    <row r="644" spans="1:11" x14ac:dyDescent="0.2">
      <c r="A644" t="s">
        <v>1822</v>
      </c>
      <c r="B644" t="s">
        <v>1823</v>
      </c>
      <c r="C644" t="s">
        <v>1824</v>
      </c>
      <c r="D644" t="str">
        <f>SUBSTITUTE(Table1[[#This Row],[Target_product_name]], "oz", " oz")</f>
        <v>Light + Fit Nonfat Gluten-Free Peach Greek Yogurt - 4ct/5.3 oz Cups</v>
      </c>
      <c r="E644" t="s">
        <v>3003</v>
      </c>
      <c r="F644" t="str">
        <f>LEFT(Table1[[#This Row],[Target_product_quantity]], FIND("o", Table1[[#This Row],[Target_product_quantity]])-1)</f>
        <v>21.2</v>
      </c>
      <c r="G644" t="str" cm="1">
        <f t="array" ref="G644">_xlfn.TEXTJOIN("", TRUE, IF(ISNUMBER(SEARCH($K$1010:$K$1054, C644)), $K$1010:$K$1054, ""))</f>
        <v>Light + Fit</v>
      </c>
      <c r="H644" t="str">
        <f t="shared" si="38"/>
        <v>Yogurt</v>
      </c>
      <c r="I644" t="str">
        <f t="shared" si="39"/>
        <v>Dairy</v>
      </c>
      <c r="J644">
        <v>4.49</v>
      </c>
      <c r="K644">
        <f>Table1[[#This Row],[Target_product_price]]/Table1[[#This Row],[product_price_per_oz]]</f>
        <v>0.21179245283018869</v>
      </c>
    </row>
    <row r="645" spans="1:11" x14ac:dyDescent="0.2">
      <c r="A645" t="s">
        <v>1825</v>
      </c>
      <c r="B645" t="s">
        <v>1826</v>
      </c>
      <c r="C645" t="s">
        <v>1827</v>
      </c>
      <c r="D645" t="str">
        <f>SUBSTITUTE(Table1[[#This Row],[Target_product_name]], "oz", " oz")</f>
        <v>Light + Fit Nonfat Gluten-Free Strawberry Cheesecake Greek Yogurt - 4ct/5.3 oz Cups</v>
      </c>
      <c r="E645" t="s">
        <v>3003</v>
      </c>
      <c r="F645" t="str">
        <f>LEFT(Table1[[#This Row],[Target_product_quantity]], FIND("o", Table1[[#This Row],[Target_product_quantity]])-1)</f>
        <v>21.2</v>
      </c>
      <c r="G645" t="str" cm="1">
        <f t="array" ref="G645">_xlfn.TEXTJOIN("", TRUE, IF(ISNUMBER(SEARCH($K$1010:$K$1054, C645)), $K$1010:$K$1054, ""))</f>
        <v>Light + Fit</v>
      </c>
      <c r="H645" t="str">
        <f t="shared" si="38"/>
        <v>Yogurt</v>
      </c>
      <c r="I645" t="str">
        <f t="shared" si="39"/>
        <v>Dairy</v>
      </c>
      <c r="J645">
        <v>4.29</v>
      </c>
      <c r="K645">
        <f>Table1[[#This Row],[Target_product_price]]/Table1[[#This Row],[product_price_per_oz]]</f>
        <v>0.20235849056603775</v>
      </c>
    </row>
    <row r="646" spans="1:11" x14ac:dyDescent="0.2">
      <c r="A646" t="s">
        <v>1828</v>
      </c>
      <c r="B646" t="s">
        <v>1829</v>
      </c>
      <c r="C646" t="s">
        <v>1830</v>
      </c>
      <c r="D646" t="str">
        <f>SUBSTITUTE(Table1[[#This Row],[Target_product_name]], "oz", " oz")</f>
        <v>Light + Fit Nonfat Gluten-Free Strawberry Greek Yogurt - 4ct/5.3 oz Cups</v>
      </c>
      <c r="E646" t="s">
        <v>3003</v>
      </c>
      <c r="F646" t="str">
        <f>LEFT(Table1[[#This Row],[Target_product_quantity]], FIND("o", Table1[[#This Row],[Target_product_quantity]])-1)</f>
        <v>21.2</v>
      </c>
      <c r="G646" t="str" cm="1">
        <f t="array" ref="G646">_xlfn.TEXTJOIN("", TRUE, IF(ISNUMBER(SEARCH($K$1010:$K$1054, C646)), $K$1010:$K$1054, ""))</f>
        <v>Light + Fit</v>
      </c>
      <c r="H646" t="str">
        <f t="shared" si="38"/>
        <v>Yogurt</v>
      </c>
      <c r="I646" t="str">
        <f t="shared" si="39"/>
        <v>Dairy</v>
      </c>
      <c r="J646">
        <v>4.29</v>
      </c>
      <c r="K646">
        <f>Table1[[#This Row],[Target_product_price]]/Table1[[#This Row],[product_price_per_oz]]</f>
        <v>0.20235849056603775</v>
      </c>
    </row>
    <row r="647" spans="1:11" x14ac:dyDescent="0.2">
      <c r="A647" t="s">
        <v>1831</v>
      </c>
      <c r="B647" t="s">
        <v>1832</v>
      </c>
      <c r="C647" t="s">
        <v>1833</v>
      </c>
      <c r="D647" t="str">
        <f>SUBSTITUTE(Table1[[#This Row],[Target_product_name]], "oz", " oz")</f>
        <v>Light + Fit Nonfat Gluten-Free Toasted Coconut Vanilla Greek Yogurt - 4ct/5.3 oz Cups</v>
      </c>
      <c r="E647" t="s">
        <v>3003</v>
      </c>
      <c r="F647" t="str">
        <f>LEFT(Table1[[#This Row],[Target_product_quantity]], FIND("o", Table1[[#This Row],[Target_product_quantity]])-1)</f>
        <v>21.2</v>
      </c>
      <c r="G647" t="str" cm="1">
        <f t="array" ref="G647">_xlfn.TEXTJOIN("", TRUE, IF(ISNUMBER(SEARCH($K$1010:$K$1054, C647)), $K$1010:$K$1054, ""))</f>
        <v>Light + Fit</v>
      </c>
      <c r="H647" t="str">
        <f t="shared" si="38"/>
        <v>Yogurt</v>
      </c>
      <c r="I647" t="str">
        <f t="shared" si="39"/>
        <v>Dairy</v>
      </c>
      <c r="J647">
        <v>4.29</v>
      </c>
      <c r="K647">
        <f>Table1[[#This Row],[Target_product_price]]/Table1[[#This Row],[product_price_per_oz]]</f>
        <v>0.20235849056603775</v>
      </c>
    </row>
    <row r="648" spans="1:11" x14ac:dyDescent="0.2">
      <c r="A648" t="s">
        <v>1834</v>
      </c>
      <c r="B648" t="s">
        <v>1835</v>
      </c>
      <c r="C648" t="s">
        <v>1836</v>
      </c>
      <c r="D648" t="str">
        <f>SUBSTITUTE(Table1[[#This Row],[Target_product_name]], "oz", " oz")</f>
        <v>Light + Fit Nonfat Gluten-Free Vanilla Greek Yogurt - 32 oz Tub</v>
      </c>
      <c r="E648" t="s">
        <v>1837</v>
      </c>
      <c r="F648" t="str">
        <f>LEFT(Table1[[#This Row],[Target_product_quantity]], FIND("o", Table1[[#This Row],[Target_product_quantity]])-1)</f>
        <v>32</v>
      </c>
      <c r="G648" t="str" cm="1">
        <f t="array" ref="G648">_xlfn.TEXTJOIN("", TRUE, IF(ISNUMBER(SEARCH($K$1010:$K$1054, C648)), $K$1010:$K$1054, ""))</f>
        <v>Light + Fit</v>
      </c>
      <c r="H648" t="str">
        <f t="shared" si="38"/>
        <v>Yogurt</v>
      </c>
      <c r="I648" t="str">
        <f t="shared" si="39"/>
        <v>Dairy</v>
      </c>
      <c r="J648">
        <v>6.49</v>
      </c>
      <c r="K648">
        <f>Table1[[#This Row],[Target_product_price]]/Table1[[#This Row],[product_price_per_oz]]</f>
        <v>0.20281250000000001</v>
      </c>
    </row>
    <row r="649" spans="1:11" x14ac:dyDescent="0.2">
      <c r="A649" t="s">
        <v>1838</v>
      </c>
      <c r="B649" t="s">
        <v>1839</v>
      </c>
      <c r="C649" t="s">
        <v>1840</v>
      </c>
      <c r="D649" t="str">
        <f>SUBSTITUTE(Table1[[#This Row],[Target_product_name]], "oz", " oz")</f>
        <v>Light + Fit Nonfat Gluten-Free Vanilla Greek Yogurt - 4ct/5.3 oz Cups</v>
      </c>
      <c r="E649" t="s">
        <v>1841</v>
      </c>
      <c r="F649" t="str">
        <f>LEFT(Table1[[#This Row],[Target_product_quantity]], FIND("o", Table1[[#This Row],[Target_product_quantity]])-1)</f>
        <v>21.4</v>
      </c>
      <c r="G649" t="str" cm="1">
        <f t="array" ref="G649">_xlfn.TEXTJOIN("", TRUE, IF(ISNUMBER(SEARCH($K$1010:$K$1054, C649)), $K$1010:$K$1054, ""))</f>
        <v>Light + Fit</v>
      </c>
      <c r="H649" t="str">
        <f t="shared" si="38"/>
        <v>Yogurt</v>
      </c>
      <c r="I649" t="str">
        <f t="shared" si="39"/>
        <v>Dairy</v>
      </c>
      <c r="J649">
        <v>4.29</v>
      </c>
      <c r="K649">
        <f>Table1[[#This Row],[Target_product_price]]/Table1[[#This Row],[product_price_per_oz]]</f>
        <v>0.20046728971962618</v>
      </c>
    </row>
    <row r="650" spans="1:11" x14ac:dyDescent="0.2">
      <c r="A650" t="s">
        <v>1842</v>
      </c>
      <c r="B650" t="s">
        <v>1843</v>
      </c>
      <c r="C650" t="s">
        <v>1844</v>
      </c>
      <c r="D650" t="str">
        <f>SUBSTITUTE(Table1[[#This Row],[Target_product_name]], "oz", " oz")</f>
        <v>Light + Fit Nonfat Gluten-Free Vanilla Yogurt - 32 oz Tub</v>
      </c>
      <c r="E650" t="s">
        <v>1837</v>
      </c>
      <c r="F650" t="str">
        <f>LEFT(Table1[[#This Row],[Target_product_quantity]], FIND("o", Table1[[#This Row],[Target_product_quantity]])-1)</f>
        <v>32</v>
      </c>
      <c r="G650" t="str" cm="1">
        <f t="array" ref="G650">_xlfn.TEXTJOIN("", TRUE, IF(ISNUMBER(SEARCH($K$1010:$K$1054, C650)), $K$1010:$K$1054, ""))</f>
        <v>Light + Fit</v>
      </c>
      <c r="H650" t="str">
        <f t="shared" si="38"/>
        <v>Yogurt</v>
      </c>
      <c r="I650" t="str">
        <f t="shared" si="39"/>
        <v>Dairy</v>
      </c>
      <c r="J650">
        <v>3.39</v>
      </c>
      <c r="K650">
        <f>Table1[[#This Row],[Target_product_price]]/Table1[[#This Row],[product_price_per_oz]]</f>
        <v>0.1059375</v>
      </c>
    </row>
    <row r="651" spans="1:11" x14ac:dyDescent="0.2">
      <c r="A651" t="s">
        <v>1845</v>
      </c>
      <c r="B651" t="s">
        <v>1846</v>
      </c>
      <c r="C651" t="s">
        <v>1847</v>
      </c>
      <c r="D651" t="str">
        <f>SUBSTITUTE(Table1[[#This Row],[Target_product_name]], "oz", " oz")</f>
        <v>Light + Fit REMIX Greek Yogurt - 4.5 oz</v>
      </c>
      <c r="E651" t="str">
        <f>TRIM(RIGHT(C651, LEN(C651) - FIND("-", C651)))</f>
        <v>4.5oz</v>
      </c>
      <c r="F651" t="str">
        <f>LEFT(Table1[[#This Row],[Target_product_quantity]], FIND("o", Table1[[#This Row],[Target_product_quantity]])-1)</f>
        <v>4.5</v>
      </c>
      <c r="G651" t="str" cm="1">
        <f t="array" ref="G651">_xlfn.TEXTJOIN("", TRUE, IF(ISNUMBER(SEARCH($K$1010:$K$1054, C651)), $K$1010:$K$1054, ""))</f>
        <v>Light + Fit</v>
      </c>
      <c r="H651" t="str">
        <f t="shared" si="38"/>
        <v>Yogurt</v>
      </c>
      <c r="I651" t="str">
        <f t="shared" si="39"/>
        <v>Dairy</v>
      </c>
      <c r="J651">
        <v>1.49</v>
      </c>
      <c r="K651">
        <f>Table1[[#This Row],[Target_product_price]]/Table1[[#This Row],[product_price_per_oz]]</f>
        <v>0.33111111111111113</v>
      </c>
    </row>
    <row r="652" spans="1:11" x14ac:dyDescent="0.2">
      <c r="A652" t="s">
        <v>1848</v>
      </c>
      <c r="B652" t="s">
        <v>1849</v>
      </c>
      <c r="C652" t="s">
        <v>1847</v>
      </c>
      <c r="D652" t="str">
        <f>SUBSTITUTE(Table1[[#This Row],[Target_product_name]], "oz", " oz")</f>
        <v>Light + Fit REMIX Greek Yogurt - 4.5 oz</v>
      </c>
      <c r="E652" t="str">
        <f>TRIM(RIGHT(C652, LEN(C652) - FIND("-", C652)))</f>
        <v>4.5oz</v>
      </c>
      <c r="F652" t="str">
        <f>LEFT(Table1[[#This Row],[Target_product_quantity]], FIND("o", Table1[[#This Row],[Target_product_quantity]])-1)</f>
        <v>4.5</v>
      </c>
      <c r="G652" t="str" cm="1">
        <f t="array" ref="G652">_xlfn.TEXTJOIN("", TRUE, IF(ISNUMBER(SEARCH($K$1010:$K$1054, C652)), $K$1010:$K$1054, ""))</f>
        <v>Light + Fit</v>
      </c>
      <c r="H652" t="str">
        <f t="shared" si="38"/>
        <v>Yogurt</v>
      </c>
      <c r="I652" t="str">
        <f t="shared" si="39"/>
        <v>Dairy</v>
      </c>
      <c r="J652">
        <v>1.49</v>
      </c>
      <c r="K652">
        <f>Table1[[#This Row],[Target_product_price]]/Table1[[#This Row],[product_price_per_oz]]</f>
        <v>0.33111111111111113</v>
      </c>
    </row>
    <row r="653" spans="1:11" x14ac:dyDescent="0.2">
      <c r="A653" t="s">
        <v>1845</v>
      </c>
      <c r="B653" t="s">
        <v>1846</v>
      </c>
      <c r="C653" t="s">
        <v>1847</v>
      </c>
      <c r="D653" t="str">
        <f>SUBSTITUTE(Table1[[#This Row],[Target_product_name]], "oz", " oz")</f>
        <v>Light + Fit REMIX Greek Yogurt - 4.5 oz</v>
      </c>
      <c r="E653" t="str">
        <f>TRIM(RIGHT(C653, LEN(C653) - FIND("-", C653)))</f>
        <v>4.5oz</v>
      </c>
      <c r="F653" t="str">
        <f>LEFT(Table1[[#This Row],[Target_product_quantity]], FIND("o", Table1[[#This Row],[Target_product_quantity]])-1)</f>
        <v>4.5</v>
      </c>
      <c r="G653" t="str" cm="1">
        <f t="array" ref="G653">_xlfn.TEXTJOIN("", TRUE, IF(ISNUMBER(SEARCH($K$1010:$K$1054, C653)), $K$1010:$K$1054, ""))</f>
        <v>Light + Fit</v>
      </c>
      <c r="H653" t="str">
        <f t="shared" si="38"/>
        <v>Yogurt</v>
      </c>
      <c r="I653" t="str">
        <f t="shared" si="39"/>
        <v>Dairy</v>
      </c>
      <c r="J653">
        <v>1.49</v>
      </c>
      <c r="K653">
        <f>Table1[[#This Row],[Target_product_price]]/Table1[[#This Row],[product_price_per_oz]]</f>
        <v>0.33111111111111113</v>
      </c>
    </row>
    <row r="654" spans="1:11" x14ac:dyDescent="0.2">
      <c r="A654" t="s">
        <v>1850</v>
      </c>
      <c r="B654" t="s">
        <v>1851</v>
      </c>
      <c r="C654" t="s">
        <v>1852</v>
      </c>
      <c r="D654" t="str">
        <f>SUBSTITUTE(Table1[[#This Row],[Target_product_name]], "oz", " oz")</f>
        <v>Light + Fit REMIX Greek Yogurt - 4.5 oz Cup</v>
      </c>
      <c r="E654" t="s">
        <v>1853</v>
      </c>
      <c r="F654" t="str">
        <f>LEFT(Table1[[#This Row],[Target_product_quantity]], FIND("o", Table1[[#This Row],[Target_product_quantity]])-1)</f>
        <v>4.5</v>
      </c>
      <c r="G654" t="str" cm="1">
        <f t="array" ref="G654">_xlfn.TEXTJOIN("", TRUE, IF(ISNUMBER(SEARCH($K$1010:$K$1054, C654)), $K$1010:$K$1054, ""))</f>
        <v>Light + Fit</v>
      </c>
      <c r="H654" t="str">
        <f t="shared" si="38"/>
        <v>Yogurt</v>
      </c>
      <c r="I654" t="str">
        <f t="shared" si="39"/>
        <v>Dairy</v>
      </c>
      <c r="J654">
        <v>1.49</v>
      </c>
      <c r="K654">
        <f>Table1[[#This Row],[Target_product_price]]/Table1[[#This Row],[product_price_per_oz]]</f>
        <v>0.33111111111111113</v>
      </c>
    </row>
    <row r="655" spans="1:11" x14ac:dyDescent="0.2">
      <c r="A655" t="s">
        <v>1854</v>
      </c>
      <c r="B655" t="s">
        <v>1855</v>
      </c>
      <c r="C655" t="s">
        <v>1856</v>
      </c>
      <c r="D655" t="str">
        <f>SUBSTITUTE(Table1[[#This Row],[Target_product_name]], "oz", " oz")</f>
        <v>Lundberg American White Jasmine Rice - 25 lb</v>
      </c>
      <c r="E655" t="s">
        <v>1857</v>
      </c>
      <c r="F655" t="str">
        <f>LEFT(Table1[[#This Row],[Target_product_quantity]], FIND("o", Table1[[#This Row],[Target_product_quantity]])-1)</f>
        <v>400</v>
      </c>
      <c r="G655" t="str" cm="1">
        <f t="array" ref="G655">_xlfn.TEXTJOIN("", TRUE, IF(ISNUMBER(SEARCH($K$1010:$K$1054, C655)), $K$1010:$K$1054, ""))</f>
        <v>Lundberg</v>
      </c>
      <c r="H655" t="str">
        <f t="shared" si="38"/>
        <v>Rice</v>
      </c>
      <c r="I655" t="str">
        <f t="shared" si="39"/>
        <v>Grain</v>
      </c>
      <c r="J655">
        <v>34.99</v>
      </c>
      <c r="K655">
        <f>Table1[[#This Row],[Target_product_price]]/Table1[[#This Row],[product_price_per_oz]]</f>
        <v>8.7475000000000011E-2</v>
      </c>
    </row>
    <row r="656" spans="1:11" x14ac:dyDescent="0.2">
      <c r="A656" t="s">
        <v>1858</v>
      </c>
      <c r="B656" t="s">
        <v>1859</v>
      </c>
      <c r="C656" t="s">
        <v>1860</v>
      </c>
      <c r="D656" t="str">
        <f>SUBSTITUTE(Table1[[#This Row],[Target_product_name]], "oz", " oz")</f>
        <v>Lundberg Brown Basmati Rice - Case of 6/2 lb</v>
      </c>
      <c r="E656" t="s">
        <v>725</v>
      </c>
      <c r="F656" t="str">
        <f>LEFT(Table1[[#This Row],[Target_product_quantity]], FIND("o", Table1[[#This Row],[Target_product_quantity]])-1)</f>
        <v>192</v>
      </c>
      <c r="G656" t="str" cm="1">
        <f t="array" ref="G656">_xlfn.TEXTJOIN("", TRUE, IF(ISNUMBER(SEARCH($K$1010:$K$1054, C656)), $K$1010:$K$1054, ""))</f>
        <v>Lundberg</v>
      </c>
      <c r="H656" t="str">
        <f t="shared" si="38"/>
        <v>Rice</v>
      </c>
      <c r="I656" t="str">
        <f t="shared" si="39"/>
        <v>Grain</v>
      </c>
      <c r="J656">
        <v>32.49</v>
      </c>
      <c r="K656">
        <f>Table1[[#This Row],[Target_product_price]]/Table1[[#This Row],[product_price_per_oz]]</f>
        <v>0.16921875</v>
      </c>
    </row>
    <row r="657" spans="1:11" x14ac:dyDescent="0.2">
      <c r="A657" t="s">
        <v>1861</v>
      </c>
      <c r="B657" t="s">
        <v>1862</v>
      </c>
      <c r="C657" t="s">
        <v>1863</v>
      </c>
      <c r="D657" t="str">
        <f>SUBSTITUTE(Table1[[#This Row],[Target_product_name]], "oz", " oz")</f>
        <v>Lundberg Medium Grain White Arborio Rice - 2lbs</v>
      </c>
      <c r="E657" t="s">
        <v>1837</v>
      </c>
      <c r="F657" t="str">
        <f>LEFT(Table1[[#This Row],[Target_product_quantity]], FIND("o", Table1[[#This Row],[Target_product_quantity]])-1)</f>
        <v>32</v>
      </c>
      <c r="G657" t="str" cm="1">
        <f t="array" ref="G657">_xlfn.TEXTJOIN("", TRUE, IF(ISNUMBER(SEARCH($K$1010:$K$1054, C657)), $K$1010:$K$1054, ""))</f>
        <v>Lundberg</v>
      </c>
      <c r="H657" t="str">
        <f t="shared" si="38"/>
        <v>Rice</v>
      </c>
      <c r="I657" t="str">
        <f t="shared" si="39"/>
        <v>Grain</v>
      </c>
      <c r="J657">
        <v>10.99</v>
      </c>
      <c r="K657">
        <f>Table1[[#This Row],[Target_product_price]]/Table1[[#This Row],[product_price_per_oz]]</f>
        <v>0.34343750000000001</v>
      </c>
    </row>
    <row r="658" spans="1:11" x14ac:dyDescent="0.2">
      <c r="A658" t="s">
        <v>1864</v>
      </c>
      <c r="B658" t="s">
        <v>1865</v>
      </c>
      <c r="C658" t="s">
        <v>1866</v>
      </c>
      <c r="D658" t="str">
        <f>SUBSTITUTE(Table1[[#This Row],[Target_product_name]], "oz", " oz")</f>
        <v>Lundberg Organic Brown Jasmine Rice - 25 lb</v>
      </c>
      <c r="E658" t="s">
        <v>1857</v>
      </c>
      <c r="F658" t="str">
        <f>LEFT(Table1[[#This Row],[Target_product_quantity]], FIND("o", Table1[[#This Row],[Target_product_quantity]])-1)</f>
        <v>400</v>
      </c>
      <c r="G658" t="str" cm="1">
        <f t="array" ref="G658">_xlfn.TEXTJOIN("", TRUE, IF(ISNUMBER(SEARCH($K$1010:$K$1054, C658)), $K$1010:$K$1054, ""))</f>
        <v>Lundberg</v>
      </c>
      <c r="H658" t="str">
        <f t="shared" si="38"/>
        <v>Rice</v>
      </c>
      <c r="I658" t="str">
        <f t="shared" si="39"/>
        <v>Grain</v>
      </c>
      <c r="J658">
        <v>35.49</v>
      </c>
      <c r="K658">
        <f>Table1[[#This Row],[Target_product_price]]/Table1[[#This Row],[product_price_per_oz]]</f>
        <v>8.8724999999999998E-2</v>
      </c>
    </row>
    <row r="659" spans="1:11" x14ac:dyDescent="0.2">
      <c r="A659" t="s">
        <v>1867</v>
      </c>
      <c r="B659" t="s">
        <v>1868</v>
      </c>
      <c r="C659" t="s">
        <v>1869</v>
      </c>
      <c r="D659" t="str">
        <f>SUBSTITUTE(Table1[[#This Row],[Target_product_name]], "oz", " oz")</f>
        <v>Lundberg Organic California Sushi Rice  - Case of 6/2 lb</v>
      </c>
      <c r="E659" t="s">
        <v>725</v>
      </c>
      <c r="F659" t="str">
        <f>LEFT(Table1[[#This Row],[Target_product_quantity]], FIND("o", Table1[[#This Row],[Target_product_quantity]])-1)</f>
        <v>192</v>
      </c>
      <c r="G659" t="str" cm="1">
        <f t="array" ref="G659">_xlfn.TEXTJOIN("", TRUE, IF(ISNUMBER(SEARCH($K$1010:$K$1054, C659)), $K$1010:$K$1054, ""))</f>
        <v>Lundberg</v>
      </c>
      <c r="H659" t="str">
        <f t="shared" si="38"/>
        <v>Rice</v>
      </c>
      <c r="I659" t="str">
        <f t="shared" si="39"/>
        <v>Grain</v>
      </c>
      <c r="J659">
        <v>34.49</v>
      </c>
      <c r="K659">
        <f>Table1[[#This Row],[Target_product_price]]/Table1[[#This Row],[product_price_per_oz]]</f>
        <v>0.17963541666666669</v>
      </c>
    </row>
    <row r="660" spans="1:11" x14ac:dyDescent="0.2">
      <c r="A660" t="s">
        <v>1870</v>
      </c>
      <c r="B660" t="s">
        <v>1871</v>
      </c>
      <c r="C660" t="s">
        <v>1872</v>
      </c>
      <c r="D660" t="str">
        <f>SUBSTITUTE(Table1[[#This Row],[Target_product_name]], "oz", " oz")</f>
        <v>Lundberg Organic California Sushi Rice - 25 lb</v>
      </c>
      <c r="E660" t="s">
        <v>1857</v>
      </c>
      <c r="F660" t="str">
        <f>LEFT(Table1[[#This Row],[Target_product_quantity]], FIND("o", Table1[[#This Row],[Target_product_quantity]])-1)</f>
        <v>400</v>
      </c>
      <c r="G660" t="str" cm="1">
        <f t="array" ref="G660">_xlfn.TEXTJOIN("", TRUE, IF(ISNUMBER(SEARCH($K$1010:$K$1054, C660)), $K$1010:$K$1054, ""))</f>
        <v>Lundberg</v>
      </c>
      <c r="H660" t="str">
        <f t="shared" si="38"/>
        <v>Rice</v>
      </c>
      <c r="I660" t="str">
        <f t="shared" si="39"/>
        <v>Grain</v>
      </c>
      <c r="J660">
        <v>35.99</v>
      </c>
      <c r="K660">
        <f>Table1[[#This Row],[Target_product_price]]/Table1[[#This Row],[product_price_per_oz]]</f>
        <v>8.9974999999999999E-2</v>
      </c>
    </row>
    <row r="661" spans="1:11" x14ac:dyDescent="0.2">
      <c r="A661" t="s">
        <v>1873</v>
      </c>
      <c r="B661" t="s">
        <v>1874</v>
      </c>
      <c r="C661" t="s">
        <v>1875</v>
      </c>
      <c r="D661" t="str">
        <f>SUBSTITUTE(Table1[[#This Row],[Target_product_name]], "oz", " oz")</f>
        <v>Lundberg Organic Creamy Parmesan Risotto - Case of 6/5.5  oz</v>
      </c>
      <c r="E661" t="s">
        <v>1876</v>
      </c>
      <c r="F661" t="str">
        <f>LEFT(Table1[[#This Row],[Target_product_quantity]], FIND("o", Table1[[#This Row],[Target_product_quantity]])-1)</f>
        <v>33</v>
      </c>
      <c r="G661" t="str" cm="1">
        <f t="array" ref="G661">_xlfn.TEXTJOIN("", TRUE, IF(ISNUMBER(SEARCH($K$1010:$K$1054, C661)), $K$1010:$K$1054, ""))</f>
        <v>Lundberg</v>
      </c>
      <c r="H661" t="str">
        <f t="shared" si="38"/>
        <v>Rice</v>
      </c>
      <c r="I661" t="str">
        <f t="shared" si="39"/>
        <v>Grain</v>
      </c>
      <c r="J661">
        <v>26.99</v>
      </c>
      <c r="K661">
        <f>Table1[[#This Row],[Target_product_price]]/Table1[[#This Row],[product_price_per_oz]]</f>
        <v>0.81787878787878787</v>
      </c>
    </row>
    <row r="662" spans="1:11" x14ac:dyDescent="0.2">
      <c r="A662" t="s">
        <v>1877</v>
      </c>
      <c r="B662" t="s">
        <v>1878</v>
      </c>
      <c r="C662" t="s">
        <v>1879</v>
      </c>
      <c r="D662" t="str">
        <f>SUBSTITUTE(Table1[[#This Row],[Target_product_name]], "oz", " oz")</f>
        <v>Lundberg Organic Long Grain California Brown Basmati Rice - 2lbs</v>
      </c>
      <c r="E662" t="s">
        <v>1837</v>
      </c>
      <c r="F662" t="str">
        <f>LEFT(Table1[[#This Row],[Target_product_quantity]], FIND("o", Table1[[#This Row],[Target_product_quantity]])-1)</f>
        <v>32</v>
      </c>
      <c r="G662" t="str" cm="1">
        <f t="array" ref="G662">_xlfn.TEXTJOIN("", TRUE, IF(ISNUMBER(SEARCH($K$1010:$K$1054, C662)), $K$1010:$K$1054, ""))</f>
        <v>Lundberg</v>
      </c>
      <c r="H662" t="str">
        <f t="shared" si="38"/>
        <v>Rice</v>
      </c>
      <c r="I662" t="str">
        <f t="shared" si="39"/>
        <v>Grain</v>
      </c>
      <c r="J662">
        <v>10.99</v>
      </c>
      <c r="K662">
        <f>Table1[[#This Row],[Target_product_price]]/Table1[[#This Row],[product_price_per_oz]]</f>
        <v>0.34343750000000001</v>
      </c>
    </row>
    <row r="663" spans="1:11" x14ac:dyDescent="0.2">
      <c r="A663" t="s">
        <v>1880</v>
      </c>
      <c r="B663" t="s">
        <v>1881</v>
      </c>
      <c r="C663" t="s">
        <v>1882</v>
      </c>
      <c r="D663" t="str">
        <f>SUBSTITUTE(Table1[[#This Row],[Target_product_name]], "oz", " oz")</f>
        <v>Lundberg Organic Long Grain California White Jasmine Rice - 2lbs</v>
      </c>
      <c r="E663" t="s">
        <v>1837</v>
      </c>
      <c r="F663" t="str">
        <f>LEFT(Table1[[#This Row],[Target_product_quantity]], FIND("o", Table1[[#This Row],[Target_product_quantity]])-1)</f>
        <v>32</v>
      </c>
      <c r="G663" t="str" cm="1">
        <f t="array" ref="G663">_xlfn.TEXTJOIN("", TRUE, IF(ISNUMBER(SEARCH($K$1010:$K$1054, C663)), $K$1010:$K$1054, ""))</f>
        <v>Lundberg</v>
      </c>
      <c r="H663" t="str">
        <f t="shared" si="38"/>
        <v>Rice</v>
      </c>
      <c r="I663" t="str">
        <f t="shared" si="39"/>
        <v>Grain</v>
      </c>
      <c r="J663">
        <v>8.39</v>
      </c>
      <c r="K663">
        <f>Table1[[#This Row],[Target_product_price]]/Table1[[#This Row],[product_price_per_oz]]</f>
        <v>0.26218750000000002</v>
      </c>
    </row>
    <row r="664" spans="1:11" x14ac:dyDescent="0.2">
      <c r="A664" t="s">
        <v>1883</v>
      </c>
      <c r="B664" t="s">
        <v>1884</v>
      </c>
      <c r="C664" t="s">
        <v>1885</v>
      </c>
      <c r="D664" t="str">
        <f>SUBSTITUTE(Table1[[#This Row],[Target_product_name]], "oz", " oz")</f>
        <v>Lundberg Organic Long Grain White Rice - 25 lb</v>
      </c>
      <c r="E664" t="s">
        <v>1857</v>
      </c>
      <c r="F664" t="str">
        <f>LEFT(Table1[[#This Row],[Target_product_quantity]], FIND("o", Table1[[#This Row],[Target_product_quantity]])-1)</f>
        <v>400</v>
      </c>
      <c r="G664" t="str" cm="1">
        <f t="array" ref="G664">_xlfn.TEXTJOIN("", TRUE, IF(ISNUMBER(SEARCH($K$1010:$K$1054, C664)), $K$1010:$K$1054, ""))</f>
        <v>Lundberg</v>
      </c>
      <c r="H664" t="str">
        <f t="shared" si="38"/>
        <v>Rice</v>
      </c>
      <c r="I664" t="str">
        <f t="shared" si="39"/>
        <v>Grain</v>
      </c>
      <c r="J664">
        <v>35.49</v>
      </c>
      <c r="K664">
        <f>Table1[[#This Row],[Target_product_price]]/Table1[[#This Row],[product_price_per_oz]]</f>
        <v>8.8724999999999998E-2</v>
      </c>
    </row>
    <row r="665" spans="1:11" x14ac:dyDescent="0.2">
      <c r="A665" t="s">
        <v>1886</v>
      </c>
      <c r="B665" t="s">
        <v>1887</v>
      </c>
      <c r="C665" t="s">
        <v>1888</v>
      </c>
      <c r="D665" t="str">
        <f>SUBSTITUTE(Table1[[#This Row],[Target_product_name]], "oz", " oz")</f>
        <v>Lundberg Organic Long Grain White Rice - Case of 6/2 lb</v>
      </c>
      <c r="E665" t="s">
        <v>725</v>
      </c>
      <c r="F665" t="str">
        <f>LEFT(Table1[[#This Row],[Target_product_quantity]], FIND("o", Table1[[#This Row],[Target_product_quantity]])-1)</f>
        <v>192</v>
      </c>
      <c r="G665" t="str" cm="1">
        <f t="array" ref="G665">_xlfn.TEXTJOIN("", TRUE, IF(ISNUMBER(SEARCH($K$1010:$K$1054, C665)), $K$1010:$K$1054, ""))</f>
        <v>Lundberg</v>
      </c>
      <c r="H665" t="str">
        <f t="shared" si="38"/>
        <v>Rice</v>
      </c>
      <c r="I665" t="str">
        <f t="shared" si="39"/>
        <v>Grain</v>
      </c>
      <c r="J665">
        <v>32.49</v>
      </c>
      <c r="K665">
        <f>Table1[[#This Row],[Target_product_price]]/Table1[[#This Row],[product_price_per_oz]]</f>
        <v>0.16921875</v>
      </c>
    </row>
    <row r="666" spans="1:11" x14ac:dyDescent="0.2">
      <c r="A666" t="s">
        <v>1889</v>
      </c>
      <c r="B666" t="s">
        <v>1890</v>
      </c>
      <c r="C666" t="s">
        <v>1891</v>
      </c>
      <c r="D666" t="str">
        <f>SUBSTITUTE(Table1[[#This Row],[Target_product_name]], "oz", " oz")</f>
        <v>Lundberg Organic White Jasmine Rice - 25 lb</v>
      </c>
      <c r="E666" t="s">
        <v>1857</v>
      </c>
      <c r="F666" t="str">
        <f>LEFT(Table1[[#This Row],[Target_product_quantity]], FIND("o", Table1[[#This Row],[Target_product_quantity]])-1)</f>
        <v>400</v>
      </c>
      <c r="G666" t="str" cm="1">
        <f t="array" ref="G666">_xlfn.TEXTJOIN("", TRUE, IF(ISNUMBER(SEARCH($K$1010:$K$1054, C666)), $K$1010:$K$1054, ""))</f>
        <v>Lundberg</v>
      </c>
      <c r="H666" t="str">
        <f t="shared" si="38"/>
        <v>Rice</v>
      </c>
      <c r="I666" t="str">
        <f t="shared" si="39"/>
        <v>Grain</v>
      </c>
      <c r="J666">
        <v>35.99</v>
      </c>
      <c r="K666">
        <f>Table1[[#This Row],[Target_product_price]]/Table1[[#This Row],[product_price_per_oz]]</f>
        <v>8.9974999999999999E-2</v>
      </c>
    </row>
    <row r="667" spans="1:11" x14ac:dyDescent="0.2">
      <c r="A667" t="s">
        <v>1892</v>
      </c>
      <c r="B667" t="s">
        <v>1893</v>
      </c>
      <c r="C667" t="s">
        <v>1894</v>
      </c>
      <c r="D667" t="str">
        <f>SUBSTITUTE(Table1[[#This Row],[Target_product_name]], "oz", " oz")</f>
        <v>Lundberg Rice and Seasoning Mix Rice Pilaf - Case of 6/5.5  oz</v>
      </c>
      <c r="E667" t="s">
        <v>1895</v>
      </c>
      <c r="F667" t="str">
        <f>LEFT(Table1[[#This Row],[Target_product_quantity]], FIND("o", Table1[[#This Row],[Target_product_quantity]])-1)</f>
        <v>22</v>
      </c>
      <c r="G667" t="str" cm="1">
        <f t="array" ref="G667">_xlfn.TEXTJOIN("", TRUE, IF(ISNUMBER(SEARCH($K$1010:$K$1054, C667)), $K$1010:$K$1054, ""))</f>
        <v>Lundberg</v>
      </c>
      <c r="H667" t="str">
        <f t="shared" si="38"/>
        <v>Rice</v>
      </c>
      <c r="I667" t="str">
        <f t="shared" si="39"/>
        <v>Grain</v>
      </c>
      <c r="J667">
        <v>26.99</v>
      </c>
      <c r="K667">
        <f>Table1[[#This Row],[Target_product_price]]/Table1[[#This Row],[product_price_per_oz]]</f>
        <v>1.2268181818181818</v>
      </c>
    </row>
    <row r="668" spans="1:11" x14ac:dyDescent="0.2">
      <c r="A668" t="s">
        <v>1896</v>
      </c>
      <c r="B668" t="s">
        <v>1897</v>
      </c>
      <c r="C668" t="s">
        <v>1898</v>
      </c>
      <c r="D668" t="str">
        <f>SUBSTITUTE(Table1[[#This Row],[Target_product_name]], "oz", " oz")</f>
        <v>Lundberg Short Grain Brain Brown Rice - 25 lb</v>
      </c>
      <c r="E668" t="s">
        <v>1857</v>
      </c>
      <c r="F668" t="str">
        <f>LEFT(Table1[[#This Row],[Target_product_quantity]], FIND("o", Table1[[#This Row],[Target_product_quantity]])-1)</f>
        <v>400</v>
      </c>
      <c r="G668" t="str" cm="1">
        <f t="array" ref="G668">_xlfn.TEXTJOIN("", TRUE, IF(ISNUMBER(SEARCH($K$1010:$K$1054, C668)), $K$1010:$K$1054, ""))</f>
        <v>Lundberg</v>
      </c>
      <c r="H668" t="str">
        <f t="shared" si="38"/>
        <v>Rice</v>
      </c>
      <c r="I668" t="str">
        <f t="shared" si="39"/>
        <v>Grain</v>
      </c>
      <c r="J668">
        <v>34.99</v>
      </c>
      <c r="K668">
        <f>Table1[[#This Row],[Target_product_price]]/Table1[[#This Row],[product_price_per_oz]]</f>
        <v>8.7475000000000011E-2</v>
      </c>
    </row>
    <row r="669" spans="1:11" x14ac:dyDescent="0.2">
      <c r="A669" t="s">
        <v>1899</v>
      </c>
      <c r="B669" t="s">
        <v>1900</v>
      </c>
      <c r="C669" t="s">
        <v>1901</v>
      </c>
      <c r="D669" t="str">
        <f>SUBSTITUTE(Table1[[#This Row],[Target_product_name]], "oz", " oz")</f>
        <v>Lundberg White Basmati Rice - 25 lb</v>
      </c>
      <c r="E669" t="s">
        <v>1857</v>
      </c>
      <c r="F669" t="str">
        <f>LEFT(Table1[[#This Row],[Target_product_quantity]], FIND("o", Table1[[#This Row],[Target_product_quantity]])-1)</f>
        <v>400</v>
      </c>
      <c r="G669" t="str" cm="1">
        <f t="array" ref="G669">_xlfn.TEXTJOIN("", TRUE, IF(ISNUMBER(SEARCH($K$1010:$K$1054, C669)), $K$1010:$K$1054, ""))</f>
        <v>Lundberg</v>
      </c>
      <c r="H669" t="str">
        <f t="shared" si="38"/>
        <v>Rice</v>
      </c>
      <c r="I669" t="str">
        <f t="shared" si="39"/>
        <v>Grain</v>
      </c>
      <c r="J669">
        <v>34.99</v>
      </c>
      <c r="K669">
        <f>Table1[[#This Row],[Target_product_price]]/Table1[[#This Row],[product_price_per_oz]]</f>
        <v>8.7475000000000011E-2</v>
      </c>
    </row>
    <row r="670" spans="1:11" x14ac:dyDescent="0.2">
      <c r="A670" t="s">
        <v>1902</v>
      </c>
      <c r="B670" t="s">
        <v>1903</v>
      </c>
      <c r="C670" t="s">
        <v>1904</v>
      </c>
      <c r="D670" t="str">
        <f>SUBSTITUTE(Table1[[#This Row],[Target_product_name]], "oz", " oz")</f>
        <v>Lundberg Wild Blend Whole Grain, Brown and Wild Rice - 16 oz</v>
      </c>
      <c r="E670" t="str">
        <f>TRIM(RIGHT(C670, LEN(C670) - FIND("-", C670)))</f>
        <v>16oz</v>
      </c>
      <c r="F670" t="str">
        <f>LEFT(Table1[[#This Row],[Target_product_quantity]], FIND("o", Table1[[#This Row],[Target_product_quantity]])-1)</f>
        <v>16</v>
      </c>
      <c r="G670" t="str" cm="1">
        <f t="array" ref="G670">_xlfn.TEXTJOIN("", TRUE, IF(ISNUMBER(SEARCH($K$1010:$K$1054, C670)), $K$1010:$K$1054, ""))</f>
        <v>Lundberg</v>
      </c>
      <c r="H670" t="str">
        <f t="shared" si="38"/>
        <v>Rice</v>
      </c>
      <c r="I670" t="str">
        <f t="shared" si="39"/>
        <v>Grain</v>
      </c>
      <c r="J670">
        <v>5.89</v>
      </c>
      <c r="K670">
        <f>Table1[[#This Row],[Target_product_price]]/Table1[[#This Row],[product_price_per_oz]]</f>
        <v>0.36812499999999998</v>
      </c>
    </row>
    <row r="671" spans="1:11" x14ac:dyDescent="0.2">
      <c r="A671" t="s">
        <v>1905</v>
      </c>
      <c r="B671" t="s">
        <v>1906</v>
      </c>
      <c r="C671" t="s">
        <v>1907</v>
      </c>
      <c r="D671" t="str">
        <f>SUBSTITUTE(Table1[[#This Row],[Target_product_name]], "oz", " oz")</f>
        <v>Mission 25 Calories Yellow Corn Tortillas - 11.25 oz/30ct</v>
      </c>
      <c r="E671" t="s">
        <v>1908</v>
      </c>
      <c r="F671" t="str">
        <f>LEFT(Table1[[#This Row],[Target_product_quantity]], FIND("o", Table1[[#This Row],[Target_product_quantity]])-1)</f>
        <v>11.25</v>
      </c>
      <c r="G671" t="str" cm="1">
        <f t="array" ref="G671">_xlfn.TEXTJOIN("", TRUE, IF(ISNUMBER(SEARCH($K$1010:$K$1054, C671)), $K$1010:$K$1054, ""))</f>
        <v>Mission</v>
      </c>
      <c r="H671" t="str">
        <f t="shared" si="38"/>
        <v>Bread</v>
      </c>
      <c r="I671" t="str">
        <f t="shared" si="39"/>
        <v>Grain</v>
      </c>
      <c r="J671" s="4">
        <v>3.19</v>
      </c>
      <c r="K671">
        <f>Table1[[#This Row],[Target_product_price]]/Table1[[#This Row],[product_price_per_oz]]</f>
        <v>0.28355555555555556</v>
      </c>
    </row>
    <row r="672" spans="1:11" x14ac:dyDescent="0.2">
      <c r="A672" t="s">
        <v>1909</v>
      </c>
      <c r="B672" t="s">
        <v>1910</v>
      </c>
      <c r="C672" t="s">
        <v>1911</v>
      </c>
      <c r="D672" t="str">
        <f>SUBSTITUTE(Table1[[#This Row],[Target_product_name]], "oz", " oz")</f>
        <v>Mission Burrito Size Carb Balance Whole Wheat Flour Tortillas - 15 oz/6ct</v>
      </c>
      <c r="E672" t="s">
        <v>70</v>
      </c>
      <c r="F672" t="str">
        <f>LEFT(Table1[[#This Row],[Target_product_quantity]], FIND("o", Table1[[#This Row],[Target_product_quantity]])-1)</f>
        <v>15</v>
      </c>
      <c r="G672" t="str" cm="1">
        <f t="array" ref="G672">_xlfn.TEXTJOIN("", TRUE, IF(ISNUMBER(SEARCH($K$1010:$K$1054, C672)), $K$1010:$K$1054, ""))</f>
        <v>Mission</v>
      </c>
      <c r="H672" t="str">
        <f t="shared" si="38"/>
        <v>Bread</v>
      </c>
      <c r="I672" t="str">
        <f t="shared" si="39"/>
        <v>Grain</v>
      </c>
      <c r="J672" s="4">
        <v>4.79</v>
      </c>
      <c r="K672">
        <f>Table1[[#This Row],[Target_product_price]]/Table1[[#This Row],[product_price_per_oz]]</f>
        <v>0.31933333333333336</v>
      </c>
    </row>
    <row r="673" spans="1:11" x14ac:dyDescent="0.2">
      <c r="A673" t="s">
        <v>1912</v>
      </c>
      <c r="B673" t="s">
        <v>1913</v>
      </c>
      <c r="C673" t="s">
        <v>1914</v>
      </c>
      <c r="D673" t="str">
        <f>SUBSTITUTE(Table1[[#This Row],[Target_product_name]], "oz", " oz")</f>
        <v>Mission Burrito Size Super Soft Flour Tortillas - 20 oz/8ct</v>
      </c>
      <c r="E673" t="s">
        <v>918</v>
      </c>
      <c r="F673" t="str">
        <f>LEFT(Table1[[#This Row],[Target_product_quantity]], FIND("o", Table1[[#This Row],[Target_product_quantity]])-1)</f>
        <v>20</v>
      </c>
      <c r="G673" t="str" cm="1">
        <f t="array" ref="G673">_xlfn.TEXTJOIN("", TRUE, IF(ISNUMBER(SEARCH($K$1010:$K$1054, C673)), $K$1010:$K$1054, ""))</f>
        <v>Mission</v>
      </c>
      <c r="H673" t="str">
        <f t="shared" si="38"/>
        <v>Bread</v>
      </c>
      <c r="I673" t="str">
        <f t="shared" si="39"/>
        <v>Grain</v>
      </c>
      <c r="J673" s="4">
        <v>4.6900000000000004</v>
      </c>
      <c r="K673">
        <f>Table1[[#This Row],[Target_product_price]]/Table1[[#This Row],[product_price_per_oz]]</f>
        <v>0.23450000000000001</v>
      </c>
    </row>
    <row r="674" spans="1:11" x14ac:dyDescent="0.2">
      <c r="A674" t="s">
        <v>1915</v>
      </c>
      <c r="B674" t="s">
        <v>1916</v>
      </c>
      <c r="C674" t="s">
        <v>1917</v>
      </c>
      <c r="D674" t="str">
        <f>SUBSTITUTE(Table1[[#This Row],[Target_product_name]], "oz", " oz")</f>
        <v>Mission Burrito Size Super Soft Flour Tortillas - 40 oz/16ct</v>
      </c>
      <c r="E674" t="s">
        <v>1918</v>
      </c>
      <c r="F674" t="str">
        <f>LEFT(Table1[[#This Row],[Target_product_quantity]], FIND("o", Table1[[#This Row],[Target_product_quantity]])-1)</f>
        <v>40</v>
      </c>
      <c r="G674" t="str" cm="1">
        <f t="array" ref="G674">_xlfn.TEXTJOIN("", TRUE, IF(ISNUMBER(SEARCH($K$1010:$K$1054, C674)), $K$1010:$K$1054, ""))</f>
        <v>Mission</v>
      </c>
      <c r="H674" t="str">
        <f t="shared" si="38"/>
        <v>Bread</v>
      </c>
      <c r="I674" t="str">
        <f t="shared" si="39"/>
        <v>Grain</v>
      </c>
      <c r="J674" s="4">
        <v>5.99</v>
      </c>
      <c r="K674">
        <f>Table1[[#This Row],[Target_product_price]]/Table1[[#This Row],[product_price_per_oz]]</f>
        <v>0.14974999999999999</v>
      </c>
    </row>
    <row r="675" spans="1:11" x14ac:dyDescent="0.2">
      <c r="A675" t="s">
        <v>1919</v>
      </c>
      <c r="B675" t="s">
        <v>1920</v>
      </c>
      <c r="C675" t="s">
        <v>1921</v>
      </c>
      <c r="D675" t="str">
        <f>SUBSTITUTE(Table1[[#This Row],[Target_product_name]], "oz", " oz")</f>
        <v>Mission Carb Balance Fajita Size Whole Wheat Flour Tortillas - 8 oz/8ct</v>
      </c>
      <c r="E675" t="s">
        <v>1922</v>
      </c>
      <c r="F675" t="str">
        <f>LEFT(Table1[[#This Row],[Target_product_quantity]], FIND("o", Table1[[#This Row],[Target_product_quantity]])-1)</f>
        <v>8</v>
      </c>
      <c r="G675" t="str" cm="1">
        <f t="array" ref="G675">_xlfn.TEXTJOIN("", TRUE, IF(ISNUMBER(SEARCH($K$1010:$K$1054, C675)), $K$1010:$K$1054, ""))</f>
        <v>Mission</v>
      </c>
      <c r="H675" t="str">
        <f t="shared" si="38"/>
        <v>Bread</v>
      </c>
      <c r="I675" t="str">
        <f t="shared" si="39"/>
        <v>Grain</v>
      </c>
      <c r="J675" s="4">
        <v>3.79</v>
      </c>
      <c r="K675">
        <f>Table1[[#This Row],[Target_product_price]]/Table1[[#This Row],[product_price_per_oz]]</f>
        <v>0.47375</v>
      </c>
    </row>
    <row r="676" spans="1:11" x14ac:dyDescent="0.2">
      <c r="A676" t="s">
        <v>1923</v>
      </c>
      <c r="B676" t="s">
        <v>1924</v>
      </c>
      <c r="C676" t="s">
        <v>1925</v>
      </c>
      <c r="D676" t="str">
        <f>SUBSTITUTE(Table1[[#This Row],[Target_product_name]], "oz", " oz")</f>
        <v>Mission Carb Balance Sundried Tomato Basil Tortilla Wraps  - 12 oz/8ct</v>
      </c>
      <c r="E676" t="s">
        <v>11</v>
      </c>
      <c r="F676" t="str">
        <f>LEFT(Table1[[#This Row],[Target_product_quantity]], FIND("o", Table1[[#This Row],[Target_product_quantity]])-1)</f>
        <v>12</v>
      </c>
      <c r="G676" t="str" cm="1">
        <f t="array" ref="G676">_xlfn.TEXTJOIN("", TRUE, IF(ISNUMBER(SEARCH($K$1010:$K$1054, C676)), $K$1010:$K$1054, ""))</f>
        <v>Mission</v>
      </c>
      <c r="H676" t="str">
        <f t="shared" si="38"/>
        <v>Bread</v>
      </c>
      <c r="I676" t="str">
        <f t="shared" si="39"/>
        <v>Grain</v>
      </c>
      <c r="J676" s="4">
        <v>6.49</v>
      </c>
      <c r="K676">
        <f>Table1[[#This Row],[Target_product_price]]/Table1[[#This Row],[product_price_per_oz]]</f>
        <v>0.54083333333333339</v>
      </c>
    </row>
    <row r="677" spans="1:11" x14ac:dyDescent="0.2">
      <c r="A677" t="s">
        <v>1926</v>
      </c>
      <c r="B677" t="s">
        <v>1927</v>
      </c>
      <c r="C677" t="s">
        <v>1928</v>
      </c>
      <c r="D677" t="str">
        <f>SUBSTITUTE(Table1[[#This Row],[Target_product_name]], "oz", " oz")</f>
        <v>Mission Carb Balance Taco Size Soft flour Tortillas - 12 oz/8ct</v>
      </c>
      <c r="E677" t="s">
        <v>11</v>
      </c>
      <c r="F677" t="str">
        <f>LEFT(Table1[[#This Row],[Target_product_quantity]], FIND("o", Table1[[#This Row],[Target_product_quantity]])-1)</f>
        <v>12</v>
      </c>
      <c r="G677" t="str" cm="1">
        <f t="array" ref="G677">_xlfn.TEXTJOIN("", TRUE, IF(ISNUMBER(SEARCH($K$1010:$K$1054, C677)), $K$1010:$K$1054, ""))</f>
        <v>Mission</v>
      </c>
      <c r="H677" t="str">
        <f t="shared" si="38"/>
        <v>Bread</v>
      </c>
      <c r="I677" t="str">
        <f t="shared" si="39"/>
        <v>Grain</v>
      </c>
      <c r="J677" s="4">
        <v>4.99</v>
      </c>
      <c r="K677">
        <f>Table1[[#This Row],[Target_product_price]]/Table1[[#This Row],[product_price_per_oz]]</f>
        <v>0.41583333333333333</v>
      </c>
    </row>
    <row r="678" spans="1:11" x14ac:dyDescent="0.2">
      <c r="A678" t="s">
        <v>1929</v>
      </c>
      <c r="B678" t="s">
        <v>1930</v>
      </c>
      <c r="C678" t="s">
        <v>1931</v>
      </c>
      <c r="D678" t="str">
        <f>SUBSTITUTE(Table1[[#This Row],[Target_product_name]], "oz", " oz")</f>
        <v>Mission Fajita Grande Size Super Soft Flour Tortillas - 15 oz/10ct</v>
      </c>
      <c r="E678" t="s">
        <v>70</v>
      </c>
      <c r="F678" t="str">
        <f>LEFT(Table1[[#This Row],[Target_product_quantity]], FIND("o", Table1[[#This Row],[Target_product_quantity]])-1)</f>
        <v>15</v>
      </c>
      <c r="G678" t="str" cm="1">
        <f t="array" ref="G678">_xlfn.TEXTJOIN("", TRUE, IF(ISNUMBER(SEARCH($K$1010:$K$1054, C678)), $K$1010:$K$1054, ""))</f>
        <v>Mission</v>
      </c>
      <c r="H678" t="str">
        <f t="shared" si="38"/>
        <v>Bread</v>
      </c>
      <c r="I678" t="str">
        <f t="shared" si="39"/>
        <v>Grain</v>
      </c>
      <c r="J678" s="4">
        <v>2.59</v>
      </c>
      <c r="K678">
        <f>Table1[[#This Row],[Target_product_price]]/Table1[[#This Row],[product_price_per_oz]]</f>
        <v>0.17266666666666666</v>
      </c>
    </row>
    <row r="679" spans="1:11" x14ac:dyDescent="0.2">
      <c r="A679" t="s">
        <v>1932</v>
      </c>
      <c r="B679" t="s">
        <v>1933</v>
      </c>
      <c r="C679" t="s">
        <v>1934</v>
      </c>
      <c r="D679" t="str">
        <f>SUBSTITUTE(Table1[[#This Row],[Target_product_name]], "oz", " oz")</f>
        <v>Mission Fajita Size Carb Balance Flour Tortillas - 8 oz/8ct</v>
      </c>
      <c r="E679" t="s">
        <v>1922</v>
      </c>
      <c r="F679" t="str">
        <f>LEFT(Table1[[#This Row],[Target_product_quantity]], FIND("o", Table1[[#This Row],[Target_product_quantity]])-1)</f>
        <v>8</v>
      </c>
      <c r="G679" t="str" cm="1">
        <f t="array" ref="G679">_xlfn.TEXTJOIN("", TRUE, IF(ISNUMBER(SEARCH($K$1010:$K$1054, C679)), $K$1010:$K$1054, ""))</f>
        <v>Mission</v>
      </c>
      <c r="H679" t="str">
        <f t="shared" si="38"/>
        <v>Bread</v>
      </c>
      <c r="I679" t="str">
        <f t="shared" si="39"/>
        <v>Grain</v>
      </c>
      <c r="J679" s="4">
        <v>3.79</v>
      </c>
      <c r="K679">
        <f>Table1[[#This Row],[Target_product_price]]/Table1[[#This Row],[product_price_per_oz]]</f>
        <v>0.47375</v>
      </c>
    </row>
    <row r="680" spans="1:11" x14ac:dyDescent="0.2">
      <c r="A680" t="s">
        <v>1935</v>
      </c>
      <c r="B680" t="s">
        <v>1936</v>
      </c>
      <c r="C680" t="s">
        <v>1937</v>
      </c>
      <c r="D680" t="str">
        <f>SUBSTITUTE(Table1[[#This Row],[Target_product_name]], "oz", " oz")</f>
        <v>Mission Fajita Size Extra Fluffy Flour Tortillas - 22.5 oz</v>
      </c>
      <c r="E680" t="str">
        <f>TRIM(RIGHT(C680, LEN(C680) - FIND("-", C680)))</f>
        <v>22.5oz</v>
      </c>
      <c r="F680" t="str">
        <f>LEFT(Table1[[#This Row],[Target_product_quantity]], FIND("o", Table1[[#This Row],[Target_product_quantity]])-1)</f>
        <v>22.5</v>
      </c>
      <c r="G680" t="str" cm="1">
        <f t="array" ref="G680">_xlfn.TEXTJOIN("", TRUE, IF(ISNUMBER(SEARCH($K$1010:$K$1054, C680)), $K$1010:$K$1054, ""))</f>
        <v>Mission</v>
      </c>
      <c r="H680" t="str">
        <f t="shared" si="38"/>
        <v>Bread</v>
      </c>
      <c r="I680" t="str">
        <f t="shared" si="39"/>
        <v>Grain</v>
      </c>
      <c r="J680" s="4">
        <v>3.39</v>
      </c>
      <c r="K680">
        <f>Table1[[#This Row],[Target_product_price]]/Table1[[#This Row],[product_price_per_oz]]</f>
        <v>0.15066666666666667</v>
      </c>
    </row>
    <row r="681" spans="1:11" x14ac:dyDescent="0.2">
      <c r="A681" t="s">
        <v>1938</v>
      </c>
      <c r="B681" t="s">
        <v>1939</v>
      </c>
      <c r="C681" t="s">
        <v>1940</v>
      </c>
      <c r="D681" t="str">
        <f>SUBSTITUTE(Table1[[#This Row],[Target_product_name]], "oz", " oz")</f>
        <v>Mission Fajita Size Soft &amp; Fluffy Homestyle Flour Tortillas - 24 oz/16ct</v>
      </c>
      <c r="E681" t="s">
        <v>1941</v>
      </c>
      <c r="F681" t="str">
        <f>LEFT(Table1[[#This Row],[Target_product_quantity]], FIND("o", Table1[[#This Row],[Target_product_quantity]])-1)</f>
        <v>24</v>
      </c>
      <c r="G681" t="str" cm="1">
        <f t="array" ref="G681">_xlfn.TEXTJOIN("", TRUE, IF(ISNUMBER(SEARCH($K$1010:$K$1054, C681)), $K$1010:$K$1054, ""))</f>
        <v>Mission</v>
      </c>
      <c r="H681" t="str">
        <f t="shared" si="38"/>
        <v>Bread</v>
      </c>
      <c r="I681" t="str">
        <f t="shared" si="39"/>
        <v>Grain</v>
      </c>
      <c r="J681" s="4">
        <v>3.39</v>
      </c>
      <c r="K681">
        <f>Table1[[#This Row],[Target_product_price]]/Table1[[#This Row],[product_price_per_oz]]</f>
        <v>0.14125000000000001</v>
      </c>
    </row>
    <row r="682" spans="1:11" x14ac:dyDescent="0.2">
      <c r="A682" t="s">
        <v>1942</v>
      </c>
      <c r="B682" t="s">
        <v>1943</v>
      </c>
      <c r="C682" t="s">
        <v>1944</v>
      </c>
      <c r="D682" t="str">
        <f>SUBSTITUTE(Table1[[#This Row],[Target_product_name]], "oz", " oz")</f>
        <v>Mission Fajita Size Super Soft Flour Tortillas - 23 oz/20ct</v>
      </c>
      <c r="E682" t="s">
        <v>1945</v>
      </c>
      <c r="F682" t="str">
        <f>LEFT(Table1[[#This Row],[Target_product_quantity]], FIND("o", Table1[[#This Row],[Target_product_quantity]])-1)</f>
        <v>23</v>
      </c>
      <c r="G682" t="str" cm="1">
        <f t="array" ref="G682">_xlfn.TEXTJOIN("", TRUE, IF(ISNUMBER(SEARCH($K$1010:$K$1054, C682)), $K$1010:$K$1054, ""))</f>
        <v>Mission</v>
      </c>
      <c r="H682" t="str">
        <f t="shared" si="38"/>
        <v>Bread</v>
      </c>
      <c r="I682" t="str">
        <f t="shared" si="39"/>
        <v>Grain</v>
      </c>
      <c r="J682" s="4">
        <v>3.69</v>
      </c>
      <c r="K682">
        <f>Table1[[#This Row],[Target_product_price]]/Table1[[#This Row],[product_price_per_oz]]</f>
        <v>0.16043478260869565</v>
      </c>
    </row>
    <row r="683" spans="1:11" x14ac:dyDescent="0.2">
      <c r="A683" t="s">
        <v>1946</v>
      </c>
      <c r="B683" t="s">
        <v>1947</v>
      </c>
      <c r="C683" t="s">
        <v>1948</v>
      </c>
      <c r="D683" t="str">
        <f>SUBSTITUTE(Table1[[#This Row],[Target_product_name]], "oz", " oz")</f>
        <v>Mission Fajita Size Super Soft Flour Tortillas - 9.2 oz/8ct</v>
      </c>
      <c r="E683" t="s">
        <v>1949</v>
      </c>
      <c r="F683" t="str">
        <f>LEFT(Table1[[#This Row],[Target_product_quantity]], FIND("o", Table1[[#This Row],[Target_product_quantity]])-1)</f>
        <v>9.2</v>
      </c>
      <c r="G683" t="str" cm="1">
        <f t="array" ref="G683">_xlfn.TEXTJOIN("", TRUE, IF(ISNUMBER(SEARCH($K$1010:$K$1054, C683)), $K$1010:$K$1054, ""))</f>
        <v>Mission</v>
      </c>
      <c r="H683" t="str">
        <f t="shared" si="38"/>
        <v>Bread</v>
      </c>
      <c r="I683" t="str">
        <f t="shared" si="39"/>
        <v>Grain</v>
      </c>
      <c r="J683" s="4">
        <v>2.59</v>
      </c>
      <c r="K683">
        <f>Table1[[#This Row],[Target_product_price]]/Table1[[#This Row],[product_price_per_oz]]</f>
        <v>0.28152173913043477</v>
      </c>
    </row>
    <row r="684" spans="1:11" x14ac:dyDescent="0.2">
      <c r="A684" t="s">
        <v>1950</v>
      </c>
      <c r="B684" t="s">
        <v>1951</v>
      </c>
      <c r="C684" t="s">
        <v>1952</v>
      </c>
      <c r="D684" t="str">
        <f>SUBSTITUTE(Table1[[#This Row],[Target_product_name]], "oz", " oz")</f>
        <v>Mission Flour Chalupas - 8.67 oz</v>
      </c>
      <c r="E684" t="str">
        <f>TRIM(RIGHT(C684, LEN(C684) - FIND("-", C684)))</f>
        <v>8.67oz</v>
      </c>
      <c r="F684" t="str">
        <f>LEFT(Table1[[#This Row],[Target_product_quantity]], FIND("o", Table1[[#This Row],[Target_product_quantity]])-1)</f>
        <v>8.67</v>
      </c>
      <c r="G684" t="str" cm="1">
        <f t="array" ref="G684">_xlfn.TEXTJOIN("", TRUE, IF(ISNUMBER(SEARCH($K$1010:$K$1054, C684)), $K$1010:$K$1054, ""))</f>
        <v>Mission</v>
      </c>
      <c r="H684" t="str">
        <f t="shared" si="38"/>
        <v>Bread</v>
      </c>
      <c r="I684" t="str">
        <f t="shared" si="39"/>
        <v>Grain</v>
      </c>
      <c r="J684" s="4">
        <v>2.69</v>
      </c>
      <c r="K684">
        <f>Table1[[#This Row],[Target_product_price]]/Table1[[#This Row],[product_price_per_oz]]</f>
        <v>0.31026528258362168</v>
      </c>
    </row>
    <row r="685" spans="1:11" x14ac:dyDescent="0.2">
      <c r="A685" t="s">
        <v>1953</v>
      </c>
      <c r="B685" t="s">
        <v>1954</v>
      </c>
      <c r="C685" t="s">
        <v>1955</v>
      </c>
      <c r="D685" t="str">
        <f>SUBSTITUTE(Table1[[#This Row],[Target_product_name]], "oz", " oz")</f>
        <v>Mission Garden Spinach &amp; Herb Wraps - 15 oz/6ct</v>
      </c>
      <c r="E685" t="s">
        <v>70</v>
      </c>
      <c r="F685" t="str">
        <f>LEFT(Table1[[#This Row],[Target_product_quantity]], FIND("o", Table1[[#This Row],[Target_product_quantity]])-1)</f>
        <v>15</v>
      </c>
      <c r="G685" t="str" cm="1">
        <f t="array" ref="G685">_xlfn.TEXTJOIN("", TRUE, IF(ISNUMBER(SEARCH($K$1010:$K$1054, C685)), $K$1010:$K$1054, ""))</f>
        <v>Mission</v>
      </c>
      <c r="H685" t="str">
        <f t="shared" si="38"/>
        <v>Bread</v>
      </c>
      <c r="I685" t="str">
        <f t="shared" si="39"/>
        <v>Grain</v>
      </c>
      <c r="J685" s="4">
        <v>4.29</v>
      </c>
      <c r="K685">
        <f>Table1[[#This Row],[Target_product_price]]/Table1[[#This Row],[product_price_per_oz]]</f>
        <v>0.28599999999999998</v>
      </c>
    </row>
    <row r="686" spans="1:11" x14ac:dyDescent="0.2">
      <c r="A686" t="s">
        <v>1956</v>
      </c>
      <c r="B686" t="s">
        <v>1957</v>
      </c>
      <c r="C686" t="s">
        <v>1958</v>
      </c>
      <c r="D686" t="str">
        <f>SUBSTITUTE(Table1[[#This Row],[Target_product_name]], "oz", " oz")</f>
        <v>Mission Gluten Free Spinach &amp; Herb Tortilla Wraps - 10.5 oz/6ct</v>
      </c>
      <c r="E686" t="s">
        <v>1959</v>
      </c>
      <c r="F686" t="str">
        <f>LEFT(Table1[[#This Row],[Target_product_quantity]], FIND("o", Table1[[#This Row],[Target_product_quantity]])-1)</f>
        <v>10.5</v>
      </c>
      <c r="G686" t="str" cm="1">
        <f t="array" ref="G686">_xlfn.TEXTJOIN("", TRUE, IF(ISNUMBER(SEARCH($K$1010:$K$1054, C686)), $K$1010:$K$1054, ""))</f>
        <v>Mission</v>
      </c>
      <c r="H686" t="str">
        <f t="shared" si="38"/>
        <v>Bread</v>
      </c>
      <c r="I686" t="str">
        <f t="shared" si="39"/>
        <v>Grain</v>
      </c>
      <c r="J686" s="4">
        <v>6.29</v>
      </c>
      <c r="K686">
        <f>Table1[[#This Row],[Target_product_price]]/Table1[[#This Row],[product_price_per_oz]]</f>
        <v>0.59904761904761905</v>
      </c>
    </row>
    <row r="687" spans="1:11" x14ac:dyDescent="0.2">
      <c r="A687" t="s">
        <v>1960</v>
      </c>
      <c r="B687" t="s">
        <v>1961</v>
      </c>
      <c r="C687" t="s">
        <v>1962</v>
      </c>
      <c r="D687" t="str">
        <f>SUBSTITUTE(Table1[[#This Row],[Target_product_name]], "oz", " oz")</f>
        <v>Mission Protein Tortilla Wraps - 9 oz/6ct</v>
      </c>
      <c r="E687" t="s">
        <v>1963</v>
      </c>
      <c r="F687" t="str">
        <f>LEFT(Table1[[#This Row],[Target_product_quantity]], FIND("o", Table1[[#This Row],[Target_product_quantity]])-1)</f>
        <v>9</v>
      </c>
      <c r="G687" t="str" cm="1">
        <f t="array" ref="G687">_xlfn.TEXTJOIN("", TRUE, IF(ISNUMBER(SEARCH($K$1010:$K$1054, C687)), $K$1010:$K$1054, ""))</f>
        <v>Mission</v>
      </c>
      <c r="H687" t="str">
        <f t="shared" si="38"/>
        <v>Bread</v>
      </c>
      <c r="I687" t="str">
        <f t="shared" si="39"/>
        <v>Grain</v>
      </c>
      <c r="J687" s="4">
        <v>5.99</v>
      </c>
      <c r="K687">
        <f>Table1[[#This Row],[Target_product_price]]/Table1[[#This Row],[product_price_per_oz]]</f>
        <v>0.66555555555555557</v>
      </c>
    </row>
    <row r="688" spans="1:11" x14ac:dyDescent="0.2">
      <c r="A688" t="s">
        <v>1964</v>
      </c>
      <c r="B688" t="s">
        <v>1965</v>
      </c>
      <c r="C688" t="s">
        <v>1966</v>
      </c>
      <c r="D688" t="str">
        <f>SUBSTITUTE(Table1[[#This Row],[Target_product_name]], "oz", " oz")</f>
        <v>Mission Street Taco Size Super Soft Flour Tortillas - 11 oz/12ct</v>
      </c>
      <c r="E688" t="s">
        <v>1967</v>
      </c>
      <c r="F688" t="str">
        <f>LEFT(Table1[[#This Row],[Target_product_quantity]], FIND("o", Table1[[#This Row],[Target_product_quantity]])-1)</f>
        <v>11</v>
      </c>
      <c r="G688" t="str" cm="1">
        <f t="array" ref="G688">_xlfn.TEXTJOIN("", TRUE, IF(ISNUMBER(SEARCH($K$1010:$K$1054, C688)), $K$1010:$K$1054, ""))</f>
        <v>Mission</v>
      </c>
      <c r="H688" t="str">
        <f t="shared" si="38"/>
        <v>Bread</v>
      </c>
      <c r="I688" t="str">
        <f t="shared" si="39"/>
        <v>Grain</v>
      </c>
      <c r="J688" s="4">
        <v>3.19</v>
      </c>
      <c r="K688">
        <f>Table1[[#This Row],[Target_product_price]]/Table1[[#This Row],[product_price_per_oz]]</f>
        <v>0.28999999999999998</v>
      </c>
    </row>
    <row r="689" spans="1:11" x14ac:dyDescent="0.2">
      <c r="A689" t="s">
        <v>1968</v>
      </c>
      <c r="B689" t="s">
        <v>1969</v>
      </c>
      <c r="C689" t="s">
        <v>1970</v>
      </c>
      <c r="D689" t="str">
        <f>SUBSTITUTE(Table1[[#This Row],[Target_product_name]], "oz", " oz")</f>
        <v>Mission Street Taco Size Super Soft Sweet Hawaiian Flour Tortillas - 8.54 oz/10ct</v>
      </c>
      <c r="E689" t="s">
        <v>1971</v>
      </c>
      <c r="F689" t="str">
        <f>LEFT(Table1[[#This Row],[Target_product_quantity]], FIND("o", Table1[[#This Row],[Target_product_quantity]])-1)</f>
        <v>8.5</v>
      </c>
      <c r="G689" t="str" cm="1">
        <f t="array" ref="G689">_xlfn.TEXTJOIN("", TRUE, IF(ISNUMBER(SEARCH($K$1010:$K$1054, C689)), $K$1010:$K$1054, ""))</f>
        <v>Mission</v>
      </c>
      <c r="H689" t="str">
        <f t="shared" si="38"/>
        <v>Bread</v>
      </c>
      <c r="I689" t="str">
        <f t="shared" si="39"/>
        <v>Grain</v>
      </c>
      <c r="J689" s="4">
        <v>2.99</v>
      </c>
      <c r="K689">
        <f>Table1[[#This Row],[Target_product_price]]/Table1[[#This Row],[product_price_per_oz]]</f>
        <v>0.35176470588235298</v>
      </c>
    </row>
    <row r="690" spans="1:11" x14ac:dyDescent="0.2">
      <c r="A690" t="s">
        <v>1972</v>
      </c>
      <c r="B690" t="s">
        <v>1973</v>
      </c>
      <c r="C690" t="s">
        <v>1974</v>
      </c>
      <c r="D690" t="str">
        <f>SUBSTITUTE(Table1[[#This Row],[Target_product_name]], "oz", " oz")</f>
        <v>Mission Street Taco Size White Corn Tortillas - 12.6 oz/24ct</v>
      </c>
      <c r="E690" t="s">
        <v>1975</v>
      </c>
      <c r="F690" t="str">
        <f>LEFT(Table1[[#This Row],[Target_product_quantity]], FIND("o", Table1[[#This Row],[Target_product_quantity]])-1)</f>
        <v>12.6</v>
      </c>
      <c r="G690" t="str" cm="1">
        <f t="array" ref="G690">_xlfn.TEXTJOIN("", TRUE, IF(ISNUMBER(SEARCH($K$1010:$K$1054, C690)), $K$1010:$K$1054, ""))</f>
        <v>Mission</v>
      </c>
      <c r="H690" t="str">
        <f t="shared" si="38"/>
        <v>Bread</v>
      </c>
      <c r="I690" t="str">
        <f t="shared" si="39"/>
        <v>Grain</v>
      </c>
      <c r="J690" s="4">
        <v>2.59</v>
      </c>
      <c r="K690">
        <f>Table1[[#This Row],[Target_product_price]]/Table1[[#This Row],[product_price_per_oz]]</f>
        <v>0.20555555555555555</v>
      </c>
    </row>
    <row r="691" spans="1:11" x14ac:dyDescent="0.2">
      <c r="A691" t="s">
        <v>1976</v>
      </c>
      <c r="B691" t="s">
        <v>1977</v>
      </c>
      <c r="C691" t="s">
        <v>1978</v>
      </c>
      <c r="D691" t="str">
        <f>SUBSTITUTE(Table1[[#This Row],[Target_product_name]], "oz", " oz")</f>
        <v>Mission Street Taco Size Yellow Corn Tortillas - 12.6 oz/24ct</v>
      </c>
      <c r="E691" t="s">
        <v>1975</v>
      </c>
      <c r="F691" t="str">
        <f>LEFT(Table1[[#This Row],[Target_product_quantity]], FIND("o", Table1[[#This Row],[Target_product_quantity]])-1)</f>
        <v>12.6</v>
      </c>
      <c r="G691" t="str" cm="1">
        <f t="array" ref="G691">_xlfn.TEXTJOIN("", TRUE, IF(ISNUMBER(SEARCH($K$1010:$K$1054, C691)), $K$1010:$K$1054, ""))</f>
        <v>Mission</v>
      </c>
      <c r="H691" t="str">
        <f t="shared" si="38"/>
        <v>Bread</v>
      </c>
      <c r="I691" t="str">
        <f t="shared" si="39"/>
        <v>Grain</v>
      </c>
      <c r="J691" s="4">
        <v>3.19</v>
      </c>
      <c r="K691">
        <f>Table1[[#This Row],[Target_product_price]]/Table1[[#This Row],[product_price_per_oz]]</f>
        <v>0.25317460317460316</v>
      </c>
    </row>
    <row r="692" spans="1:11" x14ac:dyDescent="0.2">
      <c r="A692" t="s">
        <v>1979</v>
      </c>
      <c r="B692" t="s">
        <v>1980</v>
      </c>
      <c r="C692" t="s">
        <v>1981</v>
      </c>
      <c r="D692" t="str">
        <f>SUBSTITUTE(Table1[[#This Row],[Target_product_name]], "oz", " oz")</f>
        <v>Mission Street Taco Size Zero Net Carbs Original Flour Tortillas - 14ct/8.89 oz</v>
      </c>
      <c r="E692" t="s">
        <v>1963</v>
      </c>
      <c r="F692" t="str">
        <f>LEFT(Table1[[#This Row],[Target_product_quantity]], FIND("o", Table1[[#This Row],[Target_product_quantity]])-1)</f>
        <v>9</v>
      </c>
      <c r="G692" t="str" cm="1">
        <f t="array" ref="G692">_xlfn.TEXTJOIN("", TRUE, IF(ISNUMBER(SEARCH($K$1010:$K$1054, C692)), $K$1010:$K$1054, ""))</f>
        <v>Mission</v>
      </c>
      <c r="H692" t="str">
        <f t="shared" si="38"/>
        <v>Bread</v>
      </c>
      <c r="I692" t="str">
        <f t="shared" si="39"/>
        <v>Grain</v>
      </c>
      <c r="J692" s="4">
        <v>4.49</v>
      </c>
      <c r="K692">
        <f>Table1[[#This Row],[Target_product_price]]/Table1[[#This Row],[product_price_per_oz]]</f>
        <v>0.49888888888888894</v>
      </c>
    </row>
    <row r="693" spans="1:11" x14ac:dyDescent="0.2">
      <c r="A693" t="s">
        <v>1982</v>
      </c>
      <c r="B693" t="s">
        <v>1983</v>
      </c>
      <c r="C693" t="s">
        <v>1984</v>
      </c>
      <c r="D693" t="str">
        <f>SUBSTITUTE(Table1[[#This Row],[Target_product_name]], "oz", " oz")</f>
        <v>Mission Street Taco Size Zero Net Carbs Sundried Tomato Basil Flour Tortillas - 14ct/8.89 oz</v>
      </c>
      <c r="E693" t="s">
        <v>1963</v>
      </c>
      <c r="F693" t="str">
        <f>LEFT(Table1[[#This Row],[Target_product_quantity]], FIND("o", Table1[[#This Row],[Target_product_quantity]])-1)</f>
        <v>9</v>
      </c>
      <c r="G693" t="str" cm="1">
        <f t="array" ref="G693">_xlfn.TEXTJOIN("", TRUE, IF(ISNUMBER(SEARCH($K$1010:$K$1054, C693)), $K$1010:$K$1054, ""))</f>
        <v>Mission</v>
      </c>
      <c r="H693" t="str">
        <f t="shared" si="38"/>
        <v>Bread</v>
      </c>
      <c r="I693" t="str">
        <f t="shared" si="39"/>
        <v>Grain</v>
      </c>
      <c r="J693" s="4">
        <v>4.49</v>
      </c>
      <c r="K693">
        <f>Table1[[#This Row],[Target_product_price]]/Table1[[#This Row],[product_price_per_oz]]</f>
        <v>0.49888888888888894</v>
      </c>
    </row>
    <row r="694" spans="1:11" x14ac:dyDescent="0.2">
      <c r="A694" t="s">
        <v>1985</v>
      </c>
      <c r="B694" t="s">
        <v>1986</v>
      </c>
      <c r="C694" t="s">
        <v>1987</v>
      </c>
      <c r="D694" t="str">
        <f>SUBSTITUTE(Table1[[#This Row],[Target_product_name]], "oz", " oz")</f>
        <v>Mission Sun Dried Tomato Basil Flour Wraps - 15 oz/6ct</v>
      </c>
      <c r="E694" t="s">
        <v>70</v>
      </c>
      <c r="F694" t="str">
        <f>LEFT(Table1[[#This Row],[Target_product_quantity]], FIND("o", Table1[[#This Row],[Target_product_quantity]])-1)</f>
        <v>15</v>
      </c>
      <c r="G694" t="str" cm="1">
        <f t="array" ref="G694">_xlfn.TEXTJOIN("", TRUE, IF(ISNUMBER(SEARCH($K$1010:$K$1054, C694)), $K$1010:$K$1054, ""))</f>
        <v>Mission</v>
      </c>
      <c r="H694" t="str">
        <f t="shared" si="38"/>
        <v>Bread</v>
      </c>
      <c r="I694" t="str">
        <f t="shared" si="39"/>
        <v>Grain</v>
      </c>
      <c r="J694" s="4">
        <v>4.29</v>
      </c>
      <c r="K694">
        <f>Table1[[#This Row],[Target_product_price]]/Table1[[#This Row],[product_price_per_oz]]</f>
        <v>0.28599999999999998</v>
      </c>
    </row>
    <row r="695" spans="1:11" x14ac:dyDescent="0.2">
      <c r="A695" t="s">
        <v>1988</v>
      </c>
      <c r="B695" t="s">
        <v>1989</v>
      </c>
      <c r="C695" t="s">
        <v>1990</v>
      </c>
      <c r="D695" t="str">
        <f>SUBSTITUTE(Table1[[#This Row],[Target_product_name]], "oz", " oz")</f>
        <v>Mission Super Size Soft Yellow Corn Tortillas - 10.84 oz/10ct</v>
      </c>
      <c r="E695" t="s">
        <v>1991</v>
      </c>
      <c r="F695" t="str">
        <f>LEFT(Table1[[#This Row],[Target_product_quantity]], FIND("o", Table1[[#This Row],[Target_product_quantity]])-1)</f>
        <v>10.84</v>
      </c>
      <c r="G695" t="str" cm="1">
        <f t="array" ref="G695">_xlfn.TEXTJOIN("", TRUE, IF(ISNUMBER(SEARCH($K$1010:$K$1054, C695)), $K$1010:$K$1054, ""))</f>
        <v>Mission</v>
      </c>
      <c r="H695" t="str">
        <f t="shared" si="38"/>
        <v>Bread</v>
      </c>
      <c r="I695" t="str">
        <f t="shared" si="39"/>
        <v>Grain</v>
      </c>
      <c r="J695" s="4">
        <v>3.29</v>
      </c>
      <c r="K695">
        <f>Table1[[#This Row],[Target_product_price]]/Table1[[#This Row],[product_price_per_oz]]</f>
        <v>0.30350553505535055</v>
      </c>
    </row>
    <row r="696" spans="1:11" x14ac:dyDescent="0.2">
      <c r="A696" t="s">
        <v>1992</v>
      </c>
      <c r="B696" t="s">
        <v>1993</v>
      </c>
      <c r="C696" t="s">
        <v>1994</v>
      </c>
      <c r="D696" t="str">
        <f>SUBSTITUTE(Table1[[#This Row],[Target_product_name]], "oz", " oz")</f>
        <v>Mission Super Soft Extra Thin Yellow Corn Tortillas - 5.6 oz/24ct</v>
      </c>
      <c r="E696" t="s">
        <v>918</v>
      </c>
      <c r="F696" t="str">
        <f>LEFT(Table1[[#This Row],[Target_product_quantity]], FIND("o", Table1[[#This Row],[Target_product_quantity]])-1)</f>
        <v>20</v>
      </c>
      <c r="G696" t="str" cm="1">
        <f t="array" ref="G696">_xlfn.TEXTJOIN("", TRUE, IF(ISNUMBER(SEARCH($K$1010:$K$1054, C696)), $K$1010:$K$1054, ""))</f>
        <v>Mission</v>
      </c>
      <c r="H696" t="str">
        <f t="shared" si="38"/>
        <v>Bread</v>
      </c>
      <c r="I696" t="str">
        <f t="shared" si="39"/>
        <v>Grain</v>
      </c>
      <c r="J696" s="4">
        <v>3.49</v>
      </c>
      <c r="K696">
        <f>Table1[[#This Row],[Target_product_price]]/Table1[[#This Row],[product_price_per_oz]]</f>
        <v>0.17450000000000002</v>
      </c>
    </row>
    <row r="697" spans="1:11" x14ac:dyDescent="0.2">
      <c r="A697" t="s">
        <v>1995</v>
      </c>
      <c r="B697" t="s">
        <v>1996</v>
      </c>
      <c r="C697" t="s">
        <v>1997</v>
      </c>
      <c r="D697" t="str">
        <f>SUBSTITUTE(Table1[[#This Row],[Target_product_name]], "oz", " oz")</f>
        <v>Mission Super Soft White Corn Tortillas - 25 oz/30ct</v>
      </c>
      <c r="E697" t="s">
        <v>1998</v>
      </c>
      <c r="F697" t="str">
        <f>LEFT(Table1[[#This Row],[Target_product_quantity]], FIND("o", Table1[[#This Row],[Target_product_quantity]])-1)</f>
        <v>25</v>
      </c>
      <c r="G697" t="str" cm="1">
        <f t="array" ref="G697">_xlfn.TEXTJOIN("", TRUE, IF(ISNUMBER(SEARCH($K$1010:$K$1054, C697)), $K$1010:$K$1054, ""))</f>
        <v>Mission</v>
      </c>
      <c r="H697" t="str">
        <f t="shared" si="38"/>
        <v>Bread</v>
      </c>
      <c r="I697" t="str">
        <f t="shared" si="39"/>
        <v>Grain</v>
      </c>
      <c r="J697" s="4">
        <v>2.99</v>
      </c>
      <c r="K697">
        <f>Table1[[#This Row],[Target_product_price]]/Table1[[#This Row],[product_price_per_oz]]</f>
        <v>0.11960000000000001</v>
      </c>
    </row>
    <row r="698" spans="1:11" x14ac:dyDescent="0.2">
      <c r="A698" t="s">
        <v>1999</v>
      </c>
      <c r="B698" t="s">
        <v>2000</v>
      </c>
      <c r="C698" t="s">
        <v>2001</v>
      </c>
      <c r="D698" t="str">
        <f>SUBSTITUTE(Table1[[#This Row],[Target_product_name]], "oz", " oz")</f>
        <v>Mission Super Soft White Corn Tortillas - 4lbs/80ct</v>
      </c>
      <c r="E698" t="s">
        <v>2002</v>
      </c>
      <c r="F698" t="str">
        <f>LEFT(Table1[[#This Row],[Target_product_quantity]], FIND("o", Table1[[#This Row],[Target_product_quantity]])-1)</f>
        <v>64</v>
      </c>
      <c r="G698" t="str" cm="1">
        <f t="array" ref="G698">_xlfn.TEXTJOIN("", TRUE, IF(ISNUMBER(SEARCH($K$1010:$K$1054, C698)), $K$1010:$K$1054, ""))</f>
        <v>Mission</v>
      </c>
      <c r="H698" t="str">
        <f t="shared" si="38"/>
        <v>Bread</v>
      </c>
      <c r="I698" t="str">
        <f t="shared" si="39"/>
        <v>Grain</v>
      </c>
      <c r="J698" s="4">
        <v>4.3899999999999997</v>
      </c>
      <c r="K698">
        <f>Table1[[#This Row],[Target_product_price]]/Table1[[#This Row],[product_price_per_oz]]</f>
        <v>6.8593749999999995E-2</v>
      </c>
    </row>
    <row r="699" spans="1:11" x14ac:dyDescent="0.2">
      <c r="A699" t="s">
        <v>2003</v>
      </c>
      <c r="B699" t="s">
        <v>2004</v>
      </c>
      <c r="C699" t="s">
        <v>2005</v>
      </c>
      <c r="D699" t="str">
        <f>SUBSTITUTE(Table1[[#This Row],[Target_product_name]], "oz", " oz")</f>
        <v>Mission Super Soft Yellow Corn Tortillas - 25 oz/30ct</v>
      </c>
      <c r="E699" t="s">
        <v>2006</v>
      </c>
      <c r="F699" t="str">
        <f>LEFT(Table1[[#This Row],[Target_product_quantity]], FIND("o", Table1[[#This Row],[Target_product_quantity]])-1)</f>
        <v>750</v>
      </c>
      <c r="G699" t="str" cm="1">
        <f t="array" ref="G699">_xlfn.TEXTJOIN("", TRUE, IF(ISNUMBER(SEARCH($K$1010:$K$1054, C699)), $K$1010:$K$1054, ""))</f>
        <v>Mission</v>
      </c>
      <c r="H699" t="str">
        <f t="shared" si="38"/>
        <v>Bread</v>
      </c>
      <c r="I699" t="str">
        <f t="shared" si="39"/>
        <v>Grain</v>
      </c>
      <c r="J699" s="4">
        <v>2.79</v>
      </c>
      <c r="K699">
        <f>Table1[[#This Row],[Target_product_price]]/Table1[[#This Row],[product_price_per_oz]]</f>
        <v>3.7200000000000002E-3</v>
      </c>
    </row>
    <row r="700" spans="1:11" x14ac:dyDescent="0.2">
      <c r="A700" t="s">
        <v>2007</v>
      </c>
      <c r="B700" t="s">
        <v>2008</v>
      </c>
      <c r="C700" t="s">
        <v>2009</v>
      </c>
      <c r="D700" t="str">
        <f>SUBSTITUTE(Table1[[#This Row],[Target_product_name]], "oz", " oz")</f>
        <v>Mission Taco Size Carb Balance Whole Wheat Tortillas - 12 oz/8ct</v>
      </c>
      <c r="E700" t="s">
        <v>2010</v>
      </c>
      <c r="F700" t="str">
        <f>LEFT(Table1[[#This Row],[Target_product_quantity]], FIND("o", Table1[[#This Row],[Target_product_quantity]])-1)</f>
        <v>96</v>
      </c>
      <c r="G700" t="str" cm="1">
        <f t="array" ref="G700">_xlfn.TEXTJOIN("", TRUE, IF(ISNUMBER(SEARCH($K$1010:$K$1054, C700)), $K$1010:$K$1054, ""))</f>
        <v>Mission</v>
      </c>
      <c r="H700" t="str">
        <f t="shared" si="38"/>
        <v>Bread</v>
      </c>
      <c r="I700" t="str">
        <f t="shared" si="39"/>
        <v>Grain</v>
      </c>
      <c r="J700" s="4">
        <v>5.19</v>
      </c>
      <c r="K700">
        <f>Table1[[#This Row],[Target_product_price]]/Table1[[#This Row],[product_price_per_oz]]</f>
        <v>5.4062500000000006E-2</v>
      </c>
    </row>
    <row r="701" spans="1:11" x14ac:dyDescent="0.2">
      <c r="A701" t="s">
        <v>2011</v>
      </c>
      <c r="B701" t="s">
        <v>2012</v>
      </c>
      <c r="C701" t="s">
        <v>2013</v>
      </c>
      <c r="D701" t="str">
        <f>SUBSTITUTE(Table1[[#This Row],[Target_product_name]], "oz", " oz")</f>
        <v>Mission Taco Size Gluten Free Soft Original Flour Tortillas - 10.5 oz/6ct</v>
      </c>
      <c r="E701" t="s">
        <v>2014</v>
      </c>
      <c r="F701" t="str">
        <f>LEFT(Table1[[#This Row],[Target_product_quantity]], FIND("o", Table1[[#This Row],[Target_product_quantity]])-1)</f>
        <v>63</v>
      </c>
      <c r="G701" t="str" cm="1">
        <f t="array" ref="G701">_xlfn.TEXTJOIN("", TRUE, IF(ISNUMBER(SEARCH($K$1010:$K$1054, C701)), $K$1010:$K$1054, ""))</f>
        <v>Mission</v>
      </c>
      <c r="H701" t="str">
        <f t="shared" si="38"/>
        <v>Bread</v>
      </c>
      <c r="I701" t="str">
        <f t="shared" si="39"/>
        <v>Grain</v>
      </c>
      <c r="J701" s="4">
        <v>6.29</v>
      </c>
      <c r="K701">
        <f>Table1[[#This Row],[Target_product_price]]/Table1[[#This Row],[product_price_per_oz]]</f>
        <v>9.9841269841269842E-2</v>
      </c>
    </row>
    <row r="702" spans="1:11" x14ac:dyDescent="0.2">
      <c r="A702" t="s">
        <v>2015</v>
      </c>
      <c r="B702" t="s">
        <v>2016</v>
      </c>
      <c r="C702" t="s">
        <v>2017</v>
      </c>
      <c r="D702" t="str">
        <f>SUBSTITUTE(Table1[[#This Row],[Target_product_name]], "oz", " oz")</f>
        <v>Mission Taco Size Soft &amp; Fluffy Homestyle Flour Tortillas - 22.5 oz/10ct</v>
      </c>
      <c r="E702" t="s">
        <v>2018</v>
      </c>
      <c r="F702" t="str">
        <f>LEFT(Table1[[#This Row],[Target_product_quantity]], FIND("o", Table1[[#This Row],[Target_product_quantity]])-1)</f>
        <v>225</v>
      </c>
      <c r="G702" t="str" cm="1">
        <f t="array" ref="G702">_xlfn.TEXTJOIN("", TRUE, IF(ISNUMBER(SEARCH($K$1010:$K$1054, C702)), $K$1010:$K$1054, ""))</f>
        <v>Mission</v>
      </c>
      <c r="H702" t="str">
        <f t="shared" si="38"/>
        <v>Bread</v>
      </c>
      <c r="I702" t="str">
        <f t="shared" si="39"/>
        <v>Grain</v>
      </c>
      <c r="J702" s="4">
        <v>2.99</v>
      </c>
      <c r="K702">
        <f>Table1[[#This Row],[Target_product_price]]/Table1[[#This Row],[product_price_per_oz]]</f>
        <v>1.328888888888889E-2</v>
      </c>
    </row>
    <row r="703" spans="1:11" x14ac:dyDescent="0.2">
      <c r="A703" t="s">
        <v>2019</v>
      </c>
      <c r="B703" t="s">
        <v>2020</v>
      </c>
      <c r="C703" t="s">
        <v>2021</v>
      </c>
      <c r="D703" t="str">
        <f>SUBSTITUTE(Table1[[#This Row],[Target_product_name]], "oz", " oz")</f>
        <v>Mission Taco Size Soft &amp; Fluffy Homestyle Flour Tortillas Soft - 49.5 oz/22ct</v>
      </c>
      <c r="E703" t="s">
        <v>2022</v>
      </c>
      <c r="F703" t="str">
        <f>LEFT(Table1[[#This Row],[Target_product_quantity]], FIND("o", Table1[[#This Row],[Target_product_quantity]])-1)</f>
        <v>1089</v>
      </c>
      <c r="G703" t="str" cm="1">
        <f t="array" ref="G703">_xlfn.TEXTJOIN("", TRUE, IF(ISNUMBER(SEARCH($K$1010:$K$1054, C703)), $K$1010:$K$1054, ""))</f>
        <v>Mission</v>
      </c>
      <c r="H703" t="str">
        <f t="shared" si="38"/>
        <v>Bread</v>
      </c>
      <c r="I703" t="str">
        <f t="shared" si="39"/>
        <v>Grain</v>
      </c>
      <c r="J703" s="4">
        <v>4.49</v>
      </c>
      <c r="K703">
        <f>Table1[[#This Row],[Target_product_price]]/Table1[[#This Row],[product_price_per_oz]]</f>
        <v>4.1230486685032144E-3</v>
      </c>
    </row>
    <row r="704" spans="1:11" x14ac:dyDescent="0.2">
      <c r="A704" t="s">
        <v>2023</v>
      </c>
      <c r="B704" t="s">
        <v>2024</v>
      </c>
      <c r="C704" t="s">
        <v>2025</v>
      </c>
      <c r="D704" t="str">
        <f>SUBSTITUTE(Table1[[#This Row],[Target_product_name]], "oz", " oz")</f>
        <v>Mission Taco Size Soft Carb Balance Spinach &amp; Herb Flour Tortillas - 12 oz/8ct</v>
      </c>
      <c r="E704" t="s">
        <v>2010</v>
      </c>
      <c r="F704" t="str">
        <f>LEFT(Table1[[#This Row],[Target_product_quantity]], FIND("o", Table1[[#This Row],[Target_product_quantity]])-1)</f>
        <v>96</v>
      </c>
      <c r="G704" t="str" cm="1">
        <f t="array" ref="G704">_xlfn.TEXTJOIN("", TRUE, IF(ISNUMBER(SEARCH($K$1010:$K$1054, C704)), $K$1010:$K$1054, ""))</f>
        <v>Mission</v>
      </c>
      <c r="H704" t="str">
        <f t="shared" si="38"/>
        <v>Bread</v>
      </c>
      <c r="I704" t="str">
        <f t="shared" si="39"/>
        <v>Grain</v>
      </c>
      <c r="J704" s="4">
        <v>6.49</v>
      </c>
      <c r="K704">
        <f>Table1[[#This Row],[Target_product_price]]/Table1[[#This Row],[product_price_per_oz]]</f>
        <v>6.7604166666666674E-2</v>
      </c>
    </row>
    <row r="705" spans="1:30" x14ac:dyDescent="0.2">
      <c r="A705" t="s">
        <v>2026</v>
      </c>
      <c r="B705" t="s">
        <v>2027</v>
      </c>
      <c r="C705" t="s">
        <v>2028</v>
      </c>
      <c r="D705" t="str">
        <f>SUBSTITUTE(Table1[[#This Row],[Target_product_name]], "oz", " oz")</f>
        <v>Mission Taco Size Super Soft Flour Tortillas - 17.5 oz/10ct</v>
      </c>
      <c r="E705" t="s">
        <v>2029</v>
      </c>
      <c r="F705" t="str">
        <f>LEFT(Table1[[#This Row],[Target_product_quantity]], FIND("o", Table1[[#This Row],[Target_product_quantity]])-1)</f>
        <v>175</v>
      </c>
      <c r="G705" t="str" cm="1">
        <f t="array" ref="G705">_xlfn.TEXTJOIN("", TRUE, IF(ISNUMBER(SEARCH($K$1010:$K$1054, C705)), $K$1010:$K$1054, ""))</f>
        <v>Mission</v>
      </c>
      <c r="H705" t="str">
        <f t="shared" si="38"/>
        <v>Bread</v>
      </c>
      <c r="I705" t="str">
        <f t="shared" si="39"/>
        <v>Grain</v>
      </c>
      <c r="J705" s="4">
        <v>2.99</v>
      </c>
      <c r="K705">
        <f>Table1[[#This Row],[Target_product_price]]/Table1[[#This Row],[product_price_per_oz]]</f>
        <v>1.7085714285714287E-2</v>
      </c>
    </row>
    <row r="706" spans="1:30" x14ac:dyDescent="0.2">
      <c r="A706" t="s">
        <v>2030</v>
      </c>
      <c r="B706" t="s">
        <v>2031</v>
      </c>
      <c r="C706" t="s">
        <v>2032</v>
      </c>
      <c r="D706" t="str">
        <f>SUBSTITUTE(Table1[[#This Row],[Target_product_name]], "oz", " oz")</f>
        <v>Mission Taco Size Super Soft Flour Tortillas - 35 oz/20ct</v>
      </c>
      <c r="E706" t="s">
        <v>2033</v>
      </c>
      <c r="F706" t="str">
        <f>LEFT(Table1[[#This Row],[Target_product_quantity]], FIND("o", Table1[[#This Row],[Target_product_quantity]])-1)</f>
        <v>700</v>
      </c>
      <c r="G706" t="str" cm="1">
        <f t="array" ref="G706">_xlfn.TEXTJOIN("", TRUE, IF(ISNUMBER(SEARCH($K$1010:$K$1054, C706)), $K$1010:$K$1054, ""))</f>
        <v>Mission</v>
      </c>
      <c r="H706" t="str">
        <f t="shared" ref="H706:H769" si="40">IF(OR(G706="Mission",G706="Nature's Own",G706="Sara Lee"),"Bread",
IF(OR(G706="Del Monte",G706="Dole",G706="Mott's"),"Canned Fruit",
IF(OR(G706="Goya",G706="Hunt's",G706="Birds Eye"),"Canned Vegetables",
IF(OR(G706="Fairlife",G706="Horizon Organic",G706="Lactaid",G706="Ben &amp; Jerry's"),"Milk",
IF(OR(G706="BelGioioso",G706="Kraft",G706="Philadelphia"),"Cheese",
IF(OR(G706="Chobani",G706="Oikos",G706="Light + Fit"),"Yogurt",
IF(OR(G706="Barilla",G706="Annie's",G706="Rao's Homemade"),"Pasta",
IF(OR(G706="Hershey's",G706="Lay's",G706="Totino's",G706="Cheerios",G706="Jif",G706="Skippy",G706="Nature Valley",G706="Oreo",G706="DiGiorno",G706="Eggo"),"Prepared Food",
IF(OR(G706="Ben's Original",G706="Lundberg",G706="Quaker"),"Rice",
IF(OR(G706="Bush's",G706="Hillshire Farm",G706="Oscar Mayer",G706="SPAM"),"Protein",
IF(OR(G706="Starbucks",G706="Sparkling Ice",G706="Coca-Cola",G706="San Pellegrino",G706="Gatorade",G706="Arizona"),"Beverages",
"Other")))))))))))</f>
        <v>Bread</v>
      </c>
      <c r="I706" t="str">
        <f t="shared" ref="I706:I769" si="41">IF(OR(H706="Bread",H706="Rice",H706="Pasta"), "Grain",
IF(OR(H706="Milk",H706="Cheese",H706="Yogurt"), "Dairy",
IF(OR(H706="Canned Fruit",H706="Canned Vegetables"), "Fruit &amp; Vegetables",
IF(H706="Prepared Food", "Prepared Food",
IF(H706="Protein", "Protein",
IF(H706="Beverages", "Beverages",
"Other"))))))</f>
        <v>Grain</v>
      </c>
      <c r="J706" s="4">
        <v>4.99</v>
      </c>
      <c r="K706">
        <f>Table1[[#This Row],[Target_product_price]]/Table1[[#This Row],[product_price_per_oz]]</f>
        <v>7.1285714285714286E-3</v>
      </c>
    </row>
    <row r="707" spans="1:30" x14ac:dyDescent="0.2">
      <c r="A707" t="s">
        <v>2034</v>
      </c>
      <c r="B707" t="s">
        <v>2035</v>
      </c>
      <c r="C707" t="s">
        <v>2036</v>
      </c>
      <c r="D707" t="str">
        <f>SUBSTITUTE(Table1[[#This Row],[Target_product_name]], "oz", " oz")</f>
        <v>Mission Taco Size Super Soft Whole Wheat flour Tortillas - 16 oz/10ct</v>
      </c>
      <c r="E707" t="s">
        <v>2037</v>
      </c>
      <c r="F707" t="str">
        <f>LEFT(Table1[[#This Row],[Target_product_quantity]], FIND("o", Table1[[#This Row],[Target_product_quantity]])-1)</f>
        <v>160</v>
      </c>
      <c r="G707" t="str" cm="1">
        <f t="array" ref="G707">_xlfn.TEXTJOIN("", TRUE, IF(ISNUMBER(SEARCH($K$1010:$K$1054, C707)), $K$1010:$K$1054, ""))</f>
        <v>Mission</v>
      </c>
      <c r="H707" t="str">
        <f t="shared" si="40"/>
        <v>Bread</v>
      </c>
      <c r="I707" t="str">
        <f t="shared" si="41"/>
        <v>Grain</v>
      </c>
      <c r="J707" s="4">
        <v>3.49</v>
      </c>
      <c r="K707">
        <f>Table1[[#This Row],[Target_product_price]]/Table1[[#This Row],[product_price_per_oz]]</f>
        <v>2.1812500000000002E-2</v>
      </c>
    </row>
    <row r="708" spans="1:30" x14ac:dyDescent="0.2">
      <c r="A708" t="s">
        <v>2038</v>
      </c>
      <c r="B708" t="s">
        <v>2039</v>
      </c>
      <c r="C708" t="s">
        <v>2040</v>
      </c>
      <c r="D708" t="str">
        <f>SUBSTITUTE(Table1[[#This Row],[Target_product_name]], "oz", " oz")</f>
        <v>Mission Zero Net Carb Soft Taco Tortillas - 11.29 oz/8ct</v>
      </c>
      <c r="E708" t="s">
        <v>2041</v>
      </c>
      <c r="F708" t="str">
        <f>LEFT(Table1[[#This Row],[Target_product_quantity]], FIND("o", Table1[[#This Row],[Target_product_quantity]])-1)</f>
        <v>89.6</v>
      </c>
      <c r="G708" t="str" cm="1">
        <f t="array" ref="G708">_xlfn.TEXTJOIN("", TRUE, IF(ISNUMBER(SEARCH($K$1010:$K$1054, C708)), $K$1010:$K$1054, ""))</f>
        <v>Mission</v>
      </c>
      <c r="H708" t="str">
        <f t="shared" si="40"/>
        <v>Bread</v>
      </c>
      <c r="I708" t="str">
        <f t="shared" si="41"/>
        <v>Grain</v>
      </c>
      <c r="J708" s="4">
        <v>5.69</v>
      </c>
      <c r="K708">
        <f>Table1[[#This Row],[Target_product_price]]/Table1[[#This Row],[product_price_per_oz]]</f>
        <v>6.3504464285714296E-2</v>
      </c>
    </row>
    <row r="709" spans="1:30" x14ac:dyDescent="0.2">
      <c r="A709" t="s">
        <v>2042</v>
      </c>
      <c r="B709" t="s">
        <v>2043</v>
      </c>
      <c r="C709" t="s">
        <v>2044</v>
      </c>
      <c r="D709" t="str">
        <f>SUBSTITUTE(Table1[[#This Row],[Target_product_name]], "oz", " oz")</f>
        <v>Mott's 100% Original Apple Juice - 128 fl  oz Bottle</v>
      </c>
      <c r="E709" t="s">
        <v>2045</v>
      </c>
      <c r="F709" t="str">
        <f>LEFT(Table1[[#This Row],[Target_product_quantity]], FIND("o", Table1[[#This Row],[Target_product_quantity]])-1)</f>
        <v>128</v>
      </c>
      <c r="G709" t="str" cm="1">
        <f t="array" ref="G709">_xlfn.TEXTJOIN("", TRUE, IF(ISNUMBER(SEARCH($K$1010:$K$1054, C709)), $K$1010:$K$1054, ""))</f>
        <v>Mott's</v>
      </c>
      <c r="H709" t="str">
        <f t="shared" si="40"/>
        <v>Canned Fruit</v>
      </c>
      <c r="I709" t="str">
        <f t="shared" si="41"/>
        <v>Fruit &amp; Vegetables</v>
      </c>
      <c r="J709" s="4">
        <v>5.99</v>
      </c>
      <c r="K709">
        <f>Table1[[#This Row],[Target_product_price]]/Table1[[#This Row],[product_price_per_oz]]</f>
        <v>4.6796875000000002E-2</v>
      </c>
    </row>
    <row r="710" spans="1:30" x14ac:dyDescent="0.2">
      <c r="A710" t="s">
        <v>2046</v>
      </c>
      <c r="B710" t="s">
        <v>2047</v>
      </c>
      <c r="C710" t="s">
        <v>2048</v>
      </c>
      <c r="D710" t="str">
        <f>SUBSTITUTE(Table1[[#This Row],[Target_product_name]], "oz", " oz")</f>
        <v>Mott's 100% Original Apple Juice - 64 fl  oz Bottle</v>
      </c>
      <c r="E710" t="s">
        <v>2002</v>
      </c>
      <c r="F710" t="str">
        <f>LEFT(Table1[[#This Row],[Target_product_quantity]], FIND("o", Table1[[#This Row],[Target_product_quantity]])-1)</f>
        <v>64</v>
      </c>
      <c r="G710" t="str" cm="1">
        <f t="array" ref="G710">_xlfn.TEXTJOIN("", TRUE, IF(ISNUMBER(SEARCH($K$1010:$K$1054, C710)), $K$1010:$K$1054, ""))</f>
        <v>Mott's</v>
      </c>
      <c r="H710" t="str">
        <f t="shared" si="40"/>
        <v>Canned Fruit</v>
      </c>
      <c r="I710" t="str">
        <f t="shared" si="41"/>
        <v>Fruit &amp; Vegetables</v>
      </c>
      <c r="J710" s="4">
        <v>3.79</v>
      </c>
      <c r="K710">
        <f>Table1[[#This Row],[Target_product_price]]/Table1[[#This Row],[product_price_per_oz]]</f>
        <v>5.9218750000000001E-2</v>
      </c>
    </row>
    <row r="711" spans="1:30" x14ac:dyDescent="0.2">
      <c r="A711" t="s">
        <v>2049</v>
      </c>
      <c r="B711" t="s">
        <v>2050</v>
      </c>
      <c r="C711" t="s">
        <v>2051</v>
      </c>
      <c r="D711" t="str">
        <f>SUBSTITUTE(Table1[[#This Row],[Target_product_name]], "oz", " oz")</f>
        <v>Mott's 100% Original Apple Juice - 6pk/8 fl  oz Bottles</v>
      </c>
      <c r="E711" t="s">
        <v>936</v>
      </c>
      <c r="F711" t="str">
        <f>LEFT(Table1[[#This Row],[Target_product_quantity]], FIND("o", Table1[[#This Row],[Target_product_quantity]])-1)</f>
        <v>48</v>
      </c>
      <c r="G711" t="str" cm="1">
        <f t="array" ref="G711">_xlfn.TEXTJOIN("", TRUE, IF(ISNUMBER(SEARCH($K$1010:$K$1054, C711)), $K$1010:$K$1054, ""))</f>
        <v>Mott's</v>
      </c>
      <c r="H711" t="str">
        <f t="shared" si="40"/>
        <v>Canned Fruit</v>
      </c>
      <c r="I711" t="str">
        <f t="shared" si="41"/>
        <v>Fruit &amp; Vegetables</v>
      </c>
      <c r="J711" s="4">
        <v>4.3899999999999997</v>
      </c>
      <c r="K711">
        <f>Table1[[#This Row],[Target_product_price]]/Table1[[#This Row],[product_price_per_oz]]</f>
        <v>9.1458333333333322E-2</v>
      </c>
    </row>
    <row r="712" spans="1:30" x14ac:dyDescent="0.2">
      <c r="A712" t="s">
        <v>2052</v>
      </c>
      <c r="B712" t="s">
        <v>2053</v>
      </c>
      <c r="C712" t="s">
        <v>2054</v>
      </c>
      <c r="D712" t="str">
        <f>SUBSTITUTE(Table1[[#This Row],[Target_product_name]], "oz", " oz")</f>
        <v>Mott's Assorted Fruit Flavored Snacks - 8 oz/10ct</v>
      </c>
      <c r="E712" t="s">
        <v>2055</v>
      </c>
      <c r="F712" t="str">
        <f>LEFT(Table1[[#This Row],[Target_product_quantity]], FIND("o", Table1[[#This Row],[Target_product_quantity]])-1)</f>
        <v>80</v>
      </c>
      <c r="G712" t="str" cm="1">
        <f t="array" ref="G712">_xlfn.TEXTJOIN("", TRUE, IF(ISNUMBER(SEARCH($K$1010:$K$1054, C712)), $K$1010:$K$1054, ""))</f>
        <v>Mott's</v>
      </c>
      <c r="H712" t="str">
        <f t="shared" si="40"/>
        <v>Canned Fruit</v>
      </c>
      <c r="I712" t="str">
        <f t="shared" si="41"/>
        <v>Fruit &amp; Vegetables</v>
      </c>
      <c r="J712" s="4">
        <v>2.99</v>
      </c>
      <c r="K712">
        <f>Table1[[#This Row],[Target_product_price]]/Table1[[#This Row],[product_price_per_oz]]</f>
        <v>3.7375000000000005E-2</v>
      </c>
    </row>
    <row r="713" spans="1:30" x14ac:dyDescent="0.2">
      <c r="A713" t="s">
        <v>2056</v>
      </c>
      <c r="B713" t="s">
        <v>2057</v>
      </c>
      <c r="C713" t="s">
        <v>2058</v>
      </c>
      <c r="D713" t="str">
        <f>SUBSTITUTE(Table1[[#This Row],[Target_product_name]], "oz", " oz")</f>
        <v>Mott's Assorted Fruit Flavored Snacks Value Pack - 19.2 oz/22ct</v>
      </c>
      <c r="E713" t="s">
        <v>2059</v>
      </c>
      <c r="F713" t="str">
        <f>LEFT(Table1[[#This Row],[Target_product_quantity]], FIND("o", Table1[[#This Row],[Target_product_quantity]])-1)</f>
        <v>418</v>
      </c>
      <c r="G713" t="str" cm="1">
        <f t="array" ref="G713">_xlfn.TEXTJOIN("", TRUE, IF(ISNUMBER(SEARCH($K$1010:$K$1054, C713)), $K$1010:$K$1054, ""))</f>
        <v>Mott's</v>
      </c>
      <c r="H713" t="str">
        <f t="shared" si="40"/>
        <v>Canned Fruit</v>
      </c>
      <c r="I713" t="str">
        <f t="shared" si="41"/>
        <v>Fruit &amp; Vegetables</v>
      </c>
      <c r="J713" s="4">
        <v>5.49</v>
      </c>
      <c r="K713">
        <f>Table1[[#This Row],[Target_product_price]]/Table1[[#This Row],[product_price_per_oz]]</f>
        <v>1.3133971291866029E-2</v>
      </c>
    </row>
    <row r="714" spans="1:30" x14ac:dyDescent="0.2">
      <c r="A714" t="s">
        <v>2060</v>
      </c>
      <c r="B714" t="s">
        <v>2061</v>
      </c>
      <c r="C714" t="s">
        <v>2062</v>
      </c>
      <c r="D714" t="str">
        <f>SUBSTITUTE(Table1[[#This Row],[Target_product_name]], "oz", " oz")</f>
        <v>Mott's for Tots Apple Juice - 64 fl  oz Bottle</v>
      </c>
      <c r="E714" t="s">
        <v>2002</v>
      </c>
      <c r="F714" t="str">
        <f>LEFT(Table1[[#This Row],[Target_product_quantity]], FIND("o", Table1[[#This Row],[Target_product_quantity]])-1)</f>
        <v>64</v>
      </c>
      <c r="G714" t="str" cm="1">
        <f t="array" ref="G714">_xlfn.TEXTJOIN("", TRUE, IF(ISNUMBER(SEARCH($K$1010:$K$1054, C714)), $K$1010:$K$1054, ""))</f>
        <v>Mott's</v>
      </c>
      <c r="H714" t="str">
        <f t="shared" si="40"/>
        <v>Canned Fruit</v>
      </c>
      <c r="I714" t="str">
        <f t="shared" si="41"/>
        <v>Fruit &amp; Vegetables</v>
      </c>
      <c r="J714" s="4">
        <v>3.79</v>
      </c>
      <c r="K714">
        <f>Table1[[#This Row],[Target_product_price]]/Table1[[#This Row],[product_price_per_oz]]</f>
        <v>5.9218750000000001E-2</v>
      </c>
    </row>
    <row r="715" spans="1:30" x14ac:dyDescent="0.2">
      <c r="A715" t="s">
        <v>2063</v>
      </c>
      <c r="B715" t="s">
        <v>2064</v>
      </c>
      <c r="C715" t="s">
        <v>2065</v>
      </c>
      <c r="D715" t="str">
        <f>SUBSTITUTE(Table1[[#This Row],[Target_product_name]], "oz", " oz")</f>
        <v>Mott's for Tots Fruit Punch Juice - 64 fl  oz Bottle</v>
      </c>
      <c r="E715" t="s">
        <v>2002</v>
      </c>
      <c r="F715" t="str">
        <f>LEFT(Table1[[#This Row],[Target_product_quantity]], FIND("o", Table1[[#This Row],[Target_product_quantity]])-1)</f>
        <v>64</v>
      </c>
      <c r="G715" t="str" cm="1">
        <f t="array" ref="G715">_xlfn.TEXTJOIN("", TRUE, IF(ISNUMBER(SEARCH($K$1010:$K$1054, C715)), $K$1010:$K$1054, ""))</f>
        <v>Mott's</v>
      </c>
      <c r="H715" t="str">
        <f t="shared" si="40"/>
        <v>Canned Fruit</v>
      </c>
      <c r="I715" t="str">
        <f t="shared" si="41"/>
        <v>Fruit &amp; Vegetables</v>
      </c>
      <c r="J715" s="4">
        <v>3.79</v>
      </c>
      <c r="K715">
        <f>Table1[[#This Row],[Target_product_price]]/Table1[[#This Row],[product_price_per_oz]]</f>
        <v>5.9218750000000001E-2</v>
      </c>
    </row>
    <row r="716" spans="1:30" x14ac:dyDescent="0.2">
      <c r="A716" t="s">
        <v>2066</v>
      </c>
      <c r="B716" t="s">
        <v>2067</v>
      </c>
      <c r="C716" t="s">
        <v>2068</v>
      </c>
      <c r="D716" t="str">
        <f>SUBSTITUTE(Table1[[#This Row],[Target_product_name]], "oz", " oz")</f>
        <v>Mott's Pineapple Passionfruit Juice - 6pk/8 fl  oz Bottles</v>
      </c>
      <c r="E716" t="s">
        <v>936</v>
      </c>
      <c r="F716" t="str">
        <f>LEFT(Table1[[#This Row],[Target_product_quantity]], FIND("o", Table1[[#This Row],[Target_product_quantity]])-1)</f>
        <v>48</v>
      </c>
      <c r="G716" t="str" cm="1">
        <f t="array" ref="G716">_xlfn.TEXTJOIN("", TRUE, IF(ISNUMBER(SEARCH($K$1010:$K$1054, C716)), $K$1010:$K$1054, ""))</f>
        <v>Mott's</v>
      </c>
      <c r="H716" t="str">
        <f t="shared" si="40"/>
        <v>Canned Fruit</v>
      </c>
      <c r="I716" t="str">
        <f t="shared" si="41"/>
        <v>Fruit &amp; Vegetables</v>
      </c>
      <c r="J716" s="4">
        <v>4.3899999999999997</v>
      </c>
      <c r="K716">
        <f>Table1[[#This Row],[Target_product_price]]/Table1[[#This Row],[product_price_per_oz]]</f>
        <v>9.1458333333333322E-2</v>
      </c>
      <c r="AD716" t="s">
        <v>2069</v>
      </c>
    </row>
    <row r="717" spans="1:30" x14ac:dyDescent="0.2">
      <c r="A717" t="s">
        <v>2070</v>
      </c>
      <c r="B717" t="s">
        <v>2071</v>
      </c>
      <c r="C717" t="s">
        <v>2072</v>
      </c>
      <c r="D717" t="str">
        <f>SUBSTITUTE(Table1[[#This Row],[Target_product_name]], "oz", " oz")</f>
        <v>Multi-Grain Cheerios Breakfast Cereal - 9 oz - General Mills</v>
      </c>
      <c r="E717" t="s">
        <v>1963</v>
      </c>
      <c r="F717" t="str">
        <f>LEFT(Table1[[#This Row],[Target_product_quantity]], FIND("o", Table1[[#This Row],[Target_product_quantity]])-1)</f>
        <v>9</v>
      </c>
      <c r="G717" t="str" cm="1">
        <f t="array" ref="G717">_xlfn.TEXTJOIN("", TRUE, IF(ISNUMBER(SEARCH($K$1010:$K$1054, C717)), $K$1010:$K$1054, ""))</f>
        <v>Cheerios</v>
      </c>
      <c r="H717" t="str">
        <f t="shared" si="40"/>
        <v>Prepared Food</v>
      </c>
      <c r="I717" t="str">
        <f t="shared" si="41"/>
        <v>Prepared Food</v>
      </c>
      <c r="J717">
        <v>3.79</v>
      </c>
      <c r="K717">
        <f>Table1[[#This Row],[Target_product_price]]/Table1[[#This Row],[product_price_per_oz]]</f>
        <v>0.4211111111111111</v>
      </c>
    </row>
    <row r="718" spans="1:30" x14ac:dyDescent="0.2">
      <c r="A718" t="s">
        <v>2073</v>
      </c>
      <c r="B718" t="s">
        <v>2074</v>
      </c>
      <c r="C718" t="s">
        <v>2075</v>
      </c>
      <c r="D718" t="str">
        <f>SUBSTITUTE(Table1[[#This Row],[Target_product_name]], "oz", " oz")</f>
        <v>Multigrain Cheerios Giant Size Cereal - 20.6 oz</v>
      </c>
      <c r="E718" t="str">
        <f>TRIM(RIGHT(C718, LEN(C718) - FIND("-", C718)))</f>
        <v>20.6oz</v>
      </c>
      <c r="F718" t="str">
        <f>LEFT(Table1[[#This Row],[Target_product_quantity]], FIND("o", Table1[[#This Row],[Target_product_quantity]])-1)</f>
        <v>20.6</v>
      </c>
      <c r="G718" t="str" cm="1">
        <f t="array" ref="G718">_xlfn.TEXTJOIN("", TRUE, IF(ISNUMBER(SEARCH($K$1010:$K$1054, C718)), $K$1010:$K$1054, ""))</f>
        <v>Cheerios</v>
      </c>
      <c r="H718" t="str">
        <f t="shared" si="40"/>
        <v>Prepared Food</v>
      </c>
      <c r="I718" t="str">
        <f t="shared" si="41"/>
        <v>Prepared Food</v>
      </c>
      <c r="J718">
        <v>6.19</v>
      </c>
      <c r="K718">
        <f>Table1[[#This Row],[Target_product_price]]/Table1[[#This Row],[product_price_per_oz]]</f>
        <v>0.30048543689320389</v>
      </c>
    </row>
    <row r="719" spans="1:30" x14ac:dyDescent="0.2">
      <c r="A719" t="s">
        <v>2076</v>
      </c>
      <c r="B719" t="s">
        <v>2077</v>
      </c>
      <c r="C719" t="s">
        <v>2078</v>
      </c>
      <c r="D719" t="str">
        <f>SUBSTITUTE(Table1[[#This Row],[Target_product_name]], "oz", " oz")</f>
        <v>Nature Valley Almond Butter Biscuits - 1.35/5ct</v>
      </c>
      <c r="E719" t="s">
        <v>2079</v>
      </c>
      <c r="F719" t="str">
        <f>LEFT(Table1[[#This Row],[Target_product_quantity]], FIND("o", Table1[[#This Row],[Target_product_quantity]])-1)</f>
        <v>6.5</v>
      </c>
      <c r="G719" t="str" cm="1">
        <f t="array" ref="G719">_xlfn.TEXTJOIN("", TRUE, IF(ISNUMBER(SEARCH($K$1010:$K$1054, C719)), $K$1010:$K$1054, ""))</f>
        <v>Nature Valley</v>
      </c>
      <c r="H719" t="str">
        <f t="shared" si="40"/>
        <v>Prepared Food</v>
      </c>
      <c r="I719" t="str">
        <f t="shared" si="41"/>
        <v>Prepared Food</v>
      </c>
      <c r="J719">
        <v>3.29</v>
      </c>
      <c r="K719">
        <f>Table1[[#This Row],[Target_product_price]]/Table1[[#This Row],[product_price_per_oz]]</f>
        <v>0.50615384615384618</v>
      </c>
    </row>
    <row r="720" spans="1:30" x14ac:dyDescent="0.2">
      <c r="A720" t="s">
        <v>2080</v>
      </c>
      <c r="B720" t="s">
        <v>2081</v>
      </c>
      <c r="C720" t="s">
        <v>2082</v>
      </c>
      <c r="D720" t="str">
        <f>SUBSTITUTE(Table1[[#This Row],[Target_product_name]], "oz", " oz")</f>
        <v>Nature Valley Baked Breakfast Bar Banana Chocolate Chip - 8.8 oz/5ct</v>
      </c>
      <c r="E720" t="s">
        <v>2083</v>
      </c>
      <c r="F720" t="str">
        <f>LEFT(Table1[[#This Row],[Target_product_quantity]], FIND("o", Table1[[#This Row],[Target_product_quantity]])-1)</f>
        <v>44</v>
      </c>
      <c r="G720" t="str" cm="1">
        <f t="array" ref="G720">_xlfn.TEXTJOIN("", TRUE, IF(ISNUMBER(SEARCH($K$1010:$K$1054, C720)), $K$1010:$K$1054, ""))</f>
        <v>Nature Valley</v>
      </c>
      <c r="H720" t="str">
        <f t="shared" si="40"/>
        <v>Prepared Food</v>
      </c>
      <c r="I720" t="str">
        <f t="shared" si="41"/>
        <v>Prepared Food</v>
      </c>
      <c r="J720">
        <v>4.49</v>
      </c>
      <c r="K720">
        <f>Table1[[#This Row],[Target_product_price]]/Table1[[#This Row],[product_price_per_oz]]</f>
        <v>0.10204545454545455</v>
      </c>
    </row>
    <row r="721" spans="1:11" x14ac:dyDescent="0.2">
      <c r="A721" t="s">
        <v>2084</v>
      </c>
      <c r="B721" t="s">
        <v>2085</v>
      </c>
      <c r="C721" t="s">
        <v>2086</v>
      </c>
      <c r="D721" t="str">
        <f>SUBSTITUTE(Table1[[#This Row],[Target_product_name]], "oz", " oz")</f>
        <v>Nature Valley Cashew Bars - 7.2 oz/6ct</v>
      </c>
      <c r="E721" t="s">
        <v>2087</v>
      </c>
      <c r="F721" t="str">
        <f>LEFT(Table1[[#This Row],[Target_product_quantity]], FIND("o", Table1[[#This Row],[Target_product_quantity]])-1)</f>
        <v>43.2</v>
      </c>
      <c r="G721" t="str" cm="1">
        <f t="array" ref="G721">_xlfn.TEXTJOIN("", TRUE, IF(ISNUMBER(SEARCH($K$1010:$K$1054, C721)), $K$1010:$K$1054, ""))</f>
        <v>Nature Valley</v>
      </c>
      <c r="H721" t="str">
        <f t="shared" si="40"/>
        <v>Prepared Food</v>
      </c>
      <c r="I721" t="str">
        <f t="shared" si="41"/>
        <v>Prepared Food</v>
      </c>
      <c r="J721">
        <v>3.29</v>
      </c>
      <c r="K721">
        <f>Table1[[#This Row],[Target_product_price]]/Table1[[#This Row],[product_price_per_oz]]</f>
        <v>7.615740740740741E-2</v>
      </c>
    </row>
    <row r="722" spans="1:11" x14ac:dyDescent="0.2">
      <c r="A722" t="s">
        <v>2088</v>
      </c>
      <c r="B722" t="s">
        <v>2089</v>
      </c>
      <c r="C722" t="s">
        <v>2090</v>
      </c>
      <c r="D722" t="str">
        <f>SUBSTITUTE(Table1[[#This Row],[Target_product_name]], "oz", " oz")</f>
        <v>Nature Valley Crispy Creamy Strawberry Bars - 6.5 oz</v>
      </c>
      <c r="E722" t="str">
        <f>TRIM(RIGHT(C722, LEN(C722) - FIND("-", C722)))</f>
        <v>6.5oz</v>
      </c>
      <c r="F722" t="str">
        <f>LEFT(Table1[[#This Row],[Target_product_quantity]], FIND("o", Table1[[#This Row],[Target_product_quantity]])-1)</f>
        <v>6.5</v>
      </c>
      <c r="G722" t="str" cm="1">
        <f t="array" ref="G722">_xlfn.TEXTJOIN("", TRUE, IF(ISNUMBER(SEARCH($K$1010:$K$1054, C722)), $K$1010:$K$1054, ""))</f>
        <v>Nature Valley</v>
      </c>
      <c r="H722" t="str">
        <f t="shared" si="40"/>
        <v>Prepared Food</v>
      </c>
      <c r="I722" t="str">
        <f t="shared" si="41"/>
        <v>Prepared Food</v>
      </c>
      <c r="J722">
        <v>3.89</v>
      </c>
      <c r="K722">
        <f>Table1[[#This Row],[Target_product_price]]/Table1[[#This Row],[product_price_per_oz]]</f>
        <v>0.59846153846153849</v>
      </c>
    </row>
    <row r="723" spans="1:11" x14ac:dyDescent="0.2">
      <c r="A723" t="s">
        <v>2091</v>
      </c>
      <c r="B723" t="s">
        <v>2092</v>
      </c>
      <c r="C723" t="s">
        <v>2093</v>
      </c>
      <c r="D723" t="str">
        <f>SUBSTITUTE(Table1[[#This Row],[Target_product_name]], "oz", " oz")</f>
        <v>Nature Valley Crispy Creamy Vanilla Honey Bars - 6.5 oz</v>
      </c>
      <c r="E723" t="str">
        <f>TRIM(RIGHT(C723, LEN(C723) - FIND("-", C723)))</f>
        <v>6.5oz</v>
      </c>
      <c r="F723" t="str">
        <f>LEFT(Table1[[#This Row],[Target_product_quantity]], FIND("o", Table1[[#This Row],[Target_product_quantity]])-1)</f>
        <v>6.5</v>
      </c>
      <c r="G723" t="str" cm="1">
        <f t="array" ref="G723">_xlfn.TEXTJOIN("", TRUE, IF(ISNUMBER(SEARCH($K$1010:$K$1054, C723)), $K$1010:$K$1054, ""))</f>
        <v>Nature Valley</v>
      </c>
      <c r="H723" t="str">
        <f t="shared" si="40"/>
        <v>Prepared Food</v>
      </c>
      <c r="I723" t="str">
        <f t="shared" si="41"/>
        <v>Prepared Food</v>
      </c>
      <c r="J723">
        <v>3.89</v>
      </c>
      <c r="K723">
        <f>Table1[[#This Row],[Target_product_price]]/Table1[[#This Row],[product_price_per_oz]]</f>
        <v>0.59846153846153849</v>
      </c>
    </row>
    <row r="724" spans="1:11" x14ac:dyDescent="0.2">
      <c r="A724" t="s">
        <v>2094</v>
      </c>
      <c r="B724" t="s">
        <v>2095</v>
      </c>
      <c r="C724" t="s">
        <v>2096</v>
      </c>
      <c r="D724" t="str">
        <f>SUBSTITUTE(Table1[[#This Row],[Target_product_name]], "oz", " oz")</f>
        <v>Nature Valley Crunchy Bars Variety Pack - 17.88 oz/ 12ct</v>
      </c>
      <c r="E724" t="s">
        <v>2097</v>
      </c>
      <c r="F724" t="str">
        <f>LEFT(Table1[[#This Row],[Target_product_quantity]], FIND("o", Table1[[#This Row],[Target_product_quantity]])-1)</f>
        <v>216</v>
      </c>
      <c r="G724" t="str" cm="1">
        <f t="array" ref="G724">_xlfn.TEXTJOIN("", TRUE, IF(ISNUMBER(SEARCH($K$1010:$K$1054, C724)), $K$1010:$K$1054, ""))</f>
        <v>Nature Valley</v>
      </c>
      <c r="H724" t="str">
        <f t="shared" si="40"/>
        <v>Prepared Food</v>
      </c>
      <c r="I724" t="str">
        <f t="shared" si="41"/>
        <v>Prepared Food</v>
      </c>
      <c r="J724">
        <v>7.29</v>
      </c>
      <c r="K724">
        <f>Table1[[#This Row],[Target_product_price]]/Table1[[#This Row],[product_price_per_oz]]</f>
        <v>3.3750000000000002E-2</v>
      </c>
    </row>
    <row r="725" spans="1:11" x14ac:dyDescent="0.2">
      <c r="A725" t="s">
        <v>2098</v>
      </c>
      <c r="B725" t="s">
        <v>2099</v>
      </c>
      <c r="C725" t="s">
        <v>2100</v>
      </c>
      <c r="D725" t="str">
        <f>SUBSTITUTE(Table1[[#This Row],[Target_product_name]], "oz", " oz")</f>
        <v>Nature Valley Crunchy Oats 'N Honey Granola Bars - 12ct/17.88 oz</v>
      </c>
      <c r="E725" t="s">
        <v>2101</v>
      </c>
      <c r="F725" t="str">
        <f>LEFT(Table1[[#This Row],[Target_product_quantity]], FIND("o", Table1[[#This Row],[Target_product_quantity]])-1)</f>
        <v>482.4</v>
      </c>
      <c r="G725" t="str" cm="1">
        <f t="array" ref="G725">_xlfn.TEXTJOIN("", TRUE, IF(ISNUMBER(SEARCH($K$1010:$K$1054, C725)), $K$1010:$K$1054, ""))</f>
        <v>Nature Valley</v>
      </c>
      <c r="H725" t="str">
        <f t="shared" si="40"/>
        <v>Prepared Food</v>
      </c>
      <c r="I725" t="str">
        <f t="shared" si="41"/>
        <v>Prepared Food</v>
      </c>
      <c r="J725">
        <v>7.29</v>
      </c>
      <c r="K725">
        <f>Table1[[#This Row],[Target_product_price]]/Table1[[#This Row],[product_price_per_oz]]</f>
        <v>1.5111940298507464E-2</v>
      </c>
    </row>
    <row r="726" spans="1:11" x14ac:dyDescent="0.2">
      <c r="A726" t="s">
        <v>2102</v>
      </c>
      <c r="B726" t="s">
        <v>2103</v>
      </c>
      <c r="C726" t="s">
        <v>2104</v>
      </c>
      <c r="D726" t="str">
        <f>SUBSTITUTE(Table1[[#This Row],[Target_product_name]], "oz", " oz")</f>
        <v>Nature Valley Crunchy Oats n Honey -  30ct/44.7 oz</v>
      </c>
      <c r="E726" t="s">
        <v>2105</v>
      </c>
      <c r="F726" t="str">
        <f>LEFT(Table1[[#This Row],[Target_product_quantity]], FIND("o", Table1[[#This Row],[Target_product_quantity]])-1)</f>
        <v>13.41</v>
      </c>
      <c r="G726" t="str" cm="1">
        <f t="array" ref="G726">_xlfn.TEXTJOIN("", TRUE, IF(ISNUMBER(SEARCH($K$1010:$K$1054, C726)), $K$1010:$K$1054, ""))</f>
        <v>Nature Valley</v>
      </c>
      <c r="H726" t="str">
        <f t="shared" si="40"/>
        <v>Prepared Food</v>
      </c>
      <c r="I726" t="str">
        <f t="shared" si="41"/>
        <v>Prepared Food</v>
      </c>
      <c r="J726">
        <v>12.49</v>
      </c>
      <c r="K726">
        <f>Table1[[#This Row],[Target_product_price]]/Table1[[#This Row],[product_price_per_oz]]</f>
        <v>0.93139448173005224</v>
      </c>
    </row>
    <row r="727" spans="1:11" x14ac:dyDescent="0.2">
      <c r="A727" t="s">
        <v>2106</v>
      </c>
      <c r="B727" t="s">
        <v>2107</v>
      </c>
      <c r="C727" t="s">
        <v>2108</v>
      </c>
      <c r="D727" t="str">
        <f>SUBSTITUTE(Table1[[#This Row],[Target_product_name]], "oz", " oz")</f>
        <v>Nature Valley Crunchy Variety Pack - 30ct/44.7 oz</v>
      </c>
      <c r="E727" t="s">
        <v>2109</v>
      </c>
      <c r="F727" t="str">
        <f>LEFT(Table1[[#This Row],[Target_product_quantity]], FIND("o", Table1[[#This Row],[Target_product_quantity]])-1)</f>
        <v>1341</v>
      </c>
      <c r="G727" t="str" cm="1">
        <f t="array" ref="G727">_xlfn.TEXTJOIN("", TRUE, IF(ISNUMBER(SEARCH($K$1010:$K$1054, C727)), $K$1010:$K$1054, ""))</f>
        <v>Nature Valley</v>
      </c>
      <c r="H727" t="str">
        <f t="shared" si="40"/>
        <v>Prepared Food</v>
      </c>
      <c r="I727" t="str">
        <f t="shared" si="41"/>
        <v>Prepared Food</v>
      </c>
      <c r="J727">
        <v>12.49</v>
      </c>
      <c r="K727">
        <f>Table1[[#This Row],[Target_product_price]]/Table1[[#This Row],[product_price_per_oz]]</f>
        <v>9.3139448173005217E-3</v>
      </c>
    </row>
    <row r="728" spans="1:11" x14ac:dyDescent="0.2">
      <c r="A728" t="s">
        <v>2110</v>
      </c>
      <c r="B728" t="s">
        <v>2111</v>
      </c>
      <c r="C728" t="s">
        <v>2112</v>
      </c>
      <c r="D728" t="str">
        <f>SUBSTITUTE(Table1[[#This Row],[Target_product_name]], "oz", " oz")</f>
        <v>Nature Valley Dipped Double Chocolate Granola - 11 oz</v>
      </c>
      <c r="E728" t="str">
        <f>TRIM(RIGHT(C728, LEN(C728) - FIND("-", C728)))</f>
        <v>11oz</v>
      </c>
      <c r="F728" t="str">
        <f>LEFT(Table1[[#This Row],[Target_product_quantity]], FIND("o", Table1[[#This Row],[Target_product_quantity]])-1)</f>
        <v>11</v>
      </c>
      <c r="G728" t="str" cm="1">
        <f t="array" ref="G728">_xlfn.TEXTJOIN("", TRUE, IF(ISNUMBER(SEARCH($K$1010:$K$1054, C728)), $K$1010:$K$1054, ""))</f>
        <v>Nature Valley</v>
      </c>
      <c r="H728" t="str">
        <f t="shared" si="40"/>
        <v>Prepared Food</v>
      </c>
      <c r="I728" t="str">
        <f t="shared" si="41"/>
        <v>Prepared Food</v>
      </c>
      <c r="J728">
        <v>5.79</v>
      </c>
      <c r="K728">
        <f>Table1[[#This Row],[Target_product_price]]/Table1[[#This Row],[product_price_per_oz]]</f>
        <v>0.52636363636363637</v>
      </c>
    </row>
    <row r="729" spans="1:11" x14ac:dyDescent="0.2">
      <c r="A729" t="s">
        <v>2110</v>
      </c>
      <c r="B729" t="s">
        <v>2111</v>
      </c>
      <c r="C729" t="s">
        <v>2112</v>
      </c>
      <c r="D729" t="str">
        <f>SUBSTITUTE(Table1[[#This Row],[Target_product_name]], "oz", " oz")</f>
        <v>Nature Valley Dipped Double Chocolate Granola - 11 oz</v>
      </c>
      <c r="E729" t="str">
        <f>TRIM(RIGHT(C729, LEN(C729) - FIND("-", C729)))</f>
        <v>11oz</v>
      </c>
      <c r="F729" t="str">
        <f>LEFT(Table1[[#This Row],[Target_product_quantity]], FIND("o", Table1[[#This Row],[Target_product_quantity]])-1)</f>
        <v>11</v>
      </c>
      <c r="G729" t="str" cm="1">
        <f t="array" ref="G729">_xlfn.TEXTJOIN("", TRUE, IF(ISNUMBER(SEARCH($K$1010:$K$1054, C729)), $K$1010:$K$1054, ""))</f>
        <v>Nature Valley</v>
      </c>
      <c r="H729" t="str">
        <f t="shared" si="40"/>
        <v>Prepared Food</v>
      </c>
      <c r="I729" t="str">
        <f t="shared" si="41"/>
        <v>Prepared Food</v>
      </c>
      <c r="J729">
        <v>5.79</v>
      </c>
      <c r="K729">
        <f>Table1[[#This Row],[Target_product_price]]/Table1[[#This Row],[product_price_per_oz]]</f>
        <v>0.52636363636363637</v>
      </c>
    </row>
    <row r="730" spans="1:11" x14ac:dyDescent="0.2">
      <c r="A730" t="s">
        <v>2113</v>
      </c>
      <c r="B730" t="s">
        <v>2114</v>
      </c>
      <c r="C730" t="s">
        <v>2115</v>
      </c>
      <c r="D730" t="str">
        <f>SUBSTITUTE(Table1[[#This Row],[Target_product_name]], "oz", " oz")</f>
        <v>Nature Valley Dipped Salted Caramel Granola - 11 oz</v>
      </c>
      <c r="E730" t="str">
        <f>TRIM(RIGHT(C730, LEN(C730) - FIND("-", C730)))</f>
        <v>11oz</v>
      </c>
      <c r="F730" t="str">
        <f>LEFT(Table1[[#This Row],[Target_product_quantity]], FIND("o", Table1[[#This Row],[Target_product_quantity]])-1)</f>
        <v>11</v>
      </c>
      <c r="G730" t="str" cm="1">
        <f t="array" ref="G730">_xlfn.TEXTJOIN("", TRUE, IF(ISNUMBER(SEARCH($K$1010:$K$1054, C730)), $K$1010:$K$1054, ""))</f>
        <v>Nature Valley</v>
      </c>
      <c r="H730" t="str">
        <f t="shared" si="40"/>
        <v>Prepared Food</v>
      </c>
      <c r="I730" t="str">
        <f t="shared" si="41"/>
        <v>Prepared Food</v>
      </c>
      <c r="J730">
        <v>4.99</v>
      </c>
      <c r="K730">
        <f>Table1[[#This Row],[Target_product_price]]/Table1[[#This Row],[product_price_per_oz]]</f>
        <v>0.45363636363636367</v>
      </c>
    </row>
    <row r="731" spans="1:11" x14ac:dyDescent="0.2">
      <c r="A731" t="s">
        <v>2116</v>
      </c>
      <c r="B731" t="s">
        <v>2117</v>
      </c>
      <c r="C731" t="s">
        <v>2118</v>
      </c>
      <c r="D731" t="str">
        <f>SUBSTITUTE(Table1[[#This Row],[Target_product_name]], "oz", " oz")</f>
        <v>Nature Valley Granola Bars - 18ct/26.82 oz</v>
      </c>
      <c r="E731" t="s">
        <v>2101</v>
      </c>
      <c r="F731" t="str">
        <f>LEFT(Table1[[#This Row],[Target_product_quantity]], FIND("o", Table1[[#This Row],[Target_product_quantity]])-1)</f>
        <v>482.4</v>
      </c>
      <c r="G731" t="str" cm="1">
        <f t="array" ref="G731">_xlfn.TEXTJOIN("", TRUE, IF(ISNUMBER(SEARCH($K$1010:$K$1054, C731)), $K$1010:$K$1054, ""))</f>
        <v>Nature Valley</v>
      </c>
      <c r="H731" t="str">
        <f t="shared" si="40"/>
        <v>Prepared Food</v>
      </c>
      <c r="I731" t="str">
        <f t="shared" si="41"/>
        <v>Prepared Food</v>
      </c>
      <c r="J731">
        <v>11.19</v>
      </c>
      <c r="K731">
        <f>Table1[[#This Row],[Target_product_price]]/Table1[[#This Row],[product_price_per_oz]]</f>
        <v>2.3196517412935325E-2</v>
      </c>
    </row>
    <row r="732" spans="1:11" x14ac:dyDescent="0.2">
      <c r="A732" t="s">
        <v>2119</v>
      </c>
      <c r="B732" t="s">
        <v>2120</v>
      </c>
      <c r="C732" t="s">
        <v>2121</v>
      </c>
      <c r="D732" t="str">
        <f>SUBSTITUTE(Table1[[#This Row],[Target_product_name]], "oz", " oz")</f>
        <v>Nature Valley Lunchbox Double Chocolate - 4.59 oz/5ct</v>
      </c>
      <c r="E732" t="s">
        <v>1941</v>
      </c>
      <c r="F732" t="str">
        <f>LEFT(Table1[[#This Row],[Target_product_quantity]], FIND("o", Table1[[#This Row],[Target_product_quantity]])-1)</f>
        <v>24</v>
      </c>
      <c r="G732" t="str" cm="1">
        <f t="array" ref="G732">_xlfn.TEXTJOIN("", TRUE, IF(ISNUMBER(SEARCH($K$1010:$K$1054, C732)), $K$1010:$K$1054, ""))</f>
        <v>Nature Valley</v>
      </c>
      <c r="H732" t="str">
        <f t="shared" si="40"/>
        <v>Prepared Food</v>
      </c>
      <c r="I732" t="str">
        <f t="shared" si="41"/>
        <v>Prepared Food</v>
      </c>
      <c r="J732">
        <v>3.29</v>
      </c>
      <c r="K732">
        <f>Table1[[#This Row],[Target_product_price]]/Table1[[#This Row],[product_price_per_oz]]</f>
        <v>0.13708333333333333</v>
      </c>
    </row>
    <row r="733" spans="1:11" x14ac:dyDescent="0.2">
      <c r="A733" t="s">
        <v>2122</v>
      </c>
      <c r="B733" t="s">
        <v>2123</v>
      </c>
      <c r="C733" t="s">
        <v>2124</v>
      </c>
      <c r="D733" t="str">
        <f>SUBSTITUTE(Table1[[#This Row],[Target_product_name]], "oz", " oz")</f>
        <v>Nature Valley Lunchbox S'mores - 4.59 oz/5ct</v>
      </c>
      <c r="E733" t="s">
        <v>1941</v>
      </c>
      <c r="F733" t="str">
        <f>LEFT(Table1[[#This Row],[Target_product_quantity]], FIND("o", Table1[[#This Row],[Target_product_quantity]])-1)</f>
        <v>24</v>
      </c>
      <c r="G733" t="str" cm="1">
        <f t="array" ref="G733">_xlfn.TEXTJOIN("", TRUE, IF(ISNUMBER(SEARCH($K$1010:$K$1054, C733)), $K$1010:$K$1054, ""))</f>
        <v>Nature Valley</v>
      </c>
      <c r="H733" t="str">
        <f t="shared" si="40"/>
        <v>Prepared Food</v>
      </c>
      <c r="I733" t="str">
        <f t="shared" si="41"/>
        <v>Prepared Food</v>
      </c>
      <c r="J733">
        <v>3.29</v>
      </c>
      <c r="K733">
        <f>Table1[[#This Row],[Target_product_price]]/Table1[[#This Row],[product_price_per_oz]]</f>
        <v>0.13708333333333333</v>
      </c>
    </row>
    <row r="734" spans="1:11" x14ac:dyDescent="0.2">
      <c r="A734" t="s">
        <v>2125</v>
      </c>
      <c r="B734" t="s">
        <v>2126</v>
      </c>
      <c r="C734" t="s">
        <v>2127</v>
      </c>
      <c r="D734" t="str">
        <f>SUBSTITUTE(Table1[[#This Row],[Target_product_name]], "oz", " oz")</f>
        <v>Nature Valley Oats 'N Honey Granola Crunch - 16 oz</v>
      </c>
      <c r="E734" t="str">
        <f>TRIM(RIGHT(C734, LEN(C734) - FIND("-", C734)))</f>
        <v>16oz</v>
      </c>
      <c r="F734" t="str">
        <f>LEFT(Table1[[#This Row],[Target_product_quantity]], FIND("o", Table1[[#This Row],[Target_product_quantity]])-1)</f>
        <v>16</v>
      </c>
      <c r="G734" t="str" cm="1">
        <f t="array" ref="G734">_xlfn.TEXTJOIN("", TRUE, IF(ISNUMBER(SEARCH($K$1010:$K$1054, C734)), $K$1010:$K$1054, ""))</f>
        <v>Nature Valley</v>
      </c>
      <c r="H734" t="str">
        <f t="shared" si="40"/>
        <v>Prepared Food</v>
      </c>
      <c r="I734" t="str">
        <f t="shared" si="41"/>
        <v>Prepared Food</v>
      </c>
      <c r="J734">
        <v>4.6900000000000004</v>
      </c>
      <c r="K734">
        <f>Table1[[#This Row],[Target_product_price]]/Table1[[#This Row],[product_price_per_oz]]</f>
        <v>0.29312500000000002</v>
      </c>
    </row>
    <row r="735" spans="1:11" x14ac:dyDescent="0.2">
      <c r="A735" t="s">
        <v>2128</v>
      </c>
      <c r="B735" t="s">
        <v>2129</v>
      </c>
      <c r="C735" t="s">
        <v>2130</v>
      </c>
      <c r="D735" t="str">
        <f>SUBSTITUTE(Table1[[#This Row],[Target_product_name]], "oz", " oz")</f>
        <v>Nature Valley PB Chocolate Crispy Creamy Wafer Bar - 6.5 oz/5ct</v>
      </c>
      <c r="E735" t="s">
        <v>2131</v>
      </c>
      <c r="F735" t="str">
        <f>LEFT(Table1[[#This Row],[Target_product_quantity]], FIND("o", Table1[[#This Row],[Target_product_quantity]])-1)</f>
        <v>32.5</v>
      </c>
      <c r="G735" t="str" cm="1">
        <f t="array" ref="G735">_xlfn.TEXTJOIN("", TRUE, IF(ISNUMBER(SEARCH($K$1010:$K$1054, C735)), $K$1010:$K$1054, ""))</f>
        <v>Nature Valley</v>
      </c>
      <c r="H735" t="str">
        <f t="shared" si="40"/>
        <v>Prepared Food</v>
      </c>
      <c r="I735" t="str">
        <f t="shared" si="41"/>
        <v>Prepared Food</v>
      </c>
      <c r="J735">
        <v>3.89</v>
      </c>
      <c r="K735">
        <f>Table1[[#This Row],[Target_product_price]]/Table1[[#This Row],[product_price_per_oz]]</f>
        <v>0.1196923076923077</v>
      </c>
    </row>
    <row r="736" spans="1:11" x14ac:dyDescent="0.2">
      <c r="A736" t="s">
        <v>2132</v>
      </c>
      <c r="B736" t="s">
        <v>2133</v>
      </c>
      <c r="C736" t="s">
        <v>2134</v>
      </c>
      <c r="D736" t="str">
        <f>SUBSTITUTE(Table1[[#This Row],[Target_product_name]], "oz", " oz")</f>
        <v>Nature Valley Peanut Butter Biscuits - 1.35/5ct</v>
      </c>
      <c r="E736" t="s">
        <v>2079</v>
      </c>
      <c r="F736" t="str">
        <f>LEFT(Table1[[#This Row],[Target_product_quantity]], FIND("o", Table1[[#This Row],[Target_product_quantity]])-1)</f>
        <v>6.5</v>
      </c>
      <c r="G736" t="str" cm="1">
        <f t="array" ref="G736">_xlfn.TEXTJOIN("", TRUE, IF(ISNUMBER(SEARCH($K$1010:$K$1054, C736)), $K$1010:$K$1054, ""))</f>
        <v>Nature Valley</v>
      </c>
      <c r="H736" t="str">
        <f t="shared" si="40"/>
        <v>Prepared Food</v>
      </c>
      <c r="I736" t="str">
        <f t="shared" si="41"/>
        <v>Prepared Food</v>
      </c>
      <c r="J736">
        <v>3.29</v>
      </c>
      <c r="K736">
        <f>Table1[[#This Row],[Target_product_price]]/Table1[[#This Row],[product_price_per_oz]]</f>
        <v>0.50615384615384618</v>
      </c>
    </row>
    <row r="737" spans="1:11" x14ac:dyDescent="0.2">
      <c r="A737" t="s">
        <v>2135</v>
      </c>
      <c r="B737" t="s">
        <v>2136</v>
      </c>
      <c r="C737" t="s">
        <v>2137</v>
      </c>
      <c r="D737" t="str">
        <f>SUBSTITUTE(Table1[[#This Row],[Target_product_name]], "oz", " oz")</f>
        <v>Nature Valley Peanut Butter Dark Chocolate Protein Chewy Bars - 14.2 oz - 10ct</v>
      </c>
      <c r="E737" t="s">
        <v>2138</v>
      </c>
      <c r="F737" t="str">
        <f>LEFT(Table1[[#This Row],[Target_product_quantity]], FIND("o", Table1[[#This Row],[Target_product_quantity]])-1)</f>
        <v>142</v>
      </c>
      <c r="G737" t="str" cm="1">
        <f t="array" ref="G737">_xlfn.TEXTJOIN("", TRUE, IF(ISNUMBER(SEARCH($K$1010:$K$1054, C737)), $K$1010:$K$1054, ""))</f>
        <v>Nature Valley</v>
      </c>
      <c r="H737" t="str">
        <f t="shared" si="40"/>
        <v>Prepared Food</v>
      </c>
      <c r="I737" t="str">
        <f t="shared" si="41"/>
        <v>Prepared Food</v>
      </c>
      <c r="J737">
        <v>7.19</v>
      </c>
      <c r="K737">
        <f>Table1[[#This Row],[Target_product_price]]/Table1[[#This Row],[product_price_per_oz]]</f>
        <v>5.0633802816901413E-2</v>
      </c>
    </row>
    <row r="738" spans="1:11" x14ac:dyDescent="0.2">
      <c r="A738" t="s">
        <v>2139</v>
      </c>
      <c r="B738" t="s">
        <v>2140</v>
      </c>
      <c r="C738" t="s">
        <v>2141</v>
      </c>
      <c r="D738" t="str">
        <f>SUBSTITUTE(Table1[[#This Row],[Target_product_name]], "oz", " oz")</f>
        <v>Nature Valley Peanut Butter Dark Chocolate Protein Chewy Bars - 5ct</v>
      </c>
      <c r="E738" t="s">
        <v>2142</v>
      </c>
      <c r="F738" t="str">
        <f>LEFT(Table1[[#This Row],[Target_product_quantity]], FIND("o", Table1[[#This Row],[Target_product_quantity]])-1)</f>
        <v>70</v>
      </c>
      <c r="G738" t="str" cm="1">
        <f t="array" ref="G738">_xlfn.TEXTJOIN("", TRUE, IF(ISNUMBER(SEARCH($K$1010:$K$1054, C738)), $K$1010:$K$1054, ""))</f>
        <v>Nature Valley</v>
      </c>
      <c r="H738" t="str">
        <f t="shared" si="40"/>
        <v>Prepared Food</v>
      </c>
      <c r="I738" t="str">
        <f t="shared" si="41"/>
        <v>Prepared Food</v>
      </c>
      <c r="J738">
        <v>3.89</v>
      </c>
      <c r="K738">
        <f>Table1[[#This Row],[Target_product_price]]/Table1[[#This Row],[product_price_per_oz]]</f>
        <v>5.557142857142857E-2</v>
      </c>
    </row>
    <row r="739" spans="1:11" x14ac:dyDescent="0.2">
      <c r="A739" t="s">
        <v>2143</v>
      </c>
      <c r="B739" t="s">
        <v>2144</v>
      </c>
      <c r="C739" t="s">
        <v>2145</v>
      </c>
      <c r="D739" t="str">
        <f>SUBSTITUTE(Table1[[#This Row],[Target_product_name]], "oz", " oz")</f>
        <v>Nature Valley Protein Oats 'n Dark Chocolate Crunchy Granola - 11 oz</v>
      </c>
      <c r="E739" t="str">
        <f>TRIM(RIGHT(C739, LEN(C739) - FIND("-", C739)))</f>
        <v>11oz</v>
      </c>
      <c r="F739" t="str">
        <f>LEFT(Table1[[#This Row],[Target_product_quantity]], FIND("o", Table1[[#This Row],[Target_product_quantity]])-1)</f>
        <v>11</v>
      </c>
      <c r="G739" t="str" cm="1">
        <f t="array" ref="G739">_xlfn.TEXTJOIN("", TRUE, IF(ISNUMBER(SEARCH($K$1010:$K$1054, C739)), $K$1010:$K$1054, ""))</f>
        <v>Nature Valley</v>
      </c>
      <c r="H739" t="str">
        <f t="shared" si="40"/>
        <v>Prepared Food</v>
      </c>
      <c r="I739" t="str">
        <f t="shared" si="41"/>
        <v>Prepared Food</v>
      </c>
      <c r="J739">
        <v>4.6900000000000004</v>
      </c>
      <c r="K739">
        <f>Table1[[#This Row],[Target_product_price]]/Table1[[#This Row],[product_price_per_oz]]</f>
        <v>0.42636363636363639</v>
      </c>
    </row>
    <row r="740" spans="1:11" x14ac:dyDescent="0.2">
      <c r="A740" t="s">
        <v>2143</v>
      </c>
      <c r="B740" t="s">
        <v>2144</v>
      </c>
      <c r="C740" t="s">
        <v>2145</v>
      </c>
      <c r="D740" t="str">
        <f>SUBSTITUTE(Table1[[#This Row],[Target_product_name]], "oz", " oz")</f>
        <v>Nature Valley Protein Oats 'n Dark Chocolate Crunchy Granola - 11 oz</v>
      </c>
      <c r="E740" t="str">
        <f>TRIM(RIGHT(C740, LEN(C740) - FIND("-", C740)))</f>
        <v>11oz</v>
      </c>
      <c r="F740" t="str">
        <f>LEFT(Table1[[#This Row],[Target_product_quantity]], FIND("o", Table1[[#This Row],[Target_product_quantity]])-1)</f>
        <v>11</v>
      </c>
      <c r="G740" t="str" cm="1">
        <f t="array" ref="G740">_xlfn.TEXTJOIN("", TRUE, IF(ISNUMBER(SEARCH($K$1010:$K$1054, C740)), $K$1010:$K$1054, ""))</f>
        <v>Nature Valley</v>
      </c>
      <c r="H740" t="str">
        <f t="shared" si="40"/>
        <v>Prepared Food</v>
      </c>
      <c r="I740" t="str">
        <f t="shared" si="41"/>
        <v>Prepared Food</v>
      </c>
      <c r="J740">
        <v>4.6900000000000004</v>
      </c>
      <c r="K740">
        <f>Table1[[#This Row],[Target_product_price]]/Table1[[#This Row],[product_price_per_oz]]</f>
        <v>0.42636363636363639</v>
      </c>
    </row>
    <row r="741" spans="1:11" x14ac:dyDescent="0.2">
      <c r="A741" t="s">
        <v>2146</v>
      </c>
      <c r="B741" t="s">
        <v>2147</v>
      </c>
      <c r="C741" t="s">
        <v>2148</v>
      </c>
      <c r="D741" t="str">
        <f>SUBSTITUTE(Table1[[#This Row],[Target_product_name]], "oz", " oz")</f>
        <v>Nature Valley Protein Oats 'n Honey Crunchy Granola - 11 oz</v>
      </c>
      <c r="E741" t="str">
        <f>TRIM(RIGHT(C741, LEN(C741) - FIND("-", C741)))</f>
        <v>11oz</v>
      </c>
      <c r="F741" t="str">
        <f>LEFT(Table1[[#This Row],[Target_product_quantity]], FIND("o", Table1[[#This Row],[Target_product_quantity]])-1)</f>
        <v>11</v>
      </c>
      <c r="G741" t="str" cm="1">
        <f t="array" ref="G741">_xlfn.TEXTJOIN("", TRUE, IF(ISNUMBER(SEARCH($K$1010:$K$1054, C741)), $K$1010:$K$1054, ""))</f>
        <v>Nature Valley</v>
      </c>
      <c r="H741" t="str">
        <f t="shared" si="40"/>
        <v>Prepared Food</v>
      </c>
      <c r="I741" t="str">
        <f t="shared" si="41"/>
        <v>Prepared Food</v>
      </c>
      <c r="J741">
        <v>4.6900000000000004</v>
      </c>
      <c r="K741">
        <f>Table1[[#This Row],[Target_product_price]]/Table1[[#This Row],[product_price_per_oz]]</f>
        <v>0.42636363636363639</v>
      </c>
    </row>
    <row r="742" spans="1:11" x14ac:dyDescent="0.2">
      <c r="A742" t="s">
        <v>2149</v>
      </c>
      <c r="B742" t="s">
        <v>2150</v>
      </c>
      <c r="C742" t="s">
        <v>2151</v>
      </c>
      <c r="D742" t="str">
        <f>SUBSTITUTE(Table1[[#This Row],[Target_product_name]], "oz", " oz")</f>
        <v>Nature Valley Protein Salted Caramel 7.1 oz/5ct</v>
      </c>
      <c r="E742" t="s">
        <v>2152</v>
      </c>
      <c r="F742" t="str">
        <f>LEFT(Table1[[#This Row],[Target_product_quantity]], FIND("o", Table1[[#This Row],[Target_product_quantity]])-1)</f>
        <v>35.5</v>
      </c>
      <c r="G742" t="str" cm="1">
        <f t="array" ref="G742">_xlfn.TEXTJOIN("", TRUE, IF(ISNUMBER(SEARCH($K$1010:$K$1054, C742)), $K$1010:$K$1054, ""))</f>
        <v>Nature Valley</v>
      </c>
      <c r="H742" t="str">
        <f t="shared" si="40"/>
        <v>Prepared Food</v>
      </c>
      <c r="I742" t="str">
        <f t="shared" si="41"/>
        <v>Prepared Food</v>
      </c>
      <c r="J742">
        <v>3.89</v>
      </c>
      <c r="K742">
        <f>Table1[[#This Row],[Target_product_price]]/Table1[[#This Row],[product_price_per_oz]]</f>
        <v>0.1095774647887324</v>
      </c>
    </row>
    <row r="743" spans="1:11" x14ac:dyDescent="0.2">
      <c r="A743" t="s">
        <v>2153</v>
      </c>
      <c r="B743" t="s">
        <v>2154</v>
      </c>
      <c r="C743" t="s">
        <v>2155</v>
      </c>
      <c r="D743" t="str">
        <f>SUBSTITUTE(Table1[[#This Row],[Target_product_name]], "oz", " oz")</f>
        <v>Nature Valley Protein Salted Caramel Nut Value pack - 14. oz</v>
      </c>
      <c r="E743" t="str">
        <f>TRIM(RIGHT(C743, LEN(C743) - FIND("-", C743)))</f>
        <v>14.oz</v>
      </c>
      <c r="F743" t="str">
        <f>LEFT(Table1[[#This Row],[Target_product_quantity]], FIND("o", Table1[[#This Row],[Target_product_quantity]])-1)</f>
        <v>14.</v>
      </c>
      <c r="G743" t="str" cm="1">
        <f t="array" ref="G743">_xlfn.TEXTJOIN("", TRUE, IF(ISNUMBER(SEARCH($K$1010:$K$1054, C743)), $K$1010:$K$1054, ""))</f>
        <v>Nature Valley</v>
      </c>
      <c r="H743" t="str">
        <f t="shared" si="40"/>
        <v>Prepared Food</v>
      </c>
      <c r="I743" t="str">
        <f t="shared" si="41"/>
        <v>Prepared Food</v>
      </c>
      <c r="J743">
        <v>7.19</v>
      </c>
      <c r="K743">
        <f>Table1[[#This Row],[Target_product_price]]/Table1[[#This Row],[product_price_per_oz]]</f>
        <v>0.51357142857142857</v>
      </c>
    </row>
    <row r="744" spans="1:11" x14ac:dyDescent="0.2">
      <c r="A744" t="s">
        <v>2156</v>
      </c>
      <c r="B744" t="s">
        <v>2157</v>
      </c>
      <c r="C744" t="s">
        <v>2158</v>
      </c>
      <c r="D744" t="str">
        <f>SUBSTITUTE(Table1[[#This Row],[Target_product_name]], "oz", " oz")</f>
        <v>Nature Valley Soft Baked Blueberry Breakfast Bar - 8.8 oz/5ct</v>
      </c>
      <c r="E744" t="s">
        <v>2083</v>
      </c>
      <c r="F744" t="str">
        <f>LEFT(Table1[[#This Row],[Target_product_quantity]], FIND("o", Table1[[#This Row],[Target_product_quantity]])-1)</f>
        <v>44</v>
      </c>
      <c r="G744" t="str" cm="1">
        <f t="array" ref="G744">_xlfn.TEXTJOIN("", TRUE, IF(ISNUMBER(SEARCH($K$1010:$K$1054, C744)), $K$1010:$K$1054, ""))</f>
        <v>Nature Valley</v>
      </c>
      <c r="H744" t="str">
        <f t="shared" si="40"/>
        <v>Prepared Food</v>
      </c>
      <c r="I744" t="str">
        <f t="shared" si="41"/>
        <v>Prepared Food</v>
      </c>
      <c r="J744">
        <v>4.49</v>
      </c>
      <c r="K744">
        <f>Table1[[#This Row],[Target_product_price]]/Table1[[#This Row],[product_price_per_oz]]</f>
        <v>0.10204545454545455</v>
      </c>
    </row>
    <row r="745" spans="1:11" x14ac:dyDescent="0.2">
      <c r="A745" t="s">
        <v>2159</v>
      </c>
      <c r="B745" t="s">
        <v>2160</v>
      </c>
      <c r="C745" t="s">
        <v>2161</v>
      </c>
      <c r="D745" t="str">
        <f>SUBSTITUTE(Table1[[#This Row],[Target_product_name]], "oz", " oz")</f>
        <v>Nature Valley Soft Baked Blueberry Muffin Bars - 10ct/12.4 oz</v>
      </c>
      <c r="E745" t="s">
        <v>2162</v>
      </c>
      <c r="F745" t="str">
        <f>LEFT(Table1[[#This Row],[Target_product_quantity]], FIND("o", Table1[[#This Row],[Target_product_quantity]])-1)</f>
        <v>124</v>
      </c>
      <c r="G745" t="str" cm="1">
        <f t="array" ref="G745">_xlfn.TEXTJOIN("", TRUE, IF(ISNUMBER(SEARCH($K$1010:$K$1054, C745)), $K$1010:$K$1054, ""))</f>
        <v>Nature Valley</v>
      </c>
      <c r="H745" t="str">
        <f t="shared" si="40"/>
        <v>Prepared Food</v>
      </c>
      <c r="I745" t="str">
        <f t="shared" si="41"/>
        <v>Prepared Food</v>
      </c>
      <c r="J745">
        <v>7.29</v>
      </c>
      <c r="K745">
        <f>Table1[[#This Row],[Target_product_price]]/Table1[[#This Row],[product_price_per_oz]]</f>
        <v>5.8790322580645163E-2</v>
      </c>
    </row>
    <row r="746" spans="1:11" x14ac:dyDescent="0.2">
      <c r="A746" t="s">
        <v>2163</v>
      </c>
      <c r="B746" t="s">
        <v>2164</v>
      </c>
      <c r="C746" t="s">
        <v>2165</v>
      </c>
      <c r="D746" t="str">
        <f>SUBSTITUTE(Table1[[#This Row],[Target_product_name]], "oz", " oz")</f>
        <v>Nature Valley Soft Baked Oatmeal Cereal Bars - 12ct/14.88 oz</v>
      </c>
      <c r="E746" t="s">
        <v>2166</v>
      </c>
      <c r="F746" t="str">
        <f>LEFT(Table1[[#This Row],[Target_product_quantity]], FIND("o", Table1[[#This Row],[Target_product_quantity]])-1)</f>
        <v>180</v>
      </c>
      <c r="G746" t="str" cm="1">
        <f t="array" ref="G746">_xlfn.TEXTJOIN("", TRUE, IF(ISNUMBER(SEARCH($K$1010:$K$1054, C746)), $K$1010:$K$1054, ""))</f>
        <v>Nature Valley</v>
      </c>
      <c r="H746" t="str">
        <f t="shared" si="40"/>
        <v>Prepared Food</v>
      </c>
      <c r="I746" t="str">
        <f t="shared" si="41"/>
        <v>Prepared Food</v>
      </c>
      <c r="J746">
        <v>7.29</v>
      </c>
      <c r="K746">
        <f>Table1[[#This Row],[Target_product_price]]/Table1[[#This Row],[product_price_per_oz]]</f>
        <v>4.0500000000000001E-2</v>
      </c>
    </row>
    <row r="747" spans="1:11" x14ac:dyDescent="0.2">
      <c r="A747" t="s">
        <v>2167</v>
      </c>
      <c r="B747" t="s">
        <v>2168</v>
      </c>
      <c r="C747" t="s">
        <v>2169</v>
      </c>
      <c r="D747" t="str">
        <f>SUBSTITUTE(Table1[[#This Row],[Target_product_name]], "oz", " oz")</f>
        <v>Nature Valley Sweet &amp; Salty Dark Chocolate-Peanut &amp; Almond Granola Bars - 7.4 oz/6ct</v>
      </c>
      <c r="E747" t="s">
        <v>2170</v>
      </c>
      <c r="F747" t="str">
        <f>LEFT(Table1[[#This Row],[Target_product_quantity]], FIND("o", Table1[[#This Row],[Target_product_quantity]])-1)</f>
        <v>44.4</v>
      </c>
      <c r="G747" t="str" cm="1">
        <f t="array" ref="G747">_xlfn.TEXTJOIN("", TRUE, IF(ISNUMBER(SEARCH($K$1010:$K$1054, C747)), $K$1010:$K$1054, ""))</f>
        <v>Nature Valley</v>
      </c>
      <c r="H747" t="str">
        <f t="shared" si="40"/>
        <v>Prepared Food</v>
      </c>
      <c r="I747" t="str">
        <f t="shared" si="41"/>
        <v>Prepared Food</v>
      </c>
      <c r="J747">
        <v>3.29</v>
      </c>
      <c r="K747">
        <f>Table1[[#This Row],[Target_product_price]]/Table1[[#This Row],[product_price_per_oz]]</f>
        <v>7.4099099099099106E-2</v>
      </c>
    </row>
    <row r="748" spans="1:11" x14ac:dyDescent="0.2">
      <c r="A748" t="s">
        <v>2171</v>
      </c>
      <c r="B748" t="s">
        <v>2172</v>
      </c>
      <c r="C748" t="s">
        <v>2173</v>
      </c>
      <c r="D748" t="str">
        <f>SUBSTITUTE(Table1[[#This Row],[Target_product_name]], "oz", " oz")</f>
        <v>Nature Valley Sweet &amp; Salty Nut Almond Granola Bars - 6ct</v>
      </c>
      <c r="E748" t="s">
        <v>2170</v>
      </c>
      <c r="F748" t="str">
        <f>LEFT(Table1[[#This Row],[Target_product_quantity]], FIND("o", Table1[[#This Row],[Target_product_quantity]])-1)</f>
        <v>44.4</v>
      </c>
      <c r="G748" t="str" cm="1">
        <f t="array" ref="G748">_xlfn.TEXTJOIN("", TRUE, IF(ISNUMBER(SEARCH($K$1010:$K$1054, C748)), $K$1010:$K$1054, ""))</f>
        <v>Nature Valley</v>
      </c>
      <c r="H748" t="str">
        <f t="shared" si="40"/>
        <v>Prepared Food</v>
      </c>
      <c r="I748" t="str">
        <f t="shared" si="41"/>
        <v>Prepared Food</v>
      </c>
      <c r="J748">
        <v>3.29</v>
      </c>
      <c r="K748">
        <f>Table1[[#This Row],[Target_product_price]]/Table1[[#This Row],[product_price_per_oz]]</f>
        <v>7.4099099099099106E-2</v>
      </c>
    </row>
    <row r="749" spans="1:11" x14ac:dyDescent="0.2">
      <c r="A749" t="s">
        <v>2174</v>
      </c>
      <c r="B749" t="s">
        <v>2175</v>
      </c>
      <c r="C749" t="s">
        <v>2176</v>
      </c>
      <c r="D749" t="str">
        <f>SUBSTITUTE(Table1[[#This Row],[Target_product_name]], "oz", " oz")</f>
        <v>Nature Valley Sweet &amp; Salty Nut Peanut Granola Bars - 1.2 oz 12ct</v>
      </c>
      <c r="E749" t="s">
        <v>2177</v>
      </c>
      <c r="F749" t="str">
        <f>LEFT(Table1[[#This Row],[Target_product_quantity]], FIND("o", Table1[[#This Row],[Target_product_quantity]])-1)</f>
        <v>14.4</v>
      </c>
      <c r="G749" t="str" cm="1">
        <f t="array" ref="G749">_xlfn.TEXTJOIN("", TRUE, IF(ISNUMBER(SEARCH($K$1010:$K$1054, C749)), $K$1010:$K$1054, ""))</f>
        <v>Nature Valley</v>
      </c>
      <c r="H749" t="str">
        <f t="shared" si="40"/>
        <v>Prepared Food</v>
      </c>
      <c r="I749" t="str">
        <f t="shared" si="41"/>
        <v>Prepared Food</v>
      </c>
      <c r="J749">
        <v>7.29</v>
      </c>
      <c r="K749">
        <f>Table1[[#This Row],[Target_product_price]]/Table1[[#This Row],[product_price_per_oz]]</f>
        <v>0.50624999999999998</v>
      </c>
    </row>
    <row r="750" spans="1:11" x14ac:dyDescent="0.2">
      <c r="A750" t="s">
        <v>2178</v>
      </c>
      <c r="B750" t="s">
        <v>2179</v>
      </c>
      <c r="C750" t="s">
        <v>2180</v>
      </c>
      <c r="D750" t="str">
        <f>SUBSTITUTE(Table1[[#This Row],[Target_product_name]], "oz", " oz")</f>
        <v>Nature Valley Sweet &amp; Salty Nut Peanut Granola Bars - 7.4 oz/6ct</v>
      </c>
      <c r="E750" t="s">
        <v>2181</v>
      </c>
      <c r="F750" t="str">
        <f>LEFT(Table1[[#This Row],[Target_product_quantity]], FIND("o", Table1[[#This Row],[Target_product_quantity]])-1)</f>
        <v>44.2</v>
      </c>
      <c r="G750" t="str" cm="1">
        <f t="array" ref="G750">_xlfn.TEXTJOIN("", TRUE, IF(ISNUMBER(SEARCH($K$1010:$K$1054, C750)), $K$1010:$K$1054, ""))</f>
        <v>Nature Valley</v>
      </c>
      <c r="H750" t="str">
        <f t="shared" si="40"/>
        <v>Prepared Food</v>
      </c>
      <c r="I750" t="str">
        <f t="shared" si="41"/>
        <v>Prepared Food</v>
      </c>
      <c r="J750">
        <v>3.29</v>
      </c>
      <c r="K750">
        <f>Table1[[#This Row],[Target_product_price]]/Table1[[#This Row],[product_price_per_oz]]</f>
        <v>7.4434389140271492E-2</v>
      </c>
    </row>
    <row r="751" spans="1:11" x14ac:dyDescent="0.2">
      <c r="A751" t="s">
        <v>2182</v>
      </c>
      <c r="B751" t="s">
        <v>2183</v>
      </c>
      <c r="C751" t="s">
        <v>2184</v>
      </c>
      <c r="D751" t="str">
        <f>SUBSTITUTE(Table1[[#This Row],[Target_product_name]], "oz", " oz")</f>
        <v>Nature Valley Sweet N Salty Granola Bars - 18ct/1.2 oz</v>
      </c>
      <c r="E751" t="s">
        <v>2185</v>
      </c>
      <c r="F751" t="str">
        <f>LEFT(Table1[[#This Row],[Target_product_quantity]], FIND("o", Table1[[#This Row],[Target_product_quantity]])-1)</f>
        <v>21.6</v>
      </c>
      <c r="G751" t="str" cm="1">
        <f t="array" ref="G751">_xlfn.TEXTJOIN("", TRUE, IF(ISNUMBER(SEARCH($K$1010:$K$1054, C751)), $K$1010:$K$1054, ""))</f>
        <v>Nature Valley</v>
      </c>
      <c r="H751" t="str">
        <f t="shared" si="40"/>
        <v>Prepared Food</v>
      </c>
      <c r="I751" t="str">
        <f t="shared" si="41"/>
        <v>Prepared Food</v>
      </c>
      <c r="J751">
        <v>11.19</v>
      </c>
      <c r="K751">
        <f>Table1[[#This Row],[Target_product_price]]/Table1[[#This Row],[product_price_per_oz]]</f>
        <v>0.51805555555555549</v>
      </c>
    </row>
    <row r="752" spans="1:11" x14ac:dyDescent="0.2">
      <c r="A752" t="s">
        <v>2186</v>
      </c>
      <c r="B752" t="s">
        <v>2187</v>
      </c>
      <c r="C752" t="s">
        <v>2188</v>
      </c>
      <c r="D752" t="str">
        <f>SUBSTITUTE(Table1[[#This Row],[Target_product_name]], "oz", " oz")</f>
        <v>Nature's Own 100% Whole Wheat Bread - 20 oz</v>
      </c>
      <c r="E752" t="str">
        <f t="shared" ref="E752:E764" si="42">TRIM(RIGHT(C752, LEN(C752) - FIND("-", C752)))</f>
        <v>20oz</v>
      </c>
      <c r="F752" t="str">
        <f>LEFT(Table1[[#This Row],[Target_product_quantity]], FIND("o", Table1[[#This Row],[Target_product_quantity]])-1)</f>
        <v>20</v>
      </c>
      <c r="G752" t="str" cm="1">
        <f t="array" ref="G752">_xlfn.TEXTJOIN("", TRUE, IF(ISNUMBER(SEARCH($K$1010:$K$1054, C752)), $K$1010:$K$1054, ""))</f>
        <v>Nature's Own</v>
      </c>
      <c r="H752" t="str">
        <f t="shared" si="40"/>
        <v>Bread</v>
      </c>
      <c r="I752" t="str">
        <f t="shared" si="41"/>
        <v>Grain</v>
      </c>
      <c r="J752" s="4">
        <v>3.69</v>
      </c>
      <c r="K752">
        <f>Table1[[#This Row],[Target_product_price]]/Table1[[#This Row],[product_price_per_oz]]</f>
        <v>0.1845</v>
      </c>
    </row>
    <row r="753" spans="1:11" x14ac:dyDescent="0.2">
      <c r="A753" t="s">
        <v>2189</v>
      </c>
      <c r="B753" t="s">
        <v>2190</v>
      </c>
      <c r="C753" t="s">
        <v>2191</v>
      </c>
      <c r="D753" t="str">
        <f>SUBSTITUTE(Table1[[#This Row],[Target_product_name]], "oz", " oz")</f>
        <v>Nature's Own Butter Bread - 20 oz</v>
      </c>
      <c r="E753" t="str">
        <f t="shared" si="42"/>
        <v>20oz</v>
      </c>
      <c r="F753" t="str">
        <f>LEFT(Table1[[#This Row],[Target_product_quantity]], FIND("o", Table1[[#This Row],[Target_product_quantity]])-1)</f>
        <v>20</v>
      </c>
      <c r="G753" t="str" cm="1">
        <f t="array" ref="G753">_xlfn.TEXTJOIN("", TRUE, IF(ISNUMBER(SEARCH($K$1010:$K$1054, C753)), $K$1010:$K$1054, ""))</f>
        <v>Nature's Own</v>
      </c>
      <c r="H753" t="str">
        <f t="shared" si="40"/>
        <v>Bread</v>
      </c>
      <c r="I753" t="str">
        <f t="shared" si="41"/>
        <v>Grain</v>
      </c>
      <c r="J753" s="4">
        <v>3.69</v>
      </c>
      <c r="K753">
        <f>Table1[[#This Row],[Target_product_price]]/Table1[[#This Row],[product_price_per_oz]]</f>
        <v>0.1845</v>
      </c>
    </row>
    <row r="754" spans="1:11" x14ac:dyDescent="0.2">
      <c r="A754" t="s">
        <v>2189</v>
      </c>
      <c r="B754" t="s">
        <v>2190</v>
      </c>
      <c r="C754" t="s">
        <v>2191</v>
      </c>
      <c r="D754" t="str">
        <f>SUBSTITUTE(Table1[[#This Row],[Target_product_name]], "oz", " oz")</f>
        <v>Nature's Own Butter Bread - 20 oz</v>
      </c>
      <c r="E754" t="str">
        <f t="shared" si="42"/>
        <v>20oz</v>
      </c>
      <c r="F754" t="str">
        <f>LEFT(Table1[[#This Row],[Target_product_quantity]], FIND("o", Table1[[#This Row],[Target_product_quantity]])-1)</f>
        <v>20</v>
      </c>
      <c r="G754" t="str" cm="1">
        <f t="array" ref="G754">_xlfn.TEXTJOIN("", TRUE, IF(ISNUMBER(SEARCH($K$1010:$K$1054, C754)), $K$1010:$K$1054, ""))</f>
        <v>Nature's Own</v>
      </c>
      <c r="H754" t="str">
        <f t="shared" si="40"/>
        <v>Bread</v>
      </c>
      <c r="I754" t="str">
        <f t="shared" si="41"/>
        <v>Grain</v>
      </c>
      <c r="J754" s="4">
        <v>3.69</v>
      </c>
      <c r="K754">
        <f>Table1[[#This Row],[Target_product_price]]/Table1[[#This Row],[product_price_per_oz]]</f>
        <v>0.1845</v>
      </c>
    </row>
    <row r="755" spans="1:11" x14ac:dyDescent="0.2">
      <c r="A755" t="s">
        <v>2192</v>
      </c>
      <c r="B755" t="s">
        <v>2193</v>
      </c>
      <c r="C755" t="s">
        <v>2194</v>
      </c>
      <c r="D755" t="str">
        <f>SUBSTITUTE(Table1[[#This Row],[Target_product_name]], "oz", " oz")</f>
        <v>Nature's Own Honey Wheat Bread - 20 oz</v>
      </c>
      <c r="E755" t="str">
        <f t="shared" si="42"/>
        <v>20oz</v>
      </c>
      <c r="F755" t="str">
        <f>LEFT(Table1[[#This Row],[Target_product_quantity]], FIND("o", Table1[[#This Row],[Target_product_quantity]])-1)</f>
        <v>20</v>
      </c>
      <c r="G755" t="str" cm="1">
        <f t="array" ref="G755">_xlfn.TEXTJOIN("", TRUE, IF(ISNUMBER(SEARCH($K$1010:$K$1054, C755)), $K$1010:$K$1054, ""))</f>
        <v>Nature's Own</v>
      </c>
      <c r="H755" t="str">
        <f t="shared" si="40"/>
        <v>Bread</v>
      </c>
      <c r="I755" t="str">
        <f t="shared" si="41"/>
        <v>Grain</v>
      </c>
      <c r="J755" s="4">
        <v>3.69</v>
      </c>
      <c r="K755">
        <f>Table1[[#This Row],[Target_product_price]]/Table1[[#This Row],[product_price_per_oz]]</f>
        <v>0.1845</v>
      </c>
    </row>
    <row r="756" spans="1:11" x14ac:dyDescent="0.2">
      <c r="A756" t="s">
        <v>2192</v>
      </c>
      <c r="B756" t="s">
        <v>2193</v>
      </c>
      <c r="C756" t="s">
        <v>2194</v>
      </c>
      <c r="D756" t="str">
        <f>SUBSTITUTE(Table1[[#This Row],[Target_product_name]], "oz", " oz")</f>
        <v>Nature's Own Honey Wheat Bread - 20 oz</v>
      </c>
      <c r="E756" t="str">
        <f t="shared" si="42"/>
        <v>20oz</v>
      </c>
      <c r="F756" t="str">
        <f>LEFT(Table1[[#This Row],[Target_product_quantity]], FIND("o", Table1[[#This Row],[Target_product_quantity]])-1)</f>
        <v>20</v>
      </c>
      <c r="G756" t="str" cm="1">
        <f t="array" ref="G756">_xlfn.TEXTJOIN("", TRUE, IF(ISNUMBER(SEARCH($K$1010:$K$1054, C756)), $K$1010:$K$1054, ""))</f>
        <v>Nature's Own</v>
      </c>
      <c r="H756" t="str">
        <f t="shared" si="40"/>
        <v>Bread</v>
      </c>
      <c r="I756" t="str">
        <f t="shared" si="41"/>
        <v>Grain</v>
      </c>
      <c r="J756" s="4">
        <v>3.69</v>
      </c>
      <c r="K756">
        <f>Table1[[#This Row],[Target_product_price]]/Table1[[#This Row],[product_price_per_oz]]</f>
        <v>0.1845</v>
      </c>
    </row>
    <row r="757" spans="1:11" x14ac:dyDescent="0.2">
      <c r="A757" t="s">
        <v>2195</v>
      </c>
      <c r="B757" t="s">
        <v>2196</v>
      </c>
      <c r="C757" t="s">
        <v>2197</v>
      </c>
      <c r="D757" t="str">
        <f>SUBSTITUTE(Table1[[#This Row],[Target_product_name]], "oz", " oz")</f>
        <v>Nature's Own Perfectly crafted Brioche Bread - 22 oz</v>
      </c>
      <c r="E757" t="str">
        <f t="shared" si="42"/>
        <v>22oz</v>
      </c>
      <c r="F757" t="str">
        <f>LEFT(Table1[[#This Row],[Target_product_quantity]], FIND("o", Table1[[#This Row],[Target_product_quantity]])-1)</f>
        <v>22</v>
      </c>
      <c r="G757" t="str" cm="1">
        <f t="array" ref="G757">_xlfn.TEXTJOIN("", TRUE, IF(ISNUMBER(SEARCH($K$1010:$K$1054, C757)), $K$1010:$K$1054, ""))</f>
        <v>Nature's Own</v>
      </c>
      <c r="H757" t="str">
        <f t="shared" si="40"/>
        <v>Bread</v>
      </c>
      <c r="I757" t="str">
        <f t="shared" si="41"/>
        <v>Grain</v>
      </c>
      <c r="J757" s="4">
        <v>3.89</v>
      </c>
      <c r="K757">
        <f>Table1[[#This Row],[Target_product_price]]/Table1[[#This Row],[product_price_per_oz]]</f>
        <v>0.17681818181818182</v>
      </c>
    </row>
    <row r="758" spans="1:11" x14ac:dyDescent="0.2">
      <c r="A758" t="s">
        <v>2195</v>
      </c>
      <c r="B758" t="s">
        <v>2196</v>
      </c>
      <c r="C758" t="s">
        <v>2197</v>
      </c>
      <c r="D758" t="str">
        <f>SUBSTITUTE(Table1[[#This Row],[Target_product_name]], "oz", " oz")</f>
        <v>Nature's Own Perfectly crafted Brioche Bread - 22 oz</v>
      </c>
      <c r="E758" t="str">
        <f t="shared" si="42"/>
        <v>22oz</v>
      </c>
      <c r="F758" t="str">
        <f>LEFT(Table1[[#This Row],[Target_product_quantity]], FIND("o", Table1[[#This Row],[Target_product_quantity]])-1)</f>
        <v>22</v>
      </c>
      <c r="G758" t="str" cm="1">
        <f t="array" ref="G758">_xlfn.TEXTJOIN("", TRUE, IF(ISNUMBER(SEARCH($K$1010:$K$1054, C758)), $K$1010:$K$1054, ""))</f>
        <v>Nature's Own</v>
      </c>
      <c r="H758" t="str">
        <f t="shared" si="40"/>
        <v>Bread</v>
      </c>
      <c r="I758" t="str">
        <f t="shared" si="41"/>
        <v>Grain</v>
      </c>
      <c r="J758" s="4">
        <v>3.89</v>
      </c>
      <c r="K758">
        <f>Table1[[#This Row],[Target_product_price]]/Table1[[#This Row],[product_price_per_oz]]</f>
        <v>0.17681818181818182</v>
      </c>
    </row>
    <row r="759" spans="1:11" x14ac:dyDescent="0.2">
      <c r="A759" t="s">
        <v>2198</v>
      </c>
      <c r="B759" t="s">
        <v>2199</v>
      </c>
      <c r="C759" t="s">
        <v>2200</v>
      </c>
      <c r="D759" t="str">
        <f>SUBSTITUTE(Table1[[#This Row],[Target_product_name]], "oz", " oz")</f>
        <v>Nature's Own Perfectly Crafted Brioche Hamburger Bun - 18 oz</v>
      </c>
      <c r="E759" t="str">
        <f t="shared" si="42"/>
        <v>18oz</v>
      </c>
      <c r="F759" t="str">
        <f>LEFT(Table1[[#This Row],[Target_product_quantity]], FIND("o", Table1[[#This Row],[Target_product_quantity]])-1)</f>
        <v>18</v>
      </c>
      <c r="G759" t="str" cm="1">
        <f t="array" ref="G759">_xlfn.TEXTJOIN("", TRUE, IF(ISNUMBER(SEARCH($K$1010:$K$1054, C759)), $K$1010:$K$1054, ""))</f>
        <v>Nature's Own</v>
      </c>
      <c r="H759" t="str">
        <f t="shared" si="40"/>
        <v>Bread</v>
      </c>
      <c r="I759" t="str">
        <f t="shared" si="41"/>
        <v>Grain</v>
      </c>
      <c r="J759" s="4">
        <v>4.29</v>
      </c>
      <c r="K759">
        <f>Table1[[#This Row],[Target_product_price]]/Table1[[#This Row],[product_price_per_oz]]</f>
        <v>0.23833333333333334</v>
      </c>
    </row>
    <row r="760" spans="1:11" x14ac:dyDescent="0.2">
      <c r="A760" t="s">
        <v>2201</v>
      </c>
      <c r="B760" t="s">
        <v>2202</v>
      </c>
      <c r="C760" t="s">
        <v>2203</v>
      </c>
      <c r="D760" t="str">
        <f>SUBSTITUTE(Table1[[#This Row],[Target_product_name]], "oz", " oz")</f>
        <v>Nature's Own Perfectly Crafted Brioche Hotdog Bun - 16 oz</v>
      </c>
      <c r="E760" t="str">
        <f t="shared" si="42"/>
        <v>16oz</v>
      </c>
      <c r="F760" t="str">
        <f>LEFT(Table1[[#This Row],[Target_product_quantity]], FIND("o", Table1[[#This Row],[Target_product_quantity]])-1)</f>
        <v>16</v>
      </c>
      <c r="G760" t="str" cm="1">
        <f t="array" ref="G760">_xlfn.TEXTJOIN("", TRUE, IF(ISNUMBER(SEARCH($K$1010:$K$1054, C760)), $K$1010:$K$1054, ""))</f>
        <v>Nature's Own</v>
      </c>
      <c r="H760" t="str">
        <f t="shared" si="40"/>
        <v>Bread</v>
      </c>
      <c r="I760" t="str">
        <f t="shared" si="41"/>
        <v>Grain</v>
      </c>
      <c r="J760" s="4">
        <v>4.29</v>
      </c>
      <c r="K760">
        <f>Table1[[#This Row],[Target_product_price]]/Table1[[#This Row],[product_price_per_oz]]</f>
        <v>0.268125</v>
      </c>
    </row>
    <row r="761" spans="1:11" x14ac:dyDescent="0.2">
      <c r="A761" t="s">
        <v>2204</v>
      </c>
      <c r="B761" t="s">
        <v>2205</v>
      </c>
      <c r="C761" t="s">
        <v>2206</v>
      </c>
      <c r="D761" t="str">
        <f>SUBSTITUTE(Table1[[#This Row],[Target_product_name]], "oz", " oz")</f>
        <v>Nature's Own Perfectly Crafted Multigrain Sandwich Bread - 22 oz</v>
      </c>
      <c r="E761" t="str">
        <f t="shared" si="42"/>
        <v>22oz</v>
      </c>
      <c r="F761" t="str">
        <f>LEFT(Table1[[#This Row],[Target_product_quantity]], FIND("o", Table1[[#This Row],[Target_product_quantity]])-1)</f>
        <v>22</v>
      </c>
      <c r="G761" t="str" cm="1">
        <f t="array" ref="G761">_xlfn.TEXTJOIN("", TRUE, IF(ISNUMBER(SEARCH($K$1010:$K$1054, C761)), $K$1010:$K$1054, ""))</f>
        <v>Nature's Own</v>
      </c>
      <c r="H761" t="str">
        <f t="shared" si="40"/>
        <v>Bread</v>
      </c>
      <c r="I761" t="str">
        <f t="shared" si="41"/>
        <v>Grain</v>
      </c>
      <c r="J761" s="4">
        <v>3.89</v>
      </c>
      <c r="K761">
        <f>Table1[[#This Row],[Target_product_price]]/Table1[[#This Row],[product_price_per_oz]]</f>
        <v>0.17681818181818182</v>
      </c>
    </row>
    <row r="762" spans="1:11" x14ac:dyDescent="0.2">
      <c r="A762" t="s">
        <v>2204</v>
      </c>
      <c r="B762" t="s">
        <v>2205</v>
      </c>
      <c r="C762" t="s">
        <v>2206</v>
      </c>
      <c r="D762" t="str">
        <f>SUBSTITUTE(Table1[[#This Row],[Target_product_name]], "oz", " oz")</f>
        <v>Nature's Own Perfectly Crafted Multigrain Sandwich Bread - 22 oz</v>
      </c>
      <c r="E762" t="str">
        <f t="shared" si="42"/>
        <v>22oz</v>
      </c>
      <c r="F762" t="str">
        <f>LEFT(Table1[[#This Row],[Target_product_quantity]], FIND("o", Table1[[#This Row],[Target_product_quantity]])-1)</f>
        <v>22</v>
      </c>
      <c r="G762" t="str" cm="1">
        <f t="array" ref="G762">_xlfn.TEXTJOIN("", TRUE, IF(ISNUMBER(SEARCH($K$1010:$K$1054, C762)), $K$1010:$K$1054, ""))</f>
        <v>Nature's Own</v>
      </c>
      <c r="H762" t="str">
        <f t="shared" si="40"/>
        <v>Bread</v>
      </c>
      <c r="I762" t="str">
        <f t="shared" si="41"/>
        <v>Grain</v>
      </c>
      <c r="J762" s="4">
        <v>3.89</v>
      </c>
      <c r="K762">
        <f>Table1[[#This Row],[Target_product_price]]/Table1[[#This Row],[product_price_per_oz]]</f>
        <v>0.17681818181818182</v>
      </c>
    </row>
    <row r="763" spans="1:11" x14ac:dyDescent="0.2">
      <c r="A763" t="s">
        <v>2207</v>
      </c>
      <c r="B763" t="s">
        <v>2208</v>
      </c>
      <c r="C763" t="s">
        <v>2209</v>
      </c>
      <c r="D763" t="str">
        <f>SUBSTITUTE(Table1[[#This Row],[Target_product_name]], "oz", " oz")</f>
        <v>Nature's Own Perfectly Crafted White Sandwich Bread - 22 oz</v>
      </c>
      <c r="E763" t="str">
        <f t="shared" si="42"/>
        <v>22oz</v>
      </c>
      <c r="F763" t="str">
        <f>LEFT(Table1[[#This Row],[Target_product_quantity]], FIND("o", Table1[[#This Row],[Target_product_quantity]])-1)</f>
        <v>22</v>
      </c>
      <c r="G763" t="str" cm="1">
        <f t="array" ref="G763">_xlfn.TEXTJOIN("", TRUE, IF(ISNUMBER(SEARCH($K$1010:$K$1054, C763)), $K$1010:$K$1054, ""))</f>
        <v>Nature's Own</v>
      </c>
      <c r="H763" t="str">
        <f t="shared" si="40"/>
        <v>Bread</v>
      </c>
      <c r="I763" t="str">
        <f t="shared" si="41"/>
        <v>Grain</v>
      </c>
      <c r="J763" s="4">
        <v>3.89</v>
      </c>
      <c r="K763">
        <f>Table1[[#This Row],[Target_product_price]]/Table1[[#This Row],[product_price_per_oz]]</f>
        <v>0.17681818181818182</v>
      </c>
    </row>
    <row r="764" spans="1:11" x14ac:dyDescent="0.2">
      <c r="A764" t="s">
        <v>2207</v>
      </c>
      <c r="B764" t="s">
        <v>2208</v>
      </c>
      <c r="C764" t="s">
        <v>2209</v>
      </c>
      <c r="D764" t="str">
        <f>SUBSTITUTE(Table1[[#This Row],[Target_product_name]], "oz", " oz")</f>
        <v>Nature's Own Perfectly Crafted White Sandwich Bread - 22 oz</v>
      </c>
      <c r="E764" t="str">
        <f t="shared" si="42"/>
        <v>22oz</v>
      </c>
      <c r="F764" t="str">
        <f>LEFT(Table1[[#This Row],[Target_product_quantity]], FIND("o", Table1[[#This Row],[Target_product_quantity]])-1)</f>
        <v>22</v>
      </c>
      <c r="G764" t="str" cm="1">
        <f t="array" ref="G764">_xlfn.TEXTJOIN("", TRUE, IF(ISNUMBER(SEARCH($K$1010:$K$1054, C764)), $K$1010:$K$1054, ""))</f>
        <v>Nature's Own</v>
      </c>
      <c r="H764" t="str">
        <f t="shared" si="40"/>
        <v>Bread</v>
      </c>
      <c r="I764" t="str">
        <f t="shared" si="41"/>
        <v>Grain</v>
      </c>
      <c r="J764" s="4">
        <v>3.89</v>
      </c>
      <c r="K764">
        <f>Table1[[#This Row],[Target_product_price]]/Table1[[#This Row],[product_price_per_oz]]</f>
        <v>0.17681818181818182</v>
      </c>
    </row>
    <row r="765" spans="1:11" x14ac:dyDescent="0.2">
      <c r="A765" t="s">
        <v>2210</v>
      </c>
      <c r="B765" t="s">
        <v>2211</v>
      </c>
      <c r="C765" t="s">
        <v>2212</v>
      </c>
      <c r="D765" t="str">
        <f>SUBSTITUTE(Table1[[#This Row],[Target_product_name]], "oz", " oz")</f>
        <v>Oikos Pro Fat Free Mango Pineapple Cultured Dairy Drink - 7 fl  oz</v>
      </c>
      <c r="E765" t="s">
        <v>2991</v>
      </c>
      <c r="F765" t="str">
        <f>LEFT(Table1[[#This Row],[Target_product_quantity]], FIND("o", Table1[[#This Row],[Target_product_quantity]])-1)</f>
        <v>7</v>
      </c>
      <c r="G765" t="str" cm="1">
        <f t="array" ref="G765">_xlfn.TEXTJOIN("", TRUE, IF(ISNUMBER(SEARCH($K$1010:$K$1054, C765)), $K$1010:$K$1054, ""))</f>
        <v>Oikos</v>
      </c>
      <c r="H765" t="str">
        <f t="shared" si="40"/>
        <v>Yogurt</v>
      </c>
      <c r="I765" t="str">
        <f t="shared" si="41"/>
        <v>Dairy</v>
      </c>
      <c r="J765">
        <v>1.69</v>
      </c>
      <c r="K765">
        <f>Table1[[#This Row],[Target_product_price]]/Table1[[#This Row],[product_price_per_oz]]</f>
        <v>0.24142857142857141</v>
      </c>
    </row>
    <row r="766" spans="1:11" x14ac:dyDescent="0.2">
      <c r="A766" t="s">
        <v>2213</v>
      </c>
      <c r="B766" t="s">
        <v>2214</v>
      </c>
      <c r="C766" t="s">
        <v>2215</v>
      </c>
      <c r="D766" t="str">
        <f>SUBSTITUTE(Table1[[#This Row],[Target_product_name]], "oz", " oz")</f>
        <v>Oikos Pro Fat Free Peach Cultured Dairy Drink - 7 fl  oz</v>
      </c>
      <c r="E766" t="s">
        <v>2991</v>
      </c>
      <c r="F766" t="str">
        <f>LEFT(Table1[[#This Row],[Target_product_quantity]], FIND("o", Table1[[#This Row],[Target_product_quantity]])-1)</f>
        <v>7</v>
      </c>
      <c r="G766" t="str" cm="1">
        <f t="array" ref="G766">_xlfn.TEXTJOIN("", TRUE, IF(ISNUMBER(SEARCH($K$1010:$K$1054, C766)), $K$1010:$K$1054, ""))</f>
        <v>Oikos</v>
      </c>
      <c r="H766" t="str">
        <f t="shared" si="40"/>
        <v>Yogurt</v>
      </c>
      <c r="I766" t="str">
        <f t="shared" si="41"/>
        <v>Dairy</v>
      </c>
      <c r="J766">
        <v>1.99</v>
      </c>
      <c r="K766">
        <f>Table1[[#This Row],[Target_product_price]]/Table1[[#This Row],[product_price_per_oz]]</f>
        <v>0.28428571428571431</v>
      </c>
    </row>
    <row r="767" spans="1:11" x14ac:dyDescent="0.2">
      <c r="A767" t="s">
        <v>2216</v>
      </c>
      <c r="B767" t="s">
        <v>2217</v>
      </c>
      <c r="C767" t="s">
        <v>2218</v>
      </c>
      <c r="D767" t="str">
        <f>SUBSTITUTE(Table1[[#This Row],[Target_product_name]], "oz", " oz")</f>
        <v>Oikos Pro Fat Free Strawberry Banana Cultured Dairy Drink - 7 fl  oz</v>
      </c>
      <c r="E767" t="s">
        <v>2991</v>
      </c>
      <c r="F767" t="str">
        <f>LEFT(Table1[[#This Row],[Target_product_quantity]], FIND("o", Table1[[#This Row],[Target_product_quantity]])-1)</f>
        <v>7</v>
      </c>
      <c r="G767" t="str" cm="1">
        <f t="array" ref="G767">_xlfn.TEXTJOIN("", TRUE, IF(ISNUMBER(SEARCH($K$1010:$K$1054, C767)), $K$1010:$K$1054, ""))</f>
        <v>Oikos</v>
      </c>
      <c r="H767" t="str">
        <f t="shared" si="40"/>
        <v>Yogurt</v>
      </c>
      <c r="I767" t="str">
        <f t="shared" si="41"/>
        <v>Dairy</v>
      </c>
      <c r="J767">
        <v>1.99</v>
      </c>
      <c r="K767">
        <f>Table1[[#This Row],[Target_product_price]]/Table1[[#This Row],[product_price_per_oz]]</f>
        <v>0.28428571428571431</v>
      </c>
    </row>
    <row r="768" spans="1:11" x14ac:dyDescent="0.2">
      <c r="A768" t="s">
        <v>2219</v>
      </c>
      <c r="B768" t="s">
        <v>2220</v>
      </c>
      <c r="C768" t="s">
        <v>2221</v>
      </c>
      <c r="D768" t="str">
        <f>SUBSTITUTE(Table1[[#This Row],[Target_product_name]], "oz", " oz")</f>
        <v>Oikos Pro Mixed Berry Cultured Dairy Drink - 3.1 fl  oz/6ct</v>
      </c>
      <c r="E768" t="s">
        <v>2222</v>
      </c>
      <c r="F768" t="str">
        <f>LEFT(Table1[[#This Row],[Target_product_quantity]], FIND("o", Table1[[#This Row],[Target_product_quantity]])-1)</f>
        <v>18.6</v>
      </c>
      <c r="G768" t="str" cm="1">
        <f t="array" ref="G768">_xlfn.TEXTJOIN("", TRUE, IF(ISNUMBER(SEARCH($K$1010:$K$1054, C768)), $K$1010:$K$1054, ""))</f>
        <v>Oikos</v>
      </c>
      <c r="H768" t="str">
        <f t="shared" si="40"/>
        <v>Yogurt</v>
      </c>
      <c r="I768" t="str">
        <f t="shared" si="41"/>
        <v>Dairy</v>
      </c>
      <c r="J768">
        <v>4.99</v>
      </c>
      <c r="K768">
        <f>Table1[[#This Row],[Target_product_price]]/Table1[[#This Row],[product_price_per_oz]]</f>
        <v>0.26827956989247309</v>
      </c>
    </row>
    <row r="769" spans="1:11" x14ac:dyDescent="0.2">
      <c r="A769" t="s">
        <v>2223</v>
      </c>
      <c r="B769" t="s">
        <v>2224</v>
      </c>
      <c r="C769" t="s">
        <v>2225</v>
      </c>
      <c r="D769" t="str">
        <f>SUBSTITUTE(Table1[[#This Row],[Target_product_name]], "oz", " oz")</f>
        <v>Oikos Pro Mixed Berry Greek Yogurt - 4ct/5.3 oz</v>
      </c>
      <c r="E769" t="s">
        <v>1841</v>
      </c>
      <c r="F769" t="str">
        <f>LEFT(Table1[[#This Row],[Target_product_quantity]], FIND("o", Table1[[#This Row],[Target_product_quantity]])-1)</f>
        <v>21.4</v>
      </c>
      <c r="G769" t="str" cm="1">
        <f t="array" ref="G769">_xlfn.TEXTJOIN("", TRUE, IF(ISNUMBER(SEARCH($K$1010:$K$1054, C769)), $K$1010:$K$1054, ""))</f>
        <v>Oikos</v>
      </c>
      <c r="H769" t="str">
        <f t="shared" si="40"/>
        <v>Yogurt</v>
      </c>
      <c r="I769" t="str">
        <f t="shared" si="41"/>
        <v>Dairy</v>
      </c>
      <c r="J769">
        <v>5.49</v>
      </c>
      <c r="K769">
        <f>Table1[[#This Row],[Target_product_price]]/Table1[[#This Row],[product_price_per_oz]]</f>
        <v>0.25654205607476638</v>
      </c>
    </row>
    <row r="770" spans="1:11" x14ac:dyDescent="0.2">
      <c r="A770" t="s">
        <v>2226</v>
      </c>
      <c r="B770" t="s">
        <v>2227</v>
      </c>
      <c r="C770" t="s">
        <v>2228</v>
      </c>
      <c r="D770" t="str">
        <f>SUBSTITUTE(Table1[[#This Row],[Target_product_name]], "oz", " oz")</f>
        <v>Oikos Pro Mixed Berry Greek Yogurt - 5.3 oz</v>
      </c>
      <c r="E770" t="str">
        <f>TRIM(RIGHT(C770, LEN(C770) - FIND("-", C770)))</f>
        <v>5.3oz</v>
      </c>
      <c r="F770" t="str">
        <f>LEFT(Table1[[#This Row],[Target_product_quantity]], FIND("o", Table1[[#This Row],[Target_product_quantity]])-1)</f>
        <v>5.3</v>
      </c>
      <c r="G770" t="str" cm="1">
        <f t="array" ref="G770">_xlfn.TEXTJOIN("", TRUE, IF(ISNUMBER(SEARCH($K$1010:$K$1054, C770)), $K$1010:$K$1054, ""))</f>
        <v>Oikos</v>
      </c>
      <c r="H770" t="str">
        <f t="shared" ref="H770:H833" si="43">IF(OR(G770="Mission",G770="Nature's Own",G770="Sara Lee"),"Bread",
IF(OR(G770="Del Monte",G770="Dole",G770="Mott's"),"Canned Fruit",
IF(OR(G770="Goya",G770="Hunt's",G770="Birds Eye"),"Canned Vegetables",
IF(OR(G770="Fairlife",G770="Horizon Organic",G770="Lactaid",G770="Ben &amp; Jerry's"),"Milk",
IF(OR(G770="BelGioioso",G770="Kraft",G770="Philadelphia"),"Cheese",
IF(OR(G770="Chobani",G770="Oikos",G770="Light + Fit"),"Yogurt",
IF(OR(G770="Barilla",G770="Annie's",G770="Rao's Homemade"),"Pasta",
IF(OR(G770="Hershey's",G770="Lay's",G770="Totino's",G770="Cheerios",G770="Jif",G770="Skippy",G770="Nature Valley",G770="Oreo",G770="DiGiorno",G770="Eggo"),"Prepared Food",
IF(OR(G770="Ben's Original",G770="Lundberg",G770="Quaker"),"Rice",
IF(OR(G770="Bush's",G770="Hillshire Farm",G770="Oscar Mayer",G770="SPAM"),"Protein",
IF(OR(G770="Starbucks",G770="Sparkling Ice",G770="Coca-Cola",G770="San Pellegrino",G770="Gatorade",G770="Arizona"),"Beverages",
"Other")))))))))))</f>
        <v>Yogurt</v>
      </c>
      <c r="I770" t="str">
        <f t="shared" ref="I770:I833" si="44">IF(OR(H770="Bread",H770="Rice",H770="Pasta"), "Grain",
IF(OR(H770="Milk",H770="Cheese",H770="Yogurt"), "Dairy",
IF(OR(H770="Canned Fruit",H770="Canned Vegetables"), "Fruit &amp; Vegetables",
IF(H770="Prepared Food", "Prepared Food",
IF(H770="Protein", "Protein",
IF(H770="Beverages", "Beverages",
"Other"))))))</f>
        <v>Dairy</v>
      </c>
      <c r="J770">
        <v>1.99</v>
      </c>
      <c r="K770">
        <f>Table1[[#This Row],[Target_product_price]]/Table1[[#This Row],[product_price_per_oz]]</f>
        <v>0.37547169811320757</v>
      </c>
    </row>
    <row r="771" spans="1:11" x14ac:dyDescent="0.2">
      <c r="A771" t="s">
        <v>2229</v>
      </c>
      <c r="B771" t="s">
        <v>2230</v>
      </c>
      <c r="C771" t="s">
        <v>2231</v>
      </c>
      <c r="D771" t="str">
        <f>SUBSTITUTE(Table1[[#This Row],[Target_product_name]], "oz", " oz")</f>
        <v>Oikos Pro Peach Greek Yogurt - 5.3 oz</v>
      </c>
      <c r="E771" t="str">
        <f>TRIM(RIGHT(C771, LEN(C771) - FIND("-", C771)))</f>
        <v>5.3oz</v>
      </c>
      <c r="F771" t="str">
        <f>LEFT(Table1[[#This Row],[Target_product_quantity]], FIND("o", Table1[[#This Row],[Target_product_quantity]])-1)</f>
        <v>5.3</v>
      </c>
      <c r="G771" t="str" cm="1">
        <f t="array" ref="G771">_xlfn.TEXTJOIN("", TRUE, IF(ISNUMBER(SEARCH($K$1010:$K$1054, C771)), $K$1010:$K$1054, ""))</f>
        <v>Oikos</v>
      </c>
      <c r="H771" t="str">
        <f t="shared" si="43"/>
        <v>Yogurt</v>
      </c>
      <c r="I771" t="str">
        <f t="shared" si="44"/>
        <v>Dairy</v>
      </c>
      <c r="J771">
        <v>1.49</v>
      </c>
      <c r="K771">
        <f>Table1[[#This Row],[Target_product_price]]/Table1[[#This Row],[product_price_per_oz]]</f>
        <v>0.28113207547169811</v>
      </c>
    </row>
    <row r="772" spans="1:11" x14ac:dyDescent="0.2">
      <c r="A772" t="s">
        <v>2232</v>
      </c>
      <c r="B772" t="s">
        <v>2233</v>
      </c>
      <c r="C772" t="s">
        <v>2234</v>
      </c>
      <c r="D772" t="str">
        <f>SUBSTITUTE(Table1[[#This Row],[Target_product_name]], "oz", " oz")</f>
        <v>Oikos Pro Strawberry Cultured Dairy Drink - 3.1 fl  oz/6ct</v>
      </c>
      <c r="E772" t="s">
        <v>2222</v>
      </c>
      <c r="F772" t="str">
        <f>LEFT(Table1[[#This Row],[Target_product_quantity]], FIND("o", Table1[[#This Row],[Target_product_quantity]])-1)</f>
        <v>18.6</v>
      </c>
      <c r="G772" t="str" cm="1">
        <f t="array" ref="G772">_xlfn.TEXTJOIN("", TRUE, IF(ISNUMBER(SEARCH($K$1010:$K$1054, C772)), $K$1010:$K$1054, ""))</f>
        <v>Oikos</v>
      </c>
      <c r="H772" t="str">
        <f t="shared" si="43"/>
        <v>Yogurt</v>
      </c>
      <c r="I772" t="str">
        <f t="shared" si="44"/>
        <v>Dairy</v>
      </c>
      <c r="J772">
        <v>4.99</v>
      </c>
      <c r="K772">
        <f>Table1[[#This Row],[Target_product_price]]/Table1[[#This Row],[product_price_per_oz]]</f>
        <v>0.26827956989247309</v>
      </c>
    </row>
    <row r="773" spans="1:11" x14ac:dyDescent="0.2">
      <c r="A773" t="s">
        <v>2235</v>
      </c>
      <c r="B773" t="s">
        <v>2236</v>
      </c>
      <c r="C773" t="s">
        <v>2237</v>
      </c>
      <c r="D773" t="str">
        <f>SUBSTITUTE(Table1[[#This Row],[Target_product_name]], "oz", " oz")</f>
        <v>Oikos Pro Strawberry Greek Yogurt - 4ct/5.3 oz</v>
      </c>
      <c r="E773" t="s">
        <v>1841</v>
      </c>
      <c r="F773" t="str">
        <f>LEFT(Table1[[#This Row],[Target_product_quantity]], FIND("o", Table1[[#This Row],[Target_product_quantity]])-1)</f>
        <v>21.4</v>
      </c>
      <c r="G773" t="str" cm="1">
        <f t="array" ref="G773">_xlfn.TEXTJOIN("", TRUE, IF(ISNUMBER(SEARCH($K$1010:$K$1054, C773)), $K$1010:$K$1054, ""))</f>
        <v>Oikos</v>
      </c>
      <c r="H773" t="str">
        <f t="shared" si="43"/>
        <v>Yogurt</v>
      </c>
      <c r="I773" t="str">
        <f t="shared" si="44"/>
        <v>Dairy</v>
      </c>
      <c r="J773">
        <v>5.49</v>
      </c>
      <c r="K773">
        <f>Table1[[#This Row],[Target_product_price]]/Table1[[#This Row],[product_price_per_oz]]</f>
        <v>0.25654205607476638</v>
      </c>
    </row>
    <row r="774" spans="1:11" x14ac:dyDescent="0.2">
      <c r="A774" t="s">
        <v>2238</v>
      </c>
      <c r="B774" t="s">
        <v>2239</v>
      </c>
      <c r="C774" t="s">
        <v>2240</v>
      </c>
      <c r="D774" t="str">
        <f>SUBSTITUTE(Table1[[#This Row],[Target_product_name]], "oz", " oz")</f>
        <v>Oikos Pro Strawberry Greek Yogurt - 5.3 oz</v>
      </c>
      <c r="E774" t="str">
        <f>TRIM(RIGHT(C774, LEN(C774) - FIND("-", C774)))</f>
        <v>5.3oz</v>
      </c>
      <c r="F774" t="str">
        <f>LEFT(Table1[[#This Row],[Target_product_quantity]], FIND("o", Table1[[#This Row],[Target_product_quantity]])-1)</f>
        <v>5.3</v>
      </c>
      <c r="G774" t="str" cm="1">
        <f t="array" ref="G774">_xlfn.TEXTJOIN("", TRUE, IF(ISNUMBER(SEARCH($K$1010:$K$1054, C774)), $K$1010:$K$1054, ""))</f>
        <v>Oikos</v>
      </c>
      <c r="H774" t="str">
        <f t="shared" si="43"/>
        <v>Yogurt</v>
      </c>
      <c r="I774" t="str">
        <f t="shared" si="44"/>
        <v>Dairy</v>
      </c>
      <c r="J774">
        <v>1.49</v>
      </c>
      <c r="K774">
        <f>Table1[[#This Row],[Target_product_price]]/Table1[[#This Row],[product_price_per_oz]]</f>
        <v>0.28113207547169811</v>
      </c>
    </row>
    <row r="775" spans="1:11" x14ac:dyDescent="0.2">
      <c r="A775" t="s">
        <v>2241</v>
      </c>
      <c r="B775" t="s">
        <v>2242</v>
      </c>
      <c r="C775" t="s">
        <v>2243</v>
      </c>
      <c r="D775" t="str">
        <f>SUBSTITUTE(Table1[[#This Row],[Target_product_name]], "oz", " oz")</f>
        <v>Oikos Pro Vanilla Greek Yogurt - 32 oz</v>
      </c>
      <c r="E775" t="str">
        <f>TRIM(RIGHT(C775, LEN(C775) - FIND("-", C775)))</f>
        <v>32oz</v>
      </c>
      <c r="F775" t="str">
        <f>LEFT(Table1[[#This Row],[Target_product_quantity]], FIND("o", Table1[[#This Row],[Target_product_quantity]])-1)</f>
        <v>32</v>
      </c>
      <c r="G775" t="str" cm="1">
        <f t="array" ref="G775">_xlfn.TEXTJOIN("", TRUE, IF(ISNUMBER(SEARCH($K$1010:$K$1054, C775)), $K$1010:$K$1054, ""))</f>
        <v>Oikos</v>
      </c>
      <c r="H775" t="str">
        <f t="shared" si="43"/>
        <v>Yogurt</v>
      </c>
      <c r="I775" t="str">
        <f t="shared" si="44"/>
        <v>Dairy</v>
      </c>
      <c r="J775">
        <v>6.99</v>
      </c>
      <c r="K775">
        <f>Table1[[#This Row],[Target_product_price]]/Table1[[#This Row],[product_price_per_oz]]</f>
        <v>0.21843750000000001</v>
      </c>
    </row>
    <row r="776" spans="1:11" x14ac:dyDescent="0.2">
      <c r="A776" t="s">
        <v>2244</v>
      </c>
      <c r="B776" t="s">
        <v>2245</v>
      </c>
      <c r="C776" t="s">
        <v>2246</v>
      </c>
      <c r="D776" t="str">
        <f>SUBSTITUTE(Table1[[#This Row],[Target_product_name]], "oz", " oz")</f>
        <v>Oikos Pro Vanilla Greek Yogurt - 4ct/5.3 oz</v>
      </c>
      <c r="E776" t="s">
        <v>1841</v>
      </c>
      <c r="F776" t="str">
        <f>LEFT(Table1[[#This Row],[Target_product_quantity]], FIND("o", Table1[[#This Row],[Target_product_quantity]])-1)</f>
        <v>21.4</v>
      </c>
      <c r="G776" t="str" cm="1">
        <f t="array" ref="G776">_xlfn.TEXTJOIN("", TRUE, IF(ISNUMBER(SEARCH($K$1010:$K$1054, C776)), $K$1010:$K$1054, ""))</f>
        <v>Oikos</v>
      </c>
      <c r="H776" t="str">
        <f t="shared" si="43"/>
        <v>Yogurt</v>
      </c>
      <c r="I776" t="str">
        <f t="shared" si="44"/>
        <v>Dairy</v>
      </c>
      <c r="J776">
        <v>5.49</v>
      </c>
      <c r="K776">
        <f>Table1[[#This Row],[Target_product_price]]/Table1[[#This Row],[product_price_per_oz]]</f>
        <v>0.25654205607476638</v>
      </c>
    </row>
    <row r="777" spans="1:11" x14ac:dyDescent="0.2">
      <c r="A777" t="s">
        <v>2247</v>
      </c>
      <c r="B777" t="s">
        <v>2248</v>
      </c>
      <c r="C777" t="s">
        <v>2249</v>
      </c>
      <c r="D777" t="str">
        <f>SUBSTITUTE(Table1[[#This Row],[Target_product_name]], "oz", " oz")</f>
        <v>Oikos Pro Vanilla Greek Yogurt - 5.3 oz</v>
      </c>
      <c r="E777" t="str">
        <f>TRIM(RIGHT(C777, LEN(C777) - FIND("-", C777)))</f>
        <v>5.3oz</v>
      </c>
      <c r="F777" t="str">
        <f>LEFT(Table1[[#This Row],[Target_product_quantity]], FIND("o", Table1[[#This Row],[Target_product_quantity]])-1)</f>
        <v>5.3</v>
      </c>
      <c r="G777" t="str" cm="1">
        <f t="array" ref="G777">_xlfn.TEXTJOIN("", TRUE, IF(ISNUMBER(SEARCH($K$1010:$K$1054, C777)), $K$1010:$K$1054, ""))</f>
        <v>Oikos</v>
      </c>
      <c r="H777" t="str">
        <f t="shared" si="43"/>
        <v>Yogurt</v>
      </c>
      <c r="I777" t="str">
        <f t="shared" si="44"/>
        <v>Dairy</v>
      </c>
      <c r="J777">
        <v>1.99</v>
      </c>
      <c r="K777">
        <f>Table1[[#This Row],[Target_product_price]]/Table1[[#This Row],[product_price_per_oz]]</f>
        <v>0.37547169811320757</v>
      </c>
    </row>
    <row r="778" spans="1:11" x14ac:dyDescent="0.2">
      <c r="A778" t="s">
        <v>2250</v>
      </c>
      <c r="B778" t="s">
        <v>2251</v>
      </c>
      <c r="C778" t="s">
        <v>2252</v>
      </c>
      <c r="D778" t="str">
        <f>SUBSTITUTE(Table1[[#This Row],[Target_product_name]], "oz", " oz")</f>
        <v>Oikos REMIX Caramel with Chocolate and Pretzel Greek Yogurt - 4.5 oz</v>
      </c>
      <c r="E778" t="str">
        <f>TRIM(RIGHT(C778, LEN(C778) - FIND("-", C778)))</f>
        <v>4.5oz</v>
      </c>
      <c r="F778" t="str">
        <f>LEFT(Table1[[#This Row],[Target_product_quantity]], FIND("o", Table1[[#This Row],[Target_product_quantity]])-1)</f>
        <v>4.5</v>
      </c>
      <c r="G778" t="str" cm="1">
        <f t="array" ref="G778">_xlfn.TEXTJOIN("", TRUE, IF(ISNUMBER(SEARCH($K$1010:$K$1054, C778)), $K$1010:$K$1054, ""))</f>
        <v>Oikos</v>
      </c>
      <c r="H778" t="str">
        <f t="shared" si="43"/>
        <v>Yogurt</v>
      </c>
      <c r="I778" t="str">
        <f t="shared" si="44"/>
        <v>Dairy</v>
      </c>
      <c r="J778">
        <v>1.49</v>
      </c>
      <c r="K778">
        <f>Table1[[#This Row],[Target_product_price]]/Table1[[#This Row],[product_price_per_oz]]</f>
        <v>0.33111111111111113</v>
      </c>
    </row>
    <row r="779" spans="1:11" x14ac:dyDescent="0.2">
      <c r="A779" t="s">
        <v>2250</v>
      </c>
      <c r="B779" t="s">
        <v>2251</v>
      </c>
      <c r="C779" t="s">
        <v>2252</v>
      </c>
      <c r="D779" t="str">
        <f>SUBSTITUTE(Table1[[#This Row],[Target_product_name]], "oz", " oz")</f>
        <v>Oikos REMIX Caramel with Chocolate and Pretzel Greek Yogurt - 4.5 oz</v>
      </c>
      <c r="E779" t="str">
        <f>TRIM(RIGHT(C779, LEN(C779) - FIND("-", C779)))</f>
        <v>4.5oz</v>
      </c>
      <c r="F779" t="str">
        <f>LEFT(Table1[[#This Row],[Target_product_quantity]], FIND("o", Table1[[#This Row],[Target_product_quantity]])-1)</f>
        <v>4.5</v>
      </c>
      <c r="G779" t="str" cm="1">
        <f t="array" ref="G779">_xlfn.TEXTJOIN("", TRUE, IF(ISNUMBER(SEARCH($K$1010:$K$1054, C779)), $K$1010:$K$1054, ""))</f>
        <v>Oikos</v>
      </c>
      <c r="H779" t="str">
        <f t="shared" si="43"/>
        <v>Yogurt</v>
      </c>
      <c r="I779" t="str">
        <f t="shared" si="44"/>
        <v>Dairy</v>
      </c>
      <c r="J779">
        <v>1.49</v>
      </c>
      <c r="K779">
        <f>Table1[[#This Row],[Target_product_price]]/Table1[[#This Row],[product_price_per_oz]]</f>
        <v>0.33111111111111113</v>
      </c>
    </row>
    <row r="780" spans="1:11" x14ac:dyDescent="0.2">
      <c r="A780" t="s">
        <v>2253</v>
      </c>
      <c r="B780" t="s">
        <v>2254</v>
      </c>
      <c r="C780" t="s">
        <v>2255</v>
      </c>
      <c r="D780" t="str">
        <f>SUBSTITUTE(Table1[[#This Row],[Target_product_name]], "oz", " oz")</f>
        <v>Oikos REMIX Coconut with Chocolate and Almond Greek Yogurt - 4.5 oz</v>
      </c>
      <c r="E780" t="str">
        <f>TRIM(RIGHT(C780, LEN(C780) - FIND("-", C780)))</f>
        <v>4.5oz</v>
      </c>
      <c r="F780" t="str">
        <f>LEFT(Table1[[#This Row],[Target_product_quantity]], FIND("o", Table1[[#This Row],[Target_product_quantity]])-1)</f>
        <v>4.5</v>
      </c>
      <c r="G780" t="str" cm="1">
        <f t="array" ref="G780">_xlfn.TEXTJOIN("", TRUE, IF(ISNUMBER(SEARCH($K$1010:$K$1054, C780)), $K$1010:$K$1054, ""))</f>
        <v>Oikos</v>
      </c>
      <c r="H780" t="str">
        <f t="shared" si="43"/>
        <v>Yogurt</v>
      </c>
      <c r="I780" t="str">
        <f t="shared" si="44"/>
        <v>Dairy</v>
      </c>
      <c r="J780">
        <v>1.49</v>
      </c>
      <c r="K780">
        <f>Table1[[#This Row],[Target_product_price]]/Table1[[#This Row],[product_price_per_oz]]</f>
        <v>0.33111111111111113</v>
      </c>
    </row>
    <row r="781" spans="1:11" x14ac:dyDescent="0.2">
      <c r="A781" t="s">
        <v>2256</v>
      </c>
      <c r="B781" t="s">
        <v>2257</v>
      </c>
      <c r="C781" t="s">
        <v>2258</v>
      </c>
      <c r="D781" t="str">
        <f>SUBSTITUTE(Table1[[#This Row],[Target_product_name]], "oz", " oz")</f>
        <v>Oikos REMIX Vanilla with Chocolate and Graham Greek Yogurt - 4.5 oz</v>
      </c>
      <c r="E781" t="str">
        <f>TRIM(RIGHT(C781, LEN(C781) - FIND("-", C781)))</f>
        <v>4.5oz</v>
      </c>
      <c r="F781" t="str">
        <f>LEFT(Table1[[#This Row],[Target_product_quantity]], FIND("o", Table1[[#This Row],[Target_product_quantity]])-1)</f>
        <v>4.5</v>
      </c>
      <c r="G781" t="str" cm="1">
        <f t="array" ref="G781">_xlfn.TEXTJOIN("", TRUE, IF(ISNUMBER(SEARCH($K$1010:$K$1054, C781)), $K$1010:$K$1054, ""))</f>
        <v>Oikos</v>
      </c>
      <c r="H781" t="str">
        <f t="shared" si="43"/>
        <v>Yogurt</v>
      </c>
      <c r="I781" t="str">
        <f t="shared" si="44"/>
        <v>Dairy</v>
      </c>
      <c r="J781">
        <v>1.49</v>
      </c>
      <c r="K781">
        <f>Table1[[#This Row],[Target_product_price]]/Table1[[#This Row],[product_price_per_oz]]</f>
        <v>0.33111111111111113</v>
      </c>
    </row>
    <row r="782" spans="1:11" x14ac:dyDescent="0.2">
      <c r="A782" t="s">
        <v>2259</v>
      </c>
      <c r="B782" t="s">
        <v>2260</v>
      </c>
      <c r="C782" t="s">
        <v>2261</v>
      </c>
      <c r="D782" t="str">
        <f>SUBSTITUTE(Table1[[#This Row],[Target_product_name]], "oz", " oz")</f>
        <v>Oikos Triple Zero Cherry Greek Yogurt - 4ct/5.3 oz Cups</v>
      </c>
      <c r="E782" t="s">
        <v>1841</v>
      </c>
      <c r="F782" t="str">
        <f>LEFT(Table1[[#This Row],[Target_product_quantity]], FIND("o", Table1[[#This Row],[Target_product_quantity]])-1)</f>
        <v>21.4</v>
      </c>
      <c r="G782" t="str" cm="1">
        <f t="array" ref="G782">_xlfn.TEXTJOIN("", TRUE, IF(ISNUMBER(SEARCH($K$1010:$K$1054, C782)), $K$1010:$K$1054, ""))</f>
        <v>Oikos</v>
      </c>
      <c r="H782" t="str">
        <f t="shared" si="43"/>
        <v>Yogurt</v>
      </c>
      <c r="I782" t="str">
        <f t="shared" si="44"/>
        <v>Dairy</v>
      </c>
      <c r="J782">
        <v>4.6900000000000004</v>
      </c>
      <c r="K782">
        <f>Table1[[#This Row],[Target_product_price]]/Table1[[#This Row],[product_price_per_oz]]</f>
        <v>0.21915887850467294</v>
      </c>
    </row>
    <row r="783" spans="1:11" x14ac:dyDescent="0.2">
      <c r="A783" t="s">
        <v>2262</v>
      </c>
      <c r="B783" t="s">
        <v>2263</v>
      </c>
      <c r="C783" t="s">
        <v>2264</v>
      </c>
      <c r="D783" t="str">
        <f>SUBSTITUTE(Table1[[#This Row],[Target_product_name]], "oz", " oz")</f>
        <v>Oikos Triple Zero Mixed Berry Greek Yogurt - 4ct/5.3 oz Cups</v>
      </c>
      <c r="E783" t="s">
        <v>1841</v>
      </c>
      <c r="F783" t="str">
        <f>LEFT(Table1[[#This Row],[Target_product_quantity]], FIND("o", Table1[[#This Row],[Target_product_quantity]])-1)</f>
        <v>21.4</v>
      </c>
      <c r="G783" t="str" cm="1">
        <f t="array" ref="G783">_xlfn.TEXTJOIN("", TRUE, IF(ISNUMBER(SEARCH($K$1010:$K$1054, C783)), $K$1010:$K$1054, ""))</f>
        <v>Oikos</v>
      </c>
      <c r="H783" t="str">
        <f t="shared" si="43"/>
        <v>Yogurt</v>
      </c>
      <c r="I783" t="str">
        <f t="shared" si="44"/>
        <v>Dairy</v>
      </c>
      <c r="J783">
        <v>4.6900000000000004</v>
      </c>
      <c r="K783">
        <f>Table1[[#This Row],[Target_product_price]]/Table1[[#This Row],[product_price_per_oz]]</f>
        <v>0.21915887850467294</v>
      </c>
    </row>
    <row r="784" spans="1:11" x14ac:dyDescent="0.2">
      <c r="A784" t="s">
        <v>2265</v>
      </c>
      <c r="B784" t="s">
        <v>2266</v>
      </c>
      <c r="C784" t="s">
        <v>2267</v>
      </c>
      <c r="D784" t="str">
        <f>SUBSTITUTE(Table1[[#This Row],[Target_product_name]], "oz", " oz")</f>
        <v>Oikos Triple Zero Peach Greek Yogurt - 4ct/5.3 oz Cups</v>
      </c>
      <c r="E784" t="s">
        <v>1841</v>
      </c>
      <c r="F784" t="str">
        <f>LEFT(Table1[[#This Row],[Target_product_quantity]], FIND("o", Table1[[#This Row],[Target_product_quantity]])-1)</f>
        <v>21.4</v>
      </c>
      <c r="G784" t="str" cm="1">
        <f t="array" ref="G784">_xlfn.TEXTJOIN("", TRUE, IF(ISNUMBER(SEARCH($K$1010:$K$1054, C784)), $K$1010:$K$1054, ""))</f>
        <v>Oikos</v>
      </c>
      <c r="H784" t="str">
        <f t="shared" si="43"/>
        <v>Yogurt</v>
      </c>
      <c r="I784" t="str">
        <f t="shared" si="44"/>
        <v>Dairy</v>
      </c>
      <c r="J784">
        <v>4.6900000000000004</v>
      </c>
      <c r="K784">
        <f>Table1[[#This Row],[Target_product_price]]/Table1[[#This Row],[product_price_per_oz]]</f>
        <v>0.21915887850467294</v>
      </c>
    </row>
    <row r="785" spans="1:11" x14ac:dyDescent="0.2">
      <c r="A785" t="s">
        <v>2268</v>
      </c>
      <c r="B785" t="s">
        <v>2269</v>
      </c>
      <c r="C785" t="s">
        <v>2270</v>
      </c>
      <c r="D785" t="str">
        <f>SUBSTITUTE(Table1[[#This Row],[Target_product_name]], "oz", " oz")</f>
        <v>Oikos Triple Zero Strawberry Greek Yogurt - 4ct/5.3 oz Cups</v>
      </c>
      <c r="E785" t="s">
        <v>1841</v>
      </c>
      <c r="F785" t="str">
        <f>LEFT(Table1[[#This Row],[Target_product_quantity]], FIND("o", Table1[[#This Row],[Target_product_quantity]])-1)</f>
        <v>21.4</v>
      </c>
      <c r="G785" t="str" cm="1">
        <f t="array" ref="G785">_xlfn.TEXTJOIN("", TRUE, IF(ISNUMBER(SEARCH($K$1010:$K$1054, C785)), $K$1010:$K$1054, ""))</f>
        <v>Oikos</v>
      </c>
      <c r="H785" t="str">
        <f t="shared" si="43"/>
        <v>Yogurt</v>
      </c>
      <c r="I785" t="str">
        <f t="shared" si="44"/>
        <v>Dairy</v>
      </c>
      <c r="J785">
        <v>4.6900000000000004</v>
      </c>
      <c r="K785">
        <f>Table1[[#This Row],[Target_product_price]]/Table1[[#This Row],[product_price_per_oz]]</f>
        <v>0.21915887850467294</v>
      </c>
    </row>
    <row r="786" spans="1:11" x14ac:dyDescent="0.2">
      <c r="A786" t="s">
        <v>2271</v>
      </c>
      <c r="B786" t="s">
        <v>2272</v>
      </c>
      <c r="C786" t="s">
        <v>2273</v>
      </c>
      <c r="D786" t="str">
        <f>SUBSTITUTE(Table1[[#This Row],[Target_product_name]], "oz", " oz")</f>
        <v>Oikos Triple Zero Vanilla Greek Yogurt - 32 oz Tub</v>
      </c>
      <c r="E786" t="s">
        <v>1837</v>
      </c>
      <c r="F786" t="str">
        <f>LEFT(Table1[[#This Row],[Target_product_quantity]], FIND("o", Table1[[#This Row],[Target_product_quantity]])-1)</f>
        <v>32</v>
      </c>
      <c r="G786" t="str" cm="1">
        <f t="array" ref="G786">_xlfn.TEXTJOIN("", TRUE, IF(ISNUMBER(SEARCH($K$1010:$K$1054, C786)), $K$1010:$K$1054, ""))</f>
        <v>Oikos</v>
      </c>
      <c r="H786" t="str">
        <f t="shared" si="43"/>
        <v>Yogurt</v>
      </c>
      <c r="I786" t="str">
        <f t="shared" si="44"/>
        <v>Dairy</v>
      </c>
      <c r="J786">
        <v>6.49</v>
      </c>
      <c r="K786">
        <f>Table1[[#This Row],[Target_product_price]]/Table1[[#This Row],[product_price_per_oz]]</f>
        <v>0.20281250000000001</v>
      </c>
    </row>
    <row r="787" spans="1:11" x14ac:dyDescent="0.2">
      <c r="A787" t="s">
        <v>2274</v>
      </c>
      <c r="B787" t="s">
        <v>2275</v>
      </c>
      <c r="C787" t="s">
        <v>2276</v>
      </c>
      <c r="D787" t="str">
        <f>SUBSTITUTE(Table1[[#This Row],[Target_product_name]], "oz", " oz")</f>
        <v>Oikos Triple Zero Vanilla Greek Yogurt - 4ct/5.3 oz Cups</v>
      </c>
      <c r="E787" t="s">
        <v>1841</v>
      </c>
      <c r="F787" t="str">
        <f>LEFT(Table1[[#This Row],[Target_product_quantity]], FIND("o", Table1[[#This Row],[Target_product_quantity]])-1)</f>
        <v>21.4</v>
      </c>
      <c r="G787" t="str" cm="1">
        <f t="array" ref="G787">_xlfn.TEXTJOIN("", TRUE, IF(ISNUMBER(SEARCH($K$1010:$K$1054, C787)), $K$1010:$K$1054, ""))</f>
        <v>Oikos</v>
      </c>
      <c r="H787" t="str">
        <f t="shared" si="43"/>
        <v>Yogurt</v>
      </c>
      <c r="I787" t="str">
        <f t="shared" si="44"/>
        <v>Dairy</v>
      </c>
      <c r="J787">
        <v>4.6900000000000004</v>
      </c>
      <c r="K787">
        <f>Table1[[#This Row],[Target_product_price]]/Table1[[#This Row],[product_price_per_oz]]</f>
        <v>0.21915887850467294</v>
      </c>
    </row>
    <row r="788" spans="1:11" x14ac:dyDescent="0.2">
      <c r="A788" t="s">
        <v>2277</v>
      </c>
      <c r="B788" t="s">
        <v>2278</v>
      </c>
      <c r="C788" t="s">
        <v>2279</v>
      </c>
      <c r="D788" t="str">
        <f>SUBSTITUTE(Table1[[#This Row],[Target_product_name]], "oz", " oz")</f>
        <v>Oreo Birthday Cake Flavor Chocolate Sandwich Cookies Family Size - 17 oz</v>
      </c>
      <c r="E788" t="str">
        <f>TRIM(RIGHT(C788, LEN(C788) - FIND("-", C788)))</f>
        <v>17oz</v>
      </c>
      <c r="F788" t="str">
        <f>LEFT(Table1[[#This Row],[Target_product_quantity]], FIND("o", Table1[[#This Row],[Target_product_quantity]])-1)</f>
        <v>17</v>
      </c>
      <c r="G788" t="str" cm="1">
        <f t="array" ref="G788">_xlfn.TEXTJOIN("", TRUE, IF(ISNUMBER(SEARCH($K$1010:$K$1054, C788)), $K$1010:$K$1054, ""))</f>
        <v>Oreo</v>
      </c>
      <c r="H788" t="str">
        <f t="shared" si="43"/>
        <v>Prepared Food</v>
      </c>
      <c r="I788" t="str">
        <f t="shared" si="44"/>
        <v>Prepared Food</v>
      </c>
      <c r="J788">
        <v>5.29</v>
      </c>
      <c r="K788">
        <f>Table1[[#This Row],[Target_product_price]]/Table1[[#This Row],[product_price_per_oz]]</f>
        <v>0.31117647058823528</v>
      </c>
    </row>
    <row r="789" spans="1:11" x14ac:dyDescent="0.2">
      <c r="A789" t="s">
        <v>2280</v>
      </c>
      <c r="B789" t="s">
        <v>2281</v>
      </c>
      <c r="C789" t="s">
        <v>2282</v>
      </c>
      <c r="D789" t="str">
        <f>SUBSTITUTE(Table1[[#This Row],[Target_product_name]], "oz", " oz")</f>
        <v>Oreo Cakesters Soft Snack Cakes - 10.1 oz</v>
      </c>
      <c r="E789" t="str">
        <f>TRIM(RIGHT(C789, LEN(C789) - FIND("-", C789)))</f>
        <v>10.1oz</v>
      </c>
      <c r="F789" t="str">
        <f>LEFT(Table1[[#This Row],[Target_product_quantity]], FIND("o", Table1[[#This Row],[Target_product_quantity]])-1)</f>
        <v>10.1</v>
      </c>
      <c r="G789" t="str" cm="1">
        <f t="array" ref="G789">_xlfn.TEXTJOIN("", TRUE, IF(ISNUMBER(SEARCH($K$1010:$K$1054, C789)), $K$1010:$K$1054, ""))</f>
        <v>Oreo</v>
      </c>
      <c r="H789" t="str">
        <f t="shared" si="43"/>
        <v>Prepared Food</v>
      </c>
      <c r="I789" t="str">
        <f t="shared" si="44"/>
        <v>Prepared Food</v>
      </c>
      <c r="J789">
        <v>3.99</v>
      </c>
      <c r="K789">
        <f>Table1[[#This Row],[Target_product_price]]/Table1[[#This Row],[product_price_per_oz]]</f>
        <v>0.39504950495049507</v>
      </c>
    </row>
    <row r="790" spans="1:11" x14ac:dyDescent="0.2">
      <c r="A790" t="s">
        <v>2283</v>
      </c>
      <c r="B790" t="s">
        <v>2284</v>
      </c>
      <c r="C790" t="s">
        <v>2282</v>
      </c>
      <c r="D790" t="str">
        <f>SUBSTITUTE(Table1[[#This Row],[Target_product_name]], "oz", " oz")</f>
        <v>Oreo Cakesters Soft Snack Cakes - 10.1 oz</v>
      </c>
      <c r="E790" t="str">
        <f>TRIM(RIGHT(C790, LEN(C790) - FIND("-", C790)))</f>
        <v>10.1oz</v>
      </c>
      <c r="F790" t="str">
        <f>LEFT(Table1[[#This Row],[Target_product_quantity]], FIND("o", Table1[[#This Row],[Target_product_quantity]])-1)</f>
        <v>10.1</v>
      </c>
      <c r="G790" t="str" cm="1">
        <f t="array" ref="G790">_xlfn.TEXTJOIN("", TRUE, IF(ISNUMBER(SEARCH($K$1010:$K$1054, C790)), $K$1010:$K$1054, ""))</f>
        <v>Oreo</v>
      </c>
      <c r="H790" t="str">
        <f t="shared" si="43"/>
        <v>Prepared Food</v>
      </c>
      <c r="I790" t="str">
        <f t="shared" si="44"/>
        <v>Prepared Food</v>
      </c>
      <c r="J790">
        <v>18.489999999999998</v>
      </c>
      <c r="K790">
        <f>Table1[[#This Row],[Target_product_price]]/Table1[[#This Row],[product_price_per_oz]]</f>
        <v>1.8306930693069305</v>
      </c>
    </row>
    <row r="791" spans="1:11" x14ac:dyDescent="0.2">
      <c r="A791" t="s">
        <v>2285</v>
      </c>
      <c r="B791" t="s">
        <v>2286</v>
      </c>
      <c r="C791" t="s">
        <v>2287</v>
      </c>
      <c r="D791" t="str">
        <f>SUBSTITUTE(Table1[[#This Row],[Target_product_name]], "oz", " oz")</f>
        <v>Oreo Cakesters Soft Snack Cakes, 12 - 5 Count Packs (60 Total Snack Packs)</v>
      </c>
      <c r="E791" t="s">
        <v>2288</v>
      </c>
      <c r="F791" t="str">
        <f>LEFT(Table1[[#This Row],[Target_product_quantity]], FIND("o", Table1[[#This Row],[Target_product_quantity]])-1)</f>
        <v>60</v>
      </c>
      <c r="G791" t="str" cm="1">
        <f t="array" ref="G791">_xlfn.TEXTJOIN("", TRUE, IF(ISNUMBER(SEARCH($K$1010:$K$1054, C791)), $K$1010:$K$1054, ""))</f>
        <v>Oreo</v>
      </c>
      <c r="H791" t="str">
        <f t="shared" si="43"/>
        <v>Prepared Food</v>
      </c>
      <c r="I791" t="str">
        <f t="shared" si="44"/>
        <v>Prepared Food</v>
      </c>
      <c r="J791">
        <v>84.99</v>
      </c>
      <c r="K791">
        <f>Table1[[#This Row],[Target_product_price]]/Table1[[#This Row],[product_price_per_oz]]</f>
        <v>1.4164999999999999</v>
      </c>
    </row>
    <row r="792" spans="1:11" x14ac:dyDescent="0.2">
      <c r="A792" t="s">
        <v>2289</v>
      </c>
      <c r="B792" t="s">
        <v>2290</v>
      </c>
      <c r="C792" s="4" t="s">
        <v>2291</v>
      </c>
      <c r="D792" t="str">
        <f>SUBSTITUTE(Table1[[#This Row],[Target_product_name]], "oz", " oz")</f>
        <v>Oreo Chocolate Sandwich Cookies - 15.6 oz/20ct</v>
      </c>
      <c r="E792" t="s">
        <v>2292</v>
      </c>
      <c r="F792" t="str">
        <f>LEFT(Table1[[#This Row],[Target_product_quantity]], FIND("o", Table1[[#This Row],[Target_product_quantity]])-1)</f>
        <v>31.2</v>
      </c>
      <c r="G792" t="str" cm="1">
        <f t="array" ref="G792">_xlfn.TEXTJOIN("", TRUE, IF(ISNUMBER(SEARCH($K$1010:$K$1054, C792)), $K$1010:$K$1054, ""))</f>
        <v>Oreo</v>
      </c>
      <c r="H792" t="str">
        <f t="shared" si="43"/>
        <v>Prepared Food</v>
      </c>
      <c r="I792" t="str">
        <f t="shared" si="44"/>
        <v>Prepared Food</v>
      </c>
      <c r="J792">
        <v>10.19</v>
      </c>
      <c r="K792">
        <f>Table1[[#This Row],[Target_product_price]]/Table1[[#This Row],[product_price_per_oz]]</f>
        <v>0.32660256410256411</v>
      </c>
    </row>
    <row r="793" spans="1:11" x14ac:dyDescent="0.2">
      <c r="A793" t="s">
        <v>2293</v>
      </c>
      <c r="B793" t="s">
        <v>2294</v>
      </c>
      <c r="C793" s="4" t="s">
        <v>2295</v>
      </c>
      <c r="D793" t="str">
        <f>SUBSTITUTE(Table1[[#This Row],[Target_product_name]], "oz", " oz")</f>
        <v>Oreo Chocolate Sandwich Cookies Snack Packs - 15.9 oz/10ct</v>
      </c>
      <c r="E793" t="s">
        <v>2296</v>
      </c>
      <c r="F793" t="str">
        <f>LEFT(Table1[[#This Row],[Target_product_quantity]], FIND("o", Table1[[#This Row],[Target_product_quantity]])-1)</f>
        <v>159</v>
      </c>
      <c r="G793" t="str" cm="1">
        <f t="array" ref="G793">_xlfn.TEXTJOIN("", TRUE, IF(ISNUMBER(SEARCH($K$1010:$K$1054, C793)), $K$1010:$K$1054, ""))</f>
        <v>Oreo</v>
      </c>
      <c r="H793" t="str">
        <f t="shared" si="43"/>
        <v>Prepared Food</v>
      </c>
      <c r="I793" t="str">
        <f t="shared" si="44"/>
        <v>Prepared Food</v>
      </c>
      <c r="J793">
        <v>6.69</v>
      </c>
      <c r="K793">
        <f>Table1[[#This Row],[Target_product_price]]/Table1[[#This Row],[product_price_per_oz]]</f>
        <v>4.2075471698113209E-2</v>
      </c>
    </row>
    <row r="794" spans="1:11" x14ac:dyDescent="0.2">
      <c r="A794" t="s">
        <v>2297</v>
      </c>
      <c r="B794" t="s">
        <v>2298</v>
      </c>
      <c r="C794" t="s">
        <v>2299</v>
      </c>
      <c r="D794" t="str">
        <f>SUBSTITUTE(Table1[[#This Row],[Target_product_name]], "oz", " oz")</f>
        <v>Oreo Dark Chocolate Flavor Creme Chocolate Sandwich Cookies Family Size - 17 oz</v>
      </c>
      <c r="E794" t="str">
        <f t="shared" ref="E794:E802" si="45">TRIM(RIGHT(C794, LEN(C794) - FIND("-", C794)))</f>
        <v>17oz</v>
      </c>
      <c r="F794" t="str">
        <f>LEFT(Table1[[#This Row],[Target_product_quantity]], FIND("o", Table1[[#This Row],[Target_product_quantity]])-1)</f>
        <v>17</v>
      </c>
      <c r="G794" t="str" cm="1">
        <f t="array" ref="G794">_xlfn.TEXTJOIN("", TRUE, IF(ISNUMBER(SEARCH($K$1010:$K$1054, C794)), $K$1010:$K$1054, ""))</f>
        <v>Oreo</v>
      </c>
      <c r="H794" t="str">
        <f t="shared" si="43"/>
        <v>Prepared Food</v>
      </c>
      <c r="I794" t="str">
        <f t="shared" si="44"/>
        <v>Prepared Food</v>
      </c>
      <c r="J794">
        <v>5.29</v>
      </c>
      <c r="K794">
        <f>Table1[[#This Row],[Target_product_price]]/Table1[[#This Row],[product_price_per_oz]]</f>
        <v>0.31117647058823528</v>
      </c>
    </row>
    <row r="795" spans="1:11" x14ac:dyDescent="0.2">
      <c r="A795" t="s">
        <v>2300</v>
      </c>
      <c r="B795" t="s">
        <v>2301</v>
      </c>
      <c r="C795" t="s">
        <v>2302</v>
      </c>
      <c r="D795" t="str">
        <f>SUBSTITUTE(Table1[[#This Row],[Target_product_name]], "oz", " oz")</f>
        <v>Oreo Double Stuf Gluten Free - 12.47 oz</v>
      </c>
      <c r="E795" t="str">
        <f t="shared" si="45"/>
        <v>12.47oz</v>
      </c>
      <c r="F795" t="str">
        <f>LEFT(Table1[[#This Row],[Target_product_quantity]], FIND("o", Table1[[#This Row],[Target_product_quantity]])-1)</f>
        <v>12.47</v>
      </c>
      <c r="G795" t="str" cm="1">
        <f t="array" ref="G795">_xlfn.TEXTJOIN("", TRUE, IF(ISNUMBER(SEARCH($K$1010:$K$1054, C795)), $K$1010:$K$1054, ""))</f>
        <v>Oreo</v>
      </c>
      <c r="H795" t="str">
        <f t="shared" si="43"/>
        <v>Prepared Food</v>
      </c>
      <c r="I795" t="str">
        <f t="shared" si="44"/>
        <v>Prepared Food</v>
      </c>
      <c r="J795">
        <v>5.29</v>
      </c>
      <c r="K795">
        <f>Table1[[#This Row],[Target_product_price]]/Table1[[#This Row],[product_price_per_oz]]</f>
        <v>0.42421812349639132</v>
      </c>
    </row>
    <row r="796" spans="1:11" x14ac:dyDescent="0.2">
      <c r="A796" t="s">
        <v>2303</v>
      </c>
      <c r="B796" t="s">
        <v>2304</v>
      </c>
      <c r="C796" t="s">
        <v>2305</v>
      </c>
      <c r="D796" t="str">
        <f>SUBSTITUTE(Table1[[#This Row],[Target_product_name]], "oz", " oz")</f>
        <v>Oreo Fresh Stacks Cookies - 8.05 oz</v>
      </c>
      <c r="E796" t="str">
        <f t="shared" si="45"/>
        <v>8.05oz</v>
      </c>
      <c r="F796" t="str">
        <f>LEFT(Table1[[#This Row],[Target_product_quantity]], FIND("o", Table1[[#This Row],[Target_product_quantity]])-1)</f>
        <v>8.05</v>
      </c>
      <c r="G796" t="str" cm="1">
        <f t="array" ref="G796">_xlfn.TEXTJOIN("", TRUE, IF(ISNUMBER(SEARCH($K$1010:$K$1054, C796)), $K$1010:$K$1054, ""))</f>
        <v>Oreo</v>
      </c>
      <c r="H796" t="str">
        <f t="shared" si="43"/>
        <v>Prepared Food</v>
      </c>
      <c r="I796" t="str">
        <f t="shared" si="44"/>
        <v>Prepared Food</v>
      </c>
      <c r="J796">
        <v>2.99</v>
      </c>
      <c r="K796">
        <f>Table1[[#This Row],[Target_product_price]]/Table1[[#This Row],[product_price_per_oz]]</f>
        <v>0.37142857142857144</v>
      </c>
    </row>
    <row r="797" spans="1:11" x14ac:dyDescent="0.2">
      <c r="A797" t="s">
        <v>2306</v>
      </c>
      <c r="B797" t="s">
        <v>2307</v>
      </c>
      <c r="C797" t="s">
        <v>2308</v>
      </c>
      <c r="D797" t="str">
        <f>SUBSTITUTE(Table1[[#This Row],[Target_product_name]], "oz", " oz")</f>
        <v>Oreo Golden Birthday Cake Cookies - 10.68 oz</v>
      </c>
      <c r="E797" t="str">
        <f t="shared" si="45"/>
        <v>10.68oz</v>
      </c>
      <c r="F797" t="str">
        <f>LEFT(Table1[[#This Row],[Target_product_quantity]], FIND("o", Table1[[#This Row],[Target_product_quantity]])-1)</f>
        <v>10.68</v>
      </c>
      <c r="G797" t="str" cm="1">
        <f t="array" ref="G797">_xlfn.TEXTJOIN("", TRUE, IF(ISNUMBER(SEARCH($K$1010:$K$1054, C797)), $K$1010:$K$1054, ""))</f>
        <v>Oreo</v>
      </c>
      <c r="H797" t="str">
        <f t="shared" si="43"/>
        <v>Prepared Food</v>
      </c>
      <c r="I797" t="str">
        <f t="shared" si="44"/>
        <v>Prepared Food</v>
      </c>
      <c r="J797">
        <v>5.29</v>
      </c>
      <c r="K797">
        <f>Table1[[#This Row],[Target_product_price]]/Table1[[#This Row],[product_price_per_oz]]</f>
        <v>0.49531835205992514</v>
      </c>
    </row>
    <row r="798" spans="1:11" x14ac:dyDescent="0.2">
      <c r="A798" t="s">
        <v>2309</v>
      </c>
      <c r="B798" t="s">
        <v>2310</v>
      </c>
      <c r="C798" t="s">
        <v>2311</v>
      </c>
      <c r="D798" t="str">
        <f>SUBSTITUTE(Table1[[#This Row],[Target_product_name]], "oz", " oz")</f>
        <v>Oreo Golden Cakesters Soft Cookies - 10.1 oz</v>
      </c>
      <c r="E798" t="str">
        <f t="shared" si="45"/>
        <v>10.1oz</v>
      </c>
      <c r="F798" t="str">
        <f>LEFT(Table1[[#This Row],[Target_product_quantity]], FIND("o", Table1[[#This Row],[Target_product_quantity]])-1)</f>
        <v>10.1</v>
      </c>
      <c r="G798" t="str" cm="1">
        <f t="array" ref="G798">_xlfn.TEXTJOIN("", TRUE, IF(ISNUMBER(SEARCH($K$1010:$K$1054, C798)), $K$1010:$K$1054, ""))</f>
        <v>Oreo</v>
      </c>
      <c r="H798" t="str">
        <f t="shared" si="43"/>
        <v>Prepared Food</v>
      </c>
      <c r="I798" t="str">
        <f t="shared" si="44"/>
        <v>Prepared Food</v>
      </c>
      <c r="J798">
        <v>3.99</v>
      </c>
      <c r="K798">
        <f>Table1[[#This Row],[Target_product_price]]/Table1[[#This Row],[product_price_per_oz]]</f>
        <v>0.39504950495049507</v>
      </c>
    </row>
    <row r="799" spans="1:11" x14ac:dyDescent="0.2">
      <c r="A799" t="s">
        <v>2312</v>
      </c>
      <c r="B799" t="s">
        <v>2313</v>
      </c>
      <c r="C799" t="s">
        <v>2314</v>
      </c>
      <c r="D799" t="str">
        <f>SUBSTITUTE(Table1[[#This Row],[Target_product_name]], "oz", " oz")</f>
        <v>Oreo Graham Flavored Sm'Oreo Cookies - 10.68 oz</v>
      </c>
      <c r="E799" t="str">
        <f t="shared" si="45"/>
        <v>10.68oz</v>
      </c>
      <c r="F799" t="str">
        <f>LEFT(Table1[[#This Row],[Target_product_quantity]], FIND("o", Table1[[#This Row],[Target_product_quantity]])-1)</f>
        <v>10.68</v>
      </c>
      <c r="G799" t="str" cm="1">
        <f t="array" ref="G799">_xlfn.TEXTJOIN("", TRUE, IF(ISNUMBER(SEARCH($K$1010:$K$1054, C799)), $K$1010:$K$1054, ""))</f>
        <v>Oreo</v>
      </c>
      <c r="H799" t="str">
        <f t="shared" si="43"/>
        <v>Prepared Food</v>
      </c>
      <c r="I799" t="str">
        <f t="shared" si="44"/>
        <v>Prepared Food</v>
      </c>
      <c r="J799">
        <v>5.29</v>
      </c>
      <c r="K799">
        <f>Table1[[#This Row],[Target_product_price]]/Table1[[#This Row],[product_price_per_oz]]</f>
        <v>0.49531835205992514</v>
      </c>
    </row>
    <row r="800" spans="1:11" x14ac:dyDescent="0.2">
      <c r="A800" t="s">
        <v>2315</v>
      </c>
      <c r="B800" t="s">
        <v>2316</v>
      </c>
      <c r="C800" t="s">
        <v>2317</v>
      </c>
      <c r="D800" t="str">
        <f>SUBSTITUTE(Table1[[#This Row],[Target_product_name]], "oz", " oz")</f>
        <v>Oreo Lemon Family Size - 18.71 oz</v>
      </c>
      <c r="E800" t="str">
        <f t="shared" si="45"/>
        <v>18.71oz</v>
      </c>
      <c r="F800" t="str">
        <f>LEFT(Table1[[#This Row],[Target_product_quantity]], FIND("o", Table1[[#This Row],[Target_product_quantity]])-1)</f>
        <v>18.71</v>
      </c>
      <c r="G800" t="str" cm="1">
        <f t="array" ref="G800">_xlfn.TEXTJOIN("", TRUE, IF(ISNUMBER(SEARCH($K$1010:$K$1054, C800)), $K$1010:$K$1054, ""))</f>
        <v>Oreo</v>
      </c>
      <c r="H800" t="str">
        <f t="shared" si="43"/>
        <v>Prepared Food</v>
      </c>
      <c r="I800" t="str">
        <f t="shared" si="44"/>
        <v>Prepared Food</v>
      </c>
      <c r="J800">
        <v>5.29</v>
      </c>
      <c r="K800">
        <f>Table1[[#This Row],[Target_product_price]]/Table1[[#This Row],[product_price_per_oz]]</f>
        <v>0.28273650454302512</v>
      </c>
    </row>
    <row r="801" spans="1:11" x14ac:dyDescent="0.2">
      <c r="A801" t="s">
        <v>2318</v>
      </c>
      <c r="B801" t="s">
        <v>2319</v>
      </c>
      <c r="C801" t="s">
        <v>2320</v>
      </c>
      <c r="D801" t="str">
        <f>SUBSTITUTE(Table1[[#This Row],[Target_product_name]], "oz", " oz")</f>
        <v>Oreo Loaded Sandwich Cookies Family Size - 13.37 oz</v>
      </c>
      <c r="E801" t="str">
        <f t="shared" si="45"/>
        <v>13.37oz</v>
      </c>
      <c r="F801" t="str">
        <f>LEFT(Table1[[#This Row],[Target_product_quantity]], FIND("o", Table1[[#This Row],[Target_product_quantity]])-1)</f>
        <v>13.37</v>
      </c>
      <c r="G801" t="str" cm="1">
        <f t="array" ref="G801">_xlfn.TEXTJOIN("", TRUE, IF(ISNUMBER(SEARCH($K$1010:$K$1054, C801)), $K$1010:$K$1054, ""))</f>
        <v>Oreo</v>
      </c>
      <c r="H801" t="str">
        <f t="shared" si="43"/>
        <v>Prepared Food</v>
      </c>
      <c r="I801" t="str">
        <f t="shared" si="44"/>
        <v>Prepared Food</v>
      </c>
      <c r="J801">
        <v>5.29</v>
      </c>
      <c r="K801">
        <f>Table1[[#This Row],[Target_product_price]]/Table1[[#This Row],[product_price_per_oz]]</f>
        <v>0.39566192969334335</v>
      </c>
    </row>
    <row r="802" spans="1:11" x14ac:dyDescent="0.2">
      <c r="A802" t="s">
        <v>2321</v>
      </c>
      <c r="B802" t="s">
        <v>2322</v>
      </c>
      <c r="C802" t="s">
        <v>2323</v>
      </c>
      <c r="D802" t="str">
        <f>SUBSTITUTE(Table1[[#This Row],[Target_product_name]], "oz", " oz")</f>
        <v>Oreo Mega Stuf Family Size Sandwich Cookies - 17.6 oz</v>
      </c>
      <c r="E802" t="str">
        <f t="shared" si="45"/>
        <v>17.6oz</v>
      </c>
      <c r="F802" t="str">
        <f>LEFT(Table1[[#This Row],[Target_product_quantity]], FIND("o", Table1[[#This Row],[Target_product_quantity]])-1)</f>
        <v>17.6</v>
      </c>
      <c r="G802" t="str" cm="1">
        <f t="array" ref="G802">_xlfn.TEXTJOIN("", TRUE, IF(ISNUMBER(SEARCH($K$1010:$K$1054, C802)), $K$1010:$K$1054, ""))</f>
        <v>Oreo</v>
      </c>
      <c r="H802" t="str">
        <f t="shared" si="43"/>
        <v>Prepared Food</v>
      </c>
      <c r="I802" t="str">
        <f t="shared" si="44"/>
        <v>Prepared Food</v>
      </c>
      <c r="J802">
        <v>5.29</v>
      </c>
      <c r="K802">
        <f>Table1[[#This Row],[Target_product_price]]/Table1[[#This Row],[product_price_per_oz]]</f>
        <v>0.30056818181818179</v>
      </c>
    </row>
    <row r="803" spans="1:11" x14ac:dyDescent="0.2">
      <c r="A803" t="s">
        <v>2324</v>
      </c>
      <c r="B803" t="s">
        <v>2325</v>
      </c>
      <c r="C803" s="4" t="s">
        <v>2326</v>
      </c>
      <c r="D803" t="str">
        <f>SUBSTITUTE(Table1[[#This Row],[Target_product_name]], "oz", " oz")</f>
        <v>Oreo Mini Chocolate Sandwich Cookies - Snack-Sak - 8 oz</v>
      </c>
      <c r="E803" t="s">
        <v>1922</v>
      </c>
      <c r="F803" t="str">
        <f>LEFT(Table1[[#This Row],[Target_product_quantity]], FIND("o", Table1[[#This Row],[Target_product_quantity]])-1)</f>
        <v>8</v>
      </c>
      <c r="G803" t="str" cm="1">
        <f t="array" ref="G803">_xlfn.TEXTJOIN("", TRUE, IF(ISNUMBER(SEARCH($K$1010:$K$1054, C803)), $K$1010:$K$1054, ""))</f>
        <v>Oreo</v>
      </c>
      <c r="H803" t="str">
        <f t="shared" si="43"/>
        <v>Prepared Food</v>
      </c>
      <c r="I803" t="str">
        <f t="shared" si="44"/>
        <v>Prepared Food</v>
      </c>
      <c r="J803">
        <v>2.99</v>
      </c>
      <c r="K803">
        <f>Table1[[#This Row],[Target_product_price]]/Table1[[#This Row],[product_price_per_oz]]</f>
        <v>0.37375000000000003</v>
      </c>
    </row>
    <row r="804" spans="1:11" x14ac:dyDescent="0.2">
      <c r="A804" t="s">
        <v>2327</v>
      </c>
      <c r="B804" t="s">
        <v>2328</v>
      </c>
      <c r="C804" s="4" t="s">
        <v>2329</v>
      </c>
      <c r="D804" t="str">
        <f>SUBSTITUTE(Table1[[#This Row],[Target_product_name]], "oz", " oz")</f>
        <v>Oreo Mini Chocolate Sandwich Cookies Snack Pack - 10 oz/10ct</v>
      </c>
      <c r="E804" t="s">
        <v>2330</v>
      </c>
      <c r="F804" t="str">
        <f>LEFT(Table1[[#This Row],[Target_product_quantity]], FIND("o", Table1[[#This Row],[Target_product_quantity]])-1)</f>
        <v>100</v>
      </c>
      <c r="G804" t="str" cm="1">
        <f t="array" ref="G804">_xlfn.TEXTJOIN("", TRUE, IF(ISNUMBER(SEARCH($K$1010:$K$1054, C804)), $K$1010:$K$1054, ""))</f>
        <v>Oreo</v>
      </c>
      <c r="H804" t="str">
        <f t="shared" si="43"/>
        <v>Prepared Food</v>
      </c>
      <c r="I804" t="str">
        <f t="shared" si="44"/>
        <v>Prepared Food</v>
      </c>
      <c r="J804">
        <v>6.69</v>
      </c>
      <c r="K804">
        <f>Table1[[#This Row],[Target_product_price]]/Table1[[#This Row],[product_price_per_oz]]</f>
        <v>6.6900000000000001E-2</v>
      </c>
    </row>
    <row r="805" spans="1:11" x14ac:dyDescent="0.2">
      <c r="A805" t="s">
        <v>2331</v>
      </c>
      <c r="B805" t="s">
        <v>2332</v>
      </c>
      <c r="C805" t="s">
        <v>2333</v>
      </c>
      <c r="D805" t="str">
        <f>SUBSTITUTE(Table1[[#This Row],[Target_product_name]], "oz", " oz")</f>
        <v>Oreo Mint Family Size - 18.71 oz</v>
      </c>
      <c r="E805" t="str">
        <f t="shared" ref="E805:E812" si="46">TRIM(RIGHT(C805, LEN(C805) - FIND("-", C805)))</f>
        <v>18.71oz</v>
      </c>
      <c r="F805" t="str">
        <f>LEFT(Table1[[#This Row],[Target_product_quantity]], FIND("o", Table1[[#This Row],[Target_product_quantity]])-1)</f>
        <v>18.71</v>
      </c>
      <c r="G805" t="str" cm="1">
        <f t="array" ref="G805">_xlfn.TEXTJOIN("", TRUE, IF(ISNUMBER(SEARCH($K$1010:$K$1054, C805)), $K$1010:$K$1054, ""))</f>
        <v>Oreo</v>
      </c>
      <c r="H805" t="str">
        <f t="shared" si="43"/>
        <v>Prepared Food</v>
      </c>
      <c r="I805" t="str">
        <f t="shared" si="44"/>
        <v>Prepared Food</v>
      </c>
      <c r="J805">
        <v>5.29</v>
      </c>
      <c r="K805">
        <f>Table1[[#This Row],[Target_product_price]]/Table1[[#This Row],[product_price_per_oz]]</f>
        <v>0.28273650454302512</v>
      </c>
    </row>
    <row r="806" spans="1:11" x14ac:dyDescent="0.2">
      <c r="A806" t="s">
        <v>2334</v>
      </c>
      <c r="B806" t="s">
        <v>2335</v>
      </c>
      <c r="C806" t="s">
        <v>2336</v>
      </c>
      <c r="D806" t="str">
        <f>SUBSTITUTE(Table1[[#This Row],[Target_product_name]], "oz", " oz")</f>
        <v>Oreo Original &amp; Oreo Double Stuf Gluten Free Cookies Variety Pack - 49.1 oz</v>
      </c>
      <c r="E806" t="str">
        <f t="shared" si="46"/>
        <v>49.1oz</v>
      </c>
      <c r="F806" t="str">
        <f>LEFT(Table1[[#This Row],[Target_product_quantity]], FIND("o", Table1[[#This Row],[Target_product_quantity]])-1)</f>
        <v>49.1</v>
      </c>
      <c r="G806" t="str" cm="1">
        <f t="array" ref="G806">_xlfn.TEXTJOIN("", TRUE, IF(ISNUMBER(SEARCH($K$1010:$K$1054, C806)), $K$1010:$K$1054, ""))</f>
        <v>Oreo</v>
      </c>
      <c r="H806" t="str">
        <f t="shared" si="43"/>
        <v>Prepared Food</v>
      </c>
      <c r="I806" t="str">
        <f t="shared" si="44"/>
        <v>Prepared Food</v>
      </c>
      <c r="J806">
        <v>34.99</v>
      </c>
      <c r="K806">
        <f>Table1[[#This Row],[Target_product_price]]/Table1[[#This Row],[product_price_per_oz]]</f>
        <v>0.71262729124236257</v>
      </c>
    </row>
    <row r="807" spans="1:11" x14ac:dyDescent="0.2">
      <c r="A807" t="s">
        <v>2337</v>
      </c>
      <c r="B807" t="s">
        <v>2338</v>
      </c>
      <c r="C807" t="s">
        <v>2339</v>
      </c>
      <c r="D807" t="str">
        <f>SUBSTITUTE(Table1[[#This Row],[Target_product_name]], "oz", " oz")</f>
        <v>Oreo Original Cookies Party Size - 24.16 oz</v>
      </c>
      <c r="E807" t="str">
        <f t="shared" si="46"/>
        <v>24.16oz</v>
      </c>
      <c r="F807" t="str">
        <f>LEFT(Table1[[#This Row],[Target_product_quantity]], FIND("o", Table1[[#This Row],[Target_product_quantity]])-1)</f>
        <v>24.16</v>
      </c>
      <c r="G807" t="str" cm="1">
        <f t="array" ref="G807">_xlfn.TEXTJOIN("", TRUE, IF(ISNUMBER(SEARCH($K$1010:$K$1054, C807)), $K$1010:$K$1054, ""))</f>
        <v>Oreo</v>
      </c>
      <c r="H807" t="str">
        <f t="shared" si="43"/>
        <v>Prepared Food</v>
      </c>
      <c r="I807" t="str">
        <f t="shared" si="44"/>
        <v>Prepared Food</v>
      </c>
      <c r="J807">
        <v>5.99</v>
      </c>
      <c r="K807">
        <f>Table1[[#This Row],[Target_product_price]]/Table1[[#This Row],[product_price_per_oz]]</f>
        <v>0.24793046357615894</v>
      </c>
    </row>
    <row r="808" spans="1:11" x14ac:dyDescent="0.2">
      <c r="A808" t="s">
        <v>2340</v>
      </c>
      <c r="B808" t="s">
        <v>2341</v>
      </c>
      <c r="C808" t="s">
        <v>2342</v>
      </c>
      <c r="D808" t="str">
        <f>SUBSTITUTE(Table1[[#This Row],[Target_product_name]], "oz", " oz")</f>
        <v>Oreo Original Family Size - 18.12 oz</v>
      </c>
      <c r="E808" t="str">
        <f t="shared" si="46"/>
        <v>18.12oz</v>
      </c>
      <c r="F808" t="str">
        <f>LEFT(Table1[[#This Row],[Target_product_quantity]], FIND("o", Table1[[#This Row],[Target_product_quantity]])-1)</f>
        <v>18.12</v>
      </c>
      <c r="G808" t="str" cm="1">
        <f t="array" ref="G808">_xlfn.TEXTJOIN("", TRUE, IF(ISNUMBER(SEARCH($K$1010:$K$1054, C808)), $K$1010:$K$1054, ""))</f>
        <v>Oreo</v>
      </c>
      <c r="H808" t="str">
        <f t="shared" si="43"/>
        <v>Prepared Food</v>
      </c>
      <c r="I808" t="str">
        <f t="shared" si="44"/>
        <v>Prepared Food</v>
      </c>
      <c r="J808">
        <v>5.29</v>
      </c>
      <c r="K808">
        <f>Table1[[#This Row],[Target_product_price]]/Table1[[#This Row],[product_price_per_oz]]</f>
        <v>0.29194260485651213</v>
      </c>
    </row>
    <row r="809" spans="1:11" x14ac:dyDescent="0.2">
      <c r="A809" t="s">
        <v>2343</v>
      </c>
      <c r="B809" t="s">
        <v>2344</v>
      </c>
      <c r="C809" t="s">
        <v>2345</v>
      </c>
      <c r="D809" t="str">
        <f>SUBSTITUTE(Table1[[#This Row],[Target_product_name]], "oz", " oz")</f>
        <v>Oreo Original Gluten Free - 12.08 oz</v>
      </c>
      <c r="E809" t="str">
        <f t="shared" si="46"/>
        <v>12.08oz</v>
      </c>
      <c r="F809" t="str">
        <f>LEFT(Table1[[#This Row],[Target_product_quantity]], FIND("o", Table1[[#This Row],[Target_product_quantity]])-1)</f>
        <v>12.08</v>
      </c>
      <c r="G809" t="str" cm="1">
        <f t="array" ref="G809">_xlfn.TEXTJOIN("", TRUE, IF(ISNUMBER(SEARCH($K$1010:$K$1054, C809)), $K$1010:$K$1054, ""))</f>
        <v>Oreo</v>
      </c>
      <c r="H809" t="str">
        <f t="shared" si="43"/>
        <v>Prepared Food</v>
      </c>
      <c r="I809" t="str">
        <f t="shared" si="44"/>
        <v>Prepared Food</v>
      </c>
      <c r="J809">
        <v>5.29</v>
      </c>
      <c r="K809">
        <f>Table1[[#This Row],[Target_product_price]]/Table1[[#This Row],[product_price_per_oz]]</f>
        <v>0.4379139072847682</v>
      </c>
    </row>
    <row r="810" spans="1:11" x14ac:dyDescent="0.2">
      <c r="A810" t="s">
        <v>2346</v>
      </c>
      <c r="B810" t="s">
        <v>2347</v>
      </c>
      <c r="C810" t="s">
        <v>2348</v>
      </c>
      <c r="D810" t="str">
        <f>SUBSTITUTE(Table1[[#This Row],[Target_product_name]], "oz", " oz")</f>
        <v>Oreo Thins Original Cookies - 9.21 oz</v>
      </c>
      <c r="E810" t="str">
        <f t="shared" si="46"/>
        <v>9.21oz</v>
      </c>
      <c r="F810" t="str">
        <f>LEFT(Table1[[#This Row],[Target_product_quantity]], FIND("o", Table1[[#This Row],[Target_product_quantity]])-1)</f>
        <v>9.21</v>
      </c>
      <c r="G810" t="str" cm="1">
        <f t="array" ref="G810">_xlfn.TEXTJOIN("", TRUE, IF(ISNUMBER(SEARCH($K$1010:$K$1054, C810)), $K$1010:$K$1054, ""))</f>
        <v>Oreo</v>
      </c>
      <c r="H810" t="str">
        <f t="shared" si="43"/>
        <v>Prepared Food</v>
      </c>
      <c r="I810" t="str">
        <f t="shared" si="44"/>
        <v>Prepared Food</v>
      </c>
      <c r="J810">
        <v>3.99</v>
      </c>
      <c r="K810">
        <f>Table1[[#This Row],[Target_product_price]]/Table1[[#This Row],[product_price_per_oz]]</f>
        <v>0.4332247557003257</v>
      </c>
    </row>
    <row r="811" spans="1:11" x14ac:dyDescent="0.2">
      <c r="A811" t="s">
        <v>2349</v>
      </c>
      <c r="B811" t="s">
        <v>2350</v>
      </c>
      <c r="C811" t="s">
        <v>2351</v>
      </c>
      <c r="D811" t="str">
        <f>SUBSTITUTE(Table1[[#This Row],[Target_product_name]], "oz", " oz")</f>
        <v>Oreo Thins Tiramisu Cookies Family Size - 11.78 oz</v>
      </c>
      <c r="E811" t="str">
        <f t="shared" si="46"/>
        <v>11.78oz</v>
      </c>
      <c r="F811" t="str">
        <f>LEFT(Table1[[#This Row],[Target_product_quantity]], FIND("o", Table1[[#This Row],[Target_product_quantity]])-1)</f>
        <v>11.78</v>
      </c>
      <c r="G811" t="str" cm="1">
        <f t="array" ref="G811">_xlfn.TEXTJOIN("", TRUE, IF(ISNUMBER(SEARCH($K$1010:$K$1054, C811)), $K$1010:$K$1054, ""))</f>
        <v>Oreo</v>
      </c>
      <c r="H811" t="str">
        <f t="shared" si="43"/>
        <v>Prepared Food</v>
      </c>
      <c r="I811" t="str">
        <f t="shared" si="44"/>
        <v>Prepared Food</v>
      </c>
      <c r="J811">
        <v>5.29</v>
      </c>
      <c r="K811">
        <f>Table1[[#This Row],[Target_product_price]]/Table1[[#This Row],[product_price_per_oz]]</f>
        <v>0.44906621392190155</v>
      </c>
    </row>
    <row r="812" spans="1:11" x14ac:dyDescent="0.2">
      <c r="A812" t="s">
        <v>2352</v>
      </c>
      <c r="B812" t="s">
        <v>2353</v>
      </c>
      <c r="C812" t="s">
        <v>2354</v>
      </c>
      <c r="D812" t="str">
        <f>SUBSTITUTE(Table1[[#This Row],[Target_product_name]], "oz", " oz")</f>
        <v>Oreo Toffee Crunch Cookies - 17 oz</v>
      </c>
      <c r="E812" t="str">
        <f t="shared" si="46"/>
        <v>17oz</v>
      </c>
      <c r="F812" t="str">
        <f>LEFT(Table1[[#This Row],[Target_product_quantity]], FIND("o", Table1[[#This Row],[Target_product_quantity]])-1)</f>
        <v>17</v>
      </c>
      <c r="G812" t="str" cm="1">
        <f t="array" ref="G812">_xlfn.TEXTJOIN("", TRUE, IF(ISNUMBER(SEARCH($K$1010:$K$1054, C812)), $K$1010:$K$1054, ""))</f>
        <v>Oreo</v>
      </c>
      <c r="H812" t="str">
        <f t="shared" si="43"/>
        <v>Prepared Food</v>
      </c>
      <c r="I812" t="str">
        <f t="shared" si="44"/>
        <v>Prepared Food</v>
      </c>
      <c r="J812">
        <v>5.29</v>
      </c>
      <c r="K812">
        <f>Table1[[#This Row],[Target_product_price]]/Table1[[#This Row],[product_price_per_oz]]</f>
        <v>0.31117647058823528</v>
      </c>
    </row>
    <row r="813" spans="1:11" x14ac:dyDescent="0.2">
      <c r="A813" t="s">
        <v>2355</v>
      </c>
      <c r="B813" t="s">
        <v>2356</v>
      </c>
      <c r="C813" t="s">
        <v>2357</v>
      </c>
      <c r="D813" t="str">
        <f>SUBSTITUTE(Table1[[#This Row],[Target_product_name]], "oz", " oz")</f>
        <v>Oreo, Chips Ahoy! Cookies - 18 oz/20ct</v>
      </c>
      <c r="E813" t="s">
        <v>2358</v>
      </c>
      <c r="F813" t="str">
        <f>LEFT(Table1[[#This Row],[Target_product_quantity]], FIND("o", Table1[[#This Row],[Target_product_quantity]])-1)</f>
        <v>360</v>
      </c>
      <c r="G813" t="str" cm="1">
        <f t="array" ref="G813">_xlfn.TEXTJOIN("", TRUE, IF(ISNUMBER(SEARCH($K$1010:$K$1054, C813)), $K$1010:$K$1054, ""))</f>
        <v>Oreo</v>
      </c>
      <c r="H813" t="str">
        <f t="shared" si="43"/>
        <v>Prepared Food</v>
      </c>
      <c r="I813" t="str">
        <f t="shared" si="44"/>
        <v>Prepared Food</v>
      </c>
      <c r="J813">
        <v>15.69</v>
      </c>
      <c r="K813">
        <f>Table1[[#This Row],[Target_product_price]]/Table1[[#This Row],[product_price_per_oz]]</f>
        <v>4.3583333333333335E-2</v>
      </c>
    </row>
    <row r="814" spans="1:11" x14ac:dyDescent="0.2">
      <c r="A814" t="s">
        <v>2359</v>
      </c>
      <c r="B814" t="s">
        <v>2360</v>
      </c>
      <c r="C814" s="4" t="s">
        <v>2361</v>
      </c>
      <c r="D814" t="str">
        <f>SUBSTITUTE(Table1[[#This Row],[Target_product_name]], "oz", " oz")</f>
        <v>Oscar Mayer Bacon - 12 oz</v>
      </c>
      <c r="E814" t="str">
        <f>TRIM(RIGHT(C814, LEN(C814) - FIND("-", C814)))</f>
        <v>12oz</v>
      </c>
      <c r="F814" t="str">
        <f>LEFT(Table1[[#This Row],[Target_product_quantity]], FIND("o", Table1[[#This Row],[Target_product_quantity]])-1)</f>
        <v>12</v>
      </c>
      <c r="G814" t="str" cm="1">
        <f t="array" ref="G814">_xlfn.TEXTJOIN("", TRUE, IF(ISNUMBER(SEARCH($K$1010:$K$1054, C814)), $K$1010:$K$1054, ""))</f>
        <v>Oscar Mayer</v>
      </c>
      <c r="H814" t="str">
        <f t="shared" si="43"/>
        <v>Protein</v>
      </c>
      <c r="I814" t="str">
        <f t="shared" si="44"/>
        <v>Protein</v>
      </c>
      <c r="J814">
        <v>7.99</v>
      </c>
      <c r="K814">
        <f>Table1[[#This Row],[Target_product_price]]/Table1[[#This Row],[product_price_per_oz]]</f>
        <v>0.66583333333333339</v>
      </c>
    </row>
    <row r="815" spans="1:11" x14ac:dyDescent="0.2">
      <c r="A815" t="s">
        <v>2362</v>
      </c>
      <c r="B815" t="s">
        <v>2363</v>
      </c>
      <c r="C815" t="s">
        <v>2364</v>
      </c>
      <c r="D815" t="str">
        <f>SUBSTITUTE(Table1[[#This Row],[Target_product_name]], "oz", " oz")</f>
        <v>Oscar Mayer Bacon - 16 oz</v>
      </c>
      <c r="E815" t="str">
        <f>TRIM(RIGHT(C815, LEN(C815) - FIND("-", C815)))</f>
        <v>16oz</v>
      </c>
      <c r="F815" t="str">
        <f>LEFT(Table1[[#This Row],[Target_product_quantity]], FIND("o", Table1[[#This Row],[Target_product_quantity]])-1)</f>
        <v>16</v>
      </c>
      <c r="G815" t="str" cm="1">
        <f t="array" ref="G815">_xlfn.TEXTJOIN("", TRUE, IF(ISNUMBER(SEARCH($K$1010:$K$1054, C815)), $K$1010:$K$1054, ""))</f>
        <v>Oscar Mayer</v>
      </c>
      <c r="H815" t="str">
        <f t="shared" si="43"/>
        <v>Protein</v>
      </c>
      <c r="I815" t="str">
        <f t="shared" si="44"/>
        <v>Protein</v>
      </c>
      <c r="J815">
        <v>8.99</v>
      </c>
      <c r="K815">
        <f>Table1[[#This Row],[Target_product_price]]/Table1[[#This Row],[product_price_per_oz]]</f>
        <v>0.56187500000000001</v>
      </c>
    </row>
    <row r="816" spans="1:11" x14ac:dyDescent="0.2">
      <c r="A816" t="s">
        <v>2365</v>
      </c>
      <c r="B816" t="s">
        <v>2366</v>
      </c>
      <c r="C816" s="4" t="s">
        <v>2367</v>
      </c>
      <c r="D816" t="str">
        <f>SUBSTITUTE(Table1[[#This Row],[Target_product_name]], "oz", " oz")</f>
        <v>Oscar Mayer Beef Bologna Sliced Lunch Meat - 16 oz</v>
      </c>
      <c r="E816" t="str">
        <f>TRIM(RIGHT(C816, LEN(C816) - FIND("-", C816)))</f>
        <v>16oz</v>
      </c>
      <c r="F816" t="str">
        <f>LEFT(Table1[[#This Row],[Target_product_quantity]], FIND("o", Table1[[#This Row],[Target_product_quantity]])-1)</f>
        <v>16</v>
      </c>
      <c r="G816" t="str" cm="1">
        <f t="array" ref="G816">_xlfn.TEXTJOIN("", TRUE, IF(ISNUMBER(SEARCH($K$1010:$K$1054, C816)), $K$1010:$K$1054, ""))</f>
        <v>Oscar Mayer</v>
      </c>
      <c r="H816" t="str">
        <f t="shared" si="43"/>
        <v>Protein</v>
      </c>
      <c r="I816" t="str">
        <f t="shared" si="44"/>
        <v>Protein</v>
      </c>
      <c r="J816">
        <v>7.99</v>
      </c>
      <c r="K816">
        <f>Table1[[#This Row],[Target_product_price]]/Table1[[#This Row],[product_price_per_oz]]</f>
        <v>0.49937500000000001</v>
      </c>
    </row>
    <row r="817" spans="1:11" x14ac:dyDescent="0.2">
      <c r="A817" t="s">
        <v>2368</v>
      </c>
      <c r="B817" t="s">
        <v>2369</v>
      </c>
      <c r="C817" s="4" t="s">
        <v>2370</v>
      </c>
      <c r="D817" t="str">
        <f>SUBSTITUTE(Table1[[#This Row],[Target_product_name]], "oz", " oz")</f>
        <v>Oscar Mayer Bologna Sliced Lunch Meat - 16 oz</v>
      </c>
      <c r="E817" t="str">
        <f>TRIM(RIGHT(C817, LEN(C817) - FIND("-", C817)))</f>
        <v>16oz</v>
      </c>
      <c r="F817" t="str">
        <f>LEFT(Table1[[#This Row],[Target_product_quantity]], FIND("o", Table1[[#This Row],[Target_product_quantity]])-1)</f>
        <v>16</v>
      </c>
      <c r="G817" t="str" cm="1">
        <f t="array" ref="G817">_xlfn.TEXTJOIN("", TRUE, IF(ISNUMBER(SEARCH($K$1010:$K$1054, C817)), $K$1010:$K$1054, ""))</f>
        <v>Oscar Mayer</v>
      </c>
      <c r="H817" t="str">
        <f t="shared" si="43"/>
        <v>Protein</v>
      </c>
      <c r="I817" t="str">
        <f t="shared" si="44"/>
        <v>Protein</v>
      </c>
      <c r="J817">
        <v>2.99</v>
      </c>
      <c r="K817">
        <f>Table1[[#This Row],[Target_product_price]]/Table1[[#This Row],[product_price_per_oz]]</f>
        <v>0.18687500000000001</v>
      </c>
    </row>
    <row r="818" spans="1:11" x14ac:dyDescent="0.2">
      <c r="A818" t="s">
        <v>2371</v>
      </c>
      <c r="B818" t="s">
        <v>2372</v>
      </c>
      <c r="C818" s="4" t="s">
        <v>2373</v>
      </c>
      <c r="D818" t="str">
        <f>SUBSTITUTE(Table1[[#This Row],[Target_product_name]], "oz", " oz")</f>
        <v>Oscar Mayer Bun-Length Beef Franks Hot Dogs - 15 oz/8ct</v>
      </c>
      <c r="E818" t="s">
        <v>2374</v>
      </c>
      <c r="F818" t="str">
        <f>LEFT(Table1[[#This Row],[Target_product_quantity]], FIND("o", Table1[[#This Row],[Target_product_quantity]])-1)</f>
        <v>120</v>
      </c>
      <c r="G818" t="str" cm="1">
        <f t="array" ref="G818">_xlfn.TEXTJOIN("", TRUE, IF(ISNUMBER(SEARCH($K$1010:$K$1054, C818)), $K$1010:$K$1054, ""))</f>
        <v>Oscar Mayer</v>
      </c>
      <c r="H818" t="str">
        <f t="shared" si="43"/>
        <v>Protein</v>
      </c>
      <c r="I818" t="str">
        <f t="shared" si="44"/>
        <v>Protein</v>
      </c>
      <c r="J818">
        <v>5.39</v>
      </c>
      <c r="K818">
        <f>Table1[[#This Row],[Target_product_price]]/Table1[[#This Row],[product_price_per_oz]]</f>
        <v>4.4916666666666667E-2</v>
      </c>
    </row>
    <row r="819" spans="1:11" x14ac:dyDescent="0.2">
      <c r="A819" t="s">
        <v>2375</v>
      </c>
      <c r="B819" t="s">
        <v>2376</v>
      </c>
      <c r="C819" s="4" t="s">
        <v>2377</v>
      </c>
      <c r="D819" t="str">
        <f>SUBSTITUTE(Table1[[#This Row],[Target_product_name]], "oz", " oz")</f>
        <v>Oscar Mayer Carving Board Oven Roasted Turkey Breast Sliced Lunch Meat - 7.5 oz</v>
      </c>
      <c r="E819" t="str">
        <f t="shared" ref="E819:E834" si="47">TRIM(RIGHT(C819, LEN(C819) - FIND("-", C819)))</f>
        <v>7.5oz</v>
      </c>
      <c r="F819" t="str">
        <f>LEFT(Table1[[#This Row],[Target_product_quantity]], FIND("o", Table1[[#This Row],[Target_product_quantity]])-1)</f>
        <v>7.5</v>
      </c>
      <c r="G819" t="str" cm="1">
        <f t="array" ref="G819">_xlfn.TEXTJOIN("", TRUE, IF(ISNUMBER(SEARCH($K$1010:$K$1054, C819)), $K$1010:$K$1054, ""))</f>
        <v>Oscar Mayer</v>
      </c>
      <c r="H819" t="str">
        <f t="shared" si="43"/>
        <v>Protein</v>
      </c>
      <c r="I819" t="str">
        <f t="shared" si="44"/>
        <v>Protein</v>
      </c>
      <c r="J819">
        <v>4.79</v>
      </c>
      <c r="K819">
        <f>Table1[[#This Row],[Target_product_price]]/Table1[[#This Row],[product_price_per_oz]]</f>
        <v>0.63866666666666672</v>
      </c>
    </row>
    <row r="820" spans="1:11" x14ac:dyDescent="0.2">
      <c r="A820" t="s">
        <v>2378</v>
      </c>
      <c r="B820" t="s">
        <v>2379</v>
      </c>
      <c r="C820" s="4" t="s">
        <v>2380</v>
      </c>
      <c r="D820" t="str">
        <f>SUBSTITUTE(Table1[[#This Row],[Target_product_name]], "oz", " oz")</f>
        <v>Oscar Mayer Carving Board Slow Cooked Ham Sliced Lunch Meat - 7.5 oz</v>
      </c>
      <c r="E820" t="str">
        <f t="shared" si="47"/>
        <v>7.5oz</v>
      </c>
      <c r="F820" t="str">
        <f>LEFT(Table1[[#This Row],[Target_product_quantity]], FIND("o", Table1[[#This Row],[Target_product_quantity]])-1)</f>
        <v>7.5</v>
      </c>
      <c r="G820" t="str" cm="1">
        <f t="array" ref="G820">_xlfn.TEXTJOIN("", TRUE, IF(ISNUMBER(SEARCH($K$1010:$K$1054, C820)), $K$1010:$K$1054, ""))</f>
        <v>Oscar Mayer</v>
      </c>
      <c r="H820" t="str">
        <f t="shared" si="43"/>
        <v>Protein</v>
      </c>
      <c r="I820" t="str">
        <f t="shared" si="44"/>
        <v>Protein</v>
      </c>
      <c r="J820">
        <v>4.79</v>
      </c>
      <c r="K820">
        <f>Table1[[#This Row],[Target_product_price]]/Table1[[#This Row],[product_price_per_oz]]</f>
        <v>0.63866666666666672</v>
      </c>
    </row>
    <row r="821" spans="1:11" x14ac:dyDescent="0.2">
      <c r="A821" t="s">
        <v>2381</v>
      </c>
      <c r="B821" t="s">
        <v>2382</v>
      </c>
      <c r="C821" s="4" t="s">
        <v>2383</v>
      </c>
      <c r="D821" t="str">
        <f>SUBSTITUTE(Table1[[#This Row],[Target_product_name]], "oz", " oz")</f>
        <v>Oscar Mayer Deli Fresh Cracked Black Pepper Turkey Breast Sliced Lunch Meat - 8 oz</v>
      </c>
      <c r="E821" t="str">
        <f t="shared" si="47"/>
        <v>8oz</v>
      </c>
      <c r="F821" t="str">
        <f>LEFT(Table1[[#This Row],[Target_product_quantity]], FIND("o", Table1[[#This Row],[Target_product_quantity]])-1)</f>
        <v>8</v>
      </c>
      <c r="G821" t="str" cm="1">
        <f t="array" ref="G821">_xlfn.TEXTJOIN("", TRUE, IF(ISNUMBER(SEARCH($K$1010:$K$1054, C821)), $K$1010:$K$1054, ""))</f>
        <v>Oscar Mayer</v>
      </c>
      <c r="H821" t="str">
        <f t="shared" si="43"/>
        <v>Protein</v>
      </c>
      <c r="I821" t="str">
        <f t="shared" si="44"/>
        <v>Protein</v>
      </c>
      <c r="J821">
        <v>4.79</v>
      </c>
      <c r="K821">
        <f>Table1[[#This Row],[Target_product_price]]/Table1[[#This Row],[product_price_per_oz]]</f>
        <v>0.59875</v>
      </c>
    </row>
    <row r="822" spans="1:11" x14ac:dyDescent="0.2">
      <c r="A822" t="s">
        <v>2384</v>
      </c>
      <c r="B822" t="s">
        <v>2385</v>
      </c>
      <c r="C822" s="4" t="s">
        <v>2386</v>
      </c>
      <c r="D822" t="str">
        <f>SUBSTITUTE(Table1[[#This Row],[Target_product_name]], "oz", " oz")</f>
        <v>Oscar Mayer Deli Fresh Honey Smoked Turkey Breast Sliced Lunch Meat - 9 oz</v>
      </c>
      <c r="E822" t="str">
        <f t="shared" si="47"/>
        <v>9oz</v>
      </c>
      <c r="F822" t="str">
        <f>LEFT(Table1[[#This Row],[Target_product_quantity]], FIND("o", Table1[[#This Row],[Target_product_quantity]])-1)</f>
        <v>9</v>
      </c>
      <c r="G822" t="str" cm="1">
        <f t="array" ref="G822">_xlfn.TEXTJOIN("", TRUE, IF(ISNUMBER(SEARCH($K$1010:$K$1054, C822)), $K$1010:$K$1054, ""))</f>
        <v>Oscar Mayer</v>
      </c>
      <c r="H822" t="str">
        <f t="shared" si="43"/>
        <v>Protein</v>
      </c>
      <c r="I822" t="str">
        <f t="shared" si="44"/>
        <v>Protein</v>
      </c>
      <c r="J822">
        <v>4.79</v>
      </c>
      <c r="K822">
        <f>Table1[[#This Row],[Target_product_price]]/Table1[[#This Row],[product_price_per_oz]]</f>
        <v>0.53222222222222226</v>
      </c>
    </row>
    <row r="823" spans="1:11" x14ac:dyDescent="0.2">
      <c r="A823" t="s">
        <v>2387</v>
      </c>
      <c r="B823" t="s">
        <v>2388</v>
      </c>
      <c r="C823" s="4" t="s">
        <v>2389</v>
      </c>
      <c r="D823" t="str">
        <f>SUBSTITUTE(Table1[[#This Row],[Target_product_name]], "oz", " oz")</f>
        <v>Oscar Mayer Deli Fresh Honey Smoked Turkey Breast Sliced Lunch Meat Family Size - 16 oz</v>
      </c>
      <c r="E823" t="str">
        <f t="shared" si="47"/>
        <v>16oz</v>
      </c>
      <c r="F823" t="str">
        <f>LEFT(Table1[[#This Row],[Target_product_quantity]], FIND("o", Table1[[#This Row],[Target_product_quantity]])-1)</f>
        <v>16</v>
      </c>
      <c r="G823" t="str" cm="1">
        <f t="array" ref="G823">_xlfn.TEXTJOIN("", TRUE, IF(ISNUMBER(SEARCH($K$1010:$K$1054, C823)), $K$1010:$K$1054, ""))</f>
        <v>Oscar Mayer</v>
      </c>
      <c r="H823" t="str">
        <f t="shared" si="43"/>
        <v>Protein</v>
      </c>
      <c r="I823" t="str">
        <f t="shared" si="44"/>
        <v>Protein</v>
      </c>
      <c r="J823">
        <v>7.39</v>
      </c>
      <c r="K823">
        <f>Table1[[#This Row],[Target_product_price]]/Table1[[#This Row],[product_price_per_oz]]</f>
        <v>0.46187499999999998</v>
      </c>
    </row>
    <row r="824" spans="1:11" x14ac:dyDescent="0.2">
      <c r="A824" t="s">
        <v>2390</v>
      </c>
      <c r="B824" t="s">
        <v>2391</v>
      </c>
      <c r="C824" s="4" t="s">
        <v>2392</v>
      </c>
      <c r="D824" t="str">
        <f>SUBSTITUTE(Table1[[#This Row],[Target_product_name]], "oz", " oz")</f>
        <v>Oscar Mayer Deli Fresh Honey Uncured Ham Sliced Lunch Meat - 9 oz</v>
      </c>
      <c r="E824" t="str">
        <f t="shared" si="47"/>
        <v>9oz</v>
      </c>
      <c r="F824" t="str">
        <f>LEFT(Table1[[#This Row],[Target_product_quantity]], FIND("o", Table1[[#This Row],[Target_product_quantity]])-1)</f>
        <v>9</v>
      </c>
      <c r="G824" t="str" cm="1">
        <f t="array" ref="G824">_xlfn.TEXTJOIN("", TRUE, IF(ISNUMBER(SEARCH($K$1010:$K$1054, C824)), $K$1010:$K$1054, ""))</f>
        <v>Oscar Mayer</v>
      </c>
      <c r="H824" t="str">
        <f t="shared" si="43"/>
        <v>Protein</v>
      </c>
      <c r="I824" t="str">
        <f t="shared" si="44"/>
        <v>Protein</v>
      </c>
      <c r="J824">
        <v>4.79</v>
      </c>
      <c r="K824">
        <f>Table1[[#This Row],[Target_product_price]]/Table1[[#This Row],[product_price_per_oz]]</f>
        <v>0.53222222222222226</v>
      </c>
    </row>
    <row r="825" spans="1:11" x14ac:dyDescent="0.2">
      <c r="A825" t="s">
        <v>2393</v>
      </c>
      <c r="B825" t="s">
        <v>2394</v>
      </c>
      <c r="C825" s="4" t="s">
        <v>2395</v>
      </c>
      <c r="D825" t="str">
        <f>SUBSTITUTE(Table1[[#This Row],[Target_product_name]], "oz", " oz")</f>
        <v>Oscar Mayer Deli Fresh Honey Uncured Ham Sliced Lunch Meat Family Size - 16 oz</v>
      </c>
      <c r="E825" t="str">
        <f t="shared" si="47"/>
        <v>16oz</v>
      </c>
      <c r="F825" t="str">
        <f>LEFT(Table1[[#This Row],[Target_product_quantity]], FIND("o", Table1[[#This Row],[Target_product_quantity]])-1)</f>
        <v>16</v>
      </c>
      <c r="G825" t="str" cm="1">
        <f t="array" ref="G825">_xlfn.TEXTJOIN("", TRUE, IF(ISNUMBER(SEARCH($K$1010:$K$1054, C825)), $K$1010:$K$1054, ""))</f>
        <v>Oscar Mayer</v>
      </c>
      <c r="H825" t="str">
        <f t="shared" si="43"/>
        <v>Protein</v>
      </c>
      <c r="I825" t="str">
        <f t="shared" si="44"/>
        <v>Protein</v>
      </c>
      <c r="J825">
        <v>7.39</v>
      </c>
      <c r="K825">
        <f>Table1[[#This Row],[Target_product_price]]/Table1[[#This Row],[product_price_per_oz]]</f>
        <v>0.46187499999999998</v>
      </c>
    </row>
    <row r="826" spans="1:11" x14ac:dyDescent="0.2">
      <c r="A826" t="s">
        <v>2396</v>
      </c>
      <c r="B826" t="s">
        <v>2397</v>
      </c>
      <c r="C826" s="4" t="s">
        <v>2398</v>
      </c>
      <c r="D826" t="str">
        <f>SUBSTITUTE(Table1[[#This Row],[Target_product_name]], "oz", " oz")</f>
        <v>Oscar Mayer Deli Fresh Mesquite Smoked Turkey Breast Sliced Lunch Meat - 8 oz</v>
      </c>
      <c r="E826" t="str">
        <f t="shared" si="47"/>
        <v>8oz</v>
      </c>
      <c r="F826" t="str">
        <f>LEFT(Table1[[#This Row],[Target_product_quantity]], FIND("o", Table1[[#This Row],[Target_product_quantity]])-1)</f>
        <v>8</v>
      </c>
      <c r="G826" t="str" cm="1">
        <f t="array" ref="G826">_xlfn.TEXTJOIN("", TRUE, IF(ISNUMBER(SEARCH($K$1010:$K$1054, C826)), $K$1010:$K$1054, ""))</f>
        <v>Oscar Mayer</v>
      </c>
      <c r="H826" t="str">
        <f t="shared" si="43"/>
        <v>Protein</v>
      </c>
      <c r="I826" t="str">
        <f t="shared" si="44"/>
        <v>Protein</v>
      </c>
      <c r="J826">
        <v>4.79</v>
      </c>
      <c r="K826">
        <f>Table1[[#This Row],[Target_product_price]]/Table1[[#This Row],[product_price_per_oz]]</f>
        <v>0.59875</v>
      </c>
    </row>
    <row r="827" spans="1:11" x14ac:dyDescent="0.2">
      <c r="A827" t="s">
        <v>2399</v>
      </c>
      <c r="B827" t="s">
        <v>2400</v>
      </c>
      <c r="C827" s="4" t="s">
        <v>2401</v>
      </c>
      <c r="D827" t="str">
        <f>SUBSTITUTE(Table1[[#This Row],[Target_product_name]], "oz", " oz")</f>
        <v>Oscar Mayer Deli Fresh Oven Roasted Turkey Breast Sliced Lunch Meat - 9 oz</v>
      </c>
      <c r="E827" t="str">
        <f t="shared" si="47"/>
        <v>9oz</v>
      </c>
      <c r="F827" t="str">
        <f>LEFT(Table1[[#This Row],[Target_product_quantity]], FIND("o", Table1[[#This Row],[Target_product_quantity]])-1)</f>
        <v>9</v>
      </c>
      <c r="G827" t="str" cm="1">
        <f t="array" ref="G827">_xlfn.TEXTJOIN("", TRUE, IF(ISNUMBER(SEARCH($K$1010:$K$1054, C827)), $K$1010:$K$1054, ""))</f>
        <v>Oscar Mayer</v>
      </c>
      <c r="H827" t="str">
        <f t="shared" si="43"/>
        <v>Protein</v>
      </c>
      <c r="I827" t="str">
        <f t="shared" si="44"/>
        <v>Protein</v>
      </c>
      <c r="J827">
        <v>4.79</v>
      </c>
      <c r="K827">
        <f>Table1[[#This Row],[Target_product_price]]/Table1[[#This Row],[product_price_per_oz]]</f>
        <v>0.53222222222222226</v>
      </c>
    </row>
    <row r="828" spans="1:11" x14ac:dyDescent="0.2">
      <c r="A828" t="s">
        <v>2402</v>
      </c>
      <c r="B828" t="s">
        <v>2403</v>
      </c>
      <c r="C828" s="4" t="s">
        <v>2404</v>
      </c>
      <c r="D828" t="str">
        <f>SUBSTITUTE(Table1[[#This Row],[Target_product_name]], "oz", " oz")</f>
        <v>Oscar Mayer Deli Fresh Oven Roasted Turkey Breast Sliced Lunch Meat Family Size - 16 oz</v>
      </c>
      <c r="E828" t="str">
        <f t="shared" si="47"/>
        <v>16oz</v>
      </c>
      <c r="F828" t="str">
        <f>LEFT(Table1[[#This Row],[Target_product_quantity]], FIND("o", Table1[[#This Row],[Target_product_quantity]])-1)</f>
        <v>16</v>
      </c>
      <c r="G828" t="str" cm="1">
        <f t="array" ref="G828">_xlfn.TEXTJOIN("", TRUE, IF(ISNUMBER(SEARCH($K$1010:$K$1054, C828)), $K$1010:$K$1054, ""))</f>
        <v>Oscar Mayer</v>
      </c>
      <c r="H828" t="str">
        <f t="shared" si="43"/>
        <v>Protein</v>
      </c>
      <c r="I828" t="str">
        <f t="shared" si="44"/>
        <v>Protein</v>
      </c>
      <c r="J828">
        <v>7.39</v>
      </c>
      <c r="K828">
        <f>Table1[[#This Row],[Target_product_price]]/Table1[[#This Row],[product_price_per_oz]]</f>
        <v>0.46187499999999998</v>
      </c>
    </row>
    <row r="829" spans="1:11" x14ac:dyDescent="0.2">
      <c r="A829" t="s">
        <v>2405</v>
      </c>
      <c r="B829" t="s">
        <v>2406</v>
      </c>
      <c r="C829" s="4" t="s">
        <v>2407</v>
      </c>
      <c r="D829" t="str">
        <f>SUBSTITUTE(Table1[[#This Row],[Target_product_name]], "oz", " oz")</f>
        <v>Oscar Mayer Deli Fresh Oven Roasted Turkey Breast Sliced Lunch Meat Mega Pack - 22 oz</v>
      </c>
      <c r="E829" t="str">
        <f t="shared" si="47"/>
        <v>22oz</v>
      </c>
      <c r="F829" t="str">
        <f>LEFT(Table1[[#This Row],[Target_product_quantity]], FIND("o", Table1[[#This Row],[Target_product_quantity]])-1)</f>
        <v>22</v>
      </c>
      <c r="G829" t="str" cm="1">
        <f t="array" ref="G829">_xlfn.TEXTJOIN("", TRUE, IF(ISNUMBER(SEARCH($K$1010:$K$1054, C829)), $K$1010:$K$1054, ""))</f>
        <v>Oscar Mayer</v>
      </c>
      <c r="H829" t="str">
        <f t="shared" si="43"/>
        <v>Protein</v>
      </c>
      <c r="I829" t="str">
        <f t="shared" si="44"/>
        <v>Protein</v>
      </c>
      <c r="J829">
        <v>11.19</v>
      </c>
      <c r="K829">
        <f>Table1[[#This Row],[Target_product_price]]/Table1[[#This Row],[product_price_per_oz]]</f>
        <v>0.50863636363636366</v>
      </c>
    </row>
    <row r="830" spans="1:11" x14ac:dyDescent="0.2">
      <c r="A830" t="s">
        <v>2408</v>
      </c>
      <c r="B830" t="s">
        <v>2409</v>
      </c>
      <c r="C830" s="4" t="s">
        <v>2410</v>
      </c>
      <c r="D830" t="str">
        <f>SUBSTITUTE(Table1[[#This Row],[Target_product_name]], "oz", " oz")</f>
        <v>Oscar Mayer Deli Fresh Rotisserie Seasoned Chicken Breast Sliced Lunch Meat - 9 oz</v>
      </c>
      <c r="E830" t="str">
        <f t="shared" si="47"/>
        <v>9oz</v>
      </c>
      <c r="F830" t="str">
        <f>LEFT(Table1[[#This Row],[Target_product_quantity]], FIND("o", Table1[[#This Row],[Target_product_quantity]])-1)</f>
        <v>9</v>
      </c>
      <c r="G830" t="str" cm="1">
        <f t="array" ref="G830">_xlfn.TEXTJOIN("", TRUE, IF(ISNUMBER(SEARCH($K$1010:$K$1054, C830)), $K$1010:$K$1054, ""))</f>
        <v>Oscar Mayer</v>
      </c>
      <c r="H830" t="str">
        <f t="shared" si="43"/>
        <v>Protein</v>
      </c>
      <c r="I830" t="str">
        <f t="shared" si="44"/>
        <v>Protein</v>
      </c>
      <c r="J830">
        <v>4.79</v>
      </c>
      <c r="K830">
        <f>Table1[[#This Row],[Target_product_price]]/Table1[[#This Row],[product_price_per_oz]]</f>
        <v>0.53222222222222226</v>
      </c>
    </row>
    <row r="831" spans="1:11" x14ac:dyDescent="0.2">
      <c r="A831" t="s">
        <v>2411</v>
      </c>
      <c r="B831" t="s">
        <v>2412</v>
      </c>
      <c r="C831" s="4" t="s">
        <v>2413</v>
      </c>
      <c r="D831" t="str">
        <f>SUBSTITUTE(Table1[[#This Row],[Target_product_name]], "oz", " oz")</f>
        <v>Oscar Mayer Deli Fresh Rotisserie Seasoned Chicken Breast Sliced Lunch Meat Family Size - 16 oz</v>
      </c>
      <c r="E831" t="str">
        <f t="shared" si="47"/>
        <v>16oz</v>
      </c>
      <c r="F831" t="str">
        <f>LEFT(Table1[[#This Row],[Target_product_quantity]], FIND("o", Table1[[#This Row],[Target_product_quantity]])-1)</f>
        <v>16</v>
      </c>
      <c r="G831" t="str" cm="1">
        <f t="array" ref="G831">_xlfn.TEXTJOIN("", TRUE, IF(ISNUMBER(SEARCH($K$1010:$K$1054, C831)), $K$1010:$K$1054, ""))</f>
        <v>Oscar Mayer</v>
      </c>
      <c r="H831" t="str">
        <f t="shared" si="43"/>
        <v>Protein</v>
      </c>
      <c r="I831" t="str">
        <f t="shared" si="44"/>
        <v>Protein</v>
      </c>
      <c r="J831">
        <v>7.39</v>
      </c>
      <c r="K831">
        <f>Table1[[#This Row],[Target_product_price]]/Table1[[#This Row],[product_price_per_oz]]</f>
        <v>0.46187499999999998</v>
      </c>
    </row>
    <row r="832" spans="1:11" x14ac:dyDescent="0.2">
      <c r="A832" t="s">
        <v>2414</v>
      </c>
      <c r="B832" t="s">
        <v>2415</v>
      </c>
      <c r="C832" s="4" t="s">
        <v>2416</v>
      </c>
      <c r="D832" t="str">
        <f>SUBSTITUTE(Table1[[#This Row],[Target_product_name]], "oz", " oz")</f>
        <v>Oscar Mayer Deli Fresh Slow Roasted Roast Beef Sliced Lunch Meat - 7 oz</v>
      </c>
      <c r="E832" t="str">
        <f t="shared" si="47"/>
        <v>7oz</v>
      </c>
      <c r="F832" t="str">
        <f>LEFT(Table1[[#This Row],[Target_product_quantity]], FIND("o", Table1[[#This Row],[Target_product_quantity]])-1)</f>
        <v>7</v>
      </c>
      <c r="G832" t="str" cm="1">
        <f t="array" ref="G832">_xlfn.TEXTJOIN("", TRUE, IF(ISNUMBER(SEARCH($K$1010:$K$1054, C832)), $K$1010:$K$1054, ""))</f>
        <v>Oscar Mayer</v>
      </c>
      <c r="H832" t="str">
        <f t="shared" si="43"/>
        <v>Protein</v>
      </c>
      <c r="I832" t="str">
        <f t="shared" si="44"/>
        <v>Protein</v>
      </c>
      <c r="J832">
        <v>4.79</v>
      </c>
      <c r="K832">
        <f>Table1[[#This Row],[Target_product_price]]/Table1[[#This Row],[product_price_per_oz]]</f>
        <v>0.68428571428571427</v>
      </c>
    </row>
    <row r="833" spans="1:11" x14ac:dyDescent="0.2">
      <c r="A833" t="s">
        <v>2417</v>
      </c>
      <c r="B833" t="s">
        <v>2418</v>
      </c>
      <c r="C833" s="4" t="s">
        <v>2419</v>
      </c>
      <c r="D833" t="str">
        <f>SUBSTITUTE(Table1[[#This Row],[Target_product_name]], "oz", " oz")</f>
        <v>Oscar Mayer Deli Fresh Smoked Uncured Ham Sliced Lunch Meat - 9 oz</v>
      </c>
      <c r="E833" t="str">
        <f t="shared" si="47"/>
        <v>9oz</v>
      </c>
      <c r="F833" t="str">
        <f>LEFT(Table1[[#This Row],[Target_product_quantity]], FIND("o", Table1[[#This Row],[Target_product_quantity]])-1)</f>
        <v>9</v>
      </c>
      <c r="G833" t="str" cm="1">
        <f t="array" ref="G833">_xlfn.TEXTJOIN("", TRUE, IF(ISNUMBER(SEARCH($K$1010:$K$1054, C833)), $K$1010:$K$1054, ""))</f>
        <v>Oscar Mayer</v>
      </c>
      <c r="H833" t="str">
        <f t="shared" si="43"/>
        <v>Protein</v>
      </c>
      <c r="I833" t="str">
        <f t="shared" si="44"/>
        <v>Protein</v>
      </c>
      <c r="J833">
        <v>4.79</v>
      </c>
      <c r="K833">
        <f>Table1[[#This Row],[Target_product_price]]/Table1[[#This Row],[product_price_per_oz]]</f>
        <v>0.53222222222222226</v>
      </c>
    </row>
    <row r="834" spans="1:11" x14ac:dyDescent="0.2">
      <c r="A834" t="s">
        <v>2420</v>
      </c>
      <c r="B834" t="s">
        <v>2421</v>
      </c>
      <c r="C834" t="s">
        <v>2422</v>
      </c>
      <c r="D834" t="str">
        <f>SUBSTITUTE(Table1[[#This Row],[Target_product_name]], "oz", " oz")</f>
        <v>Oscar Mayer Herbs Roasted Chicken Strips - 6 oz</v>
      </c>
      <c r="E834" t="str">
        <f t="shared" si="47"/>
        <v>6oz</v>
      </c>
      <c r="F834" t="str">
        <f>LEFT(Table1[[#This Row],[Target_product_quantity]], FIND("o", Table1[[#This Row],[Target_product_quantity]])-1)</f>
        <v>6</v>
      </c>
      <c r="G834" t="str" cm="1">
        <f t="array" ref="G834">_xlfn.TEXTJOIN("", TRUE, IF(ISNUMBER(SEARCH($K$1010:$K$1054, C834)), $K$1010:$K$1054, ""))</f>
        <v>Oscar Mayer</v>
      </c>
      <c r="H834" t="str">
        <f t="shared" ref="H834:H897" si="48">IF(OR(G834="Mission",G834="Nature's Own",G834="Sara Lee"),"Bread",
IF(OR(G834="Del Monte",G834="Dole",G834="Mott's"),"Canned Fruit",
IF(OR(G834="Goya",G834="Hunt's",G834="Birds Eye"),"Canned Vegetables",
IF(OR(G834="Fairlife",G834="Horizon Organic",G834="Lactaid",G834="Ben &amp; Jerry's"),"Milk",
IF(OR(G834="BelGioioso",G834="Kraft",G834="Philadelphia"),"Cheese",
IF(OR(G834="Chobani",G834="Oikos",G834="Light + Fit"),"Yogurt",
IF(OR(G834="Barilla",G834="Annie's",G834="Rao's Homemade"),"Pasta",
IF(OR(G834="Hershey's",G834="Lay's",G834="Totino's",G834="Cheerios",G834="Jif",G834="Skippy",G834="Nature Valley",G834="Oreo",G834="DiGiorno",G834="Eggo"),"Prepared Food",
IF(OR(G834="Ben's Original",G834="Lundberg",G834="Quaker"),"Rice",
IF(OR(G834="Bush's",G834="Hillshire Farm",G834="Oscar Mayer",G834="SPAM"),"Protein",
IF(OR(G834="Starbucks",G834="Sparkling Ice",G834="Coca-Cola",G834="San Pellegrino",G834="Gatorade",G834="Arizona"),"Beverages",
"Other")))))))))))</f>
        <v>Protein</v>
      </c>
      <c r="I834" t="str">
        <f t="shared" ref="I834:I897" si="49">IF(OR(H834="Bread",H834="Rice",H834="Pasta"), "Grain",
IF(OR(H834="Milk",H834="Cheese",H834="Yogurt"), "Dairy",
IF(OR(H834="Canned Fruit",H834="Canned Vegetables"), "Fruit &amp; Vegetables",
IF(H834="Prepared Food", "Prepared Food",
IF(H834="Protein", "Protein",
IF(H834="Beverages", "Beverages",
"Other"))))))</f>
        <v>Protein</v>
      </c>
      <c r="J834">
        <v>4.79</v>
      </c>
      <c r="K834">
        <f>Table1[[#This Row],[Target_product_price]]/Table1[[#This Row],[product_price_per_oz]]</f>
        <v>0.79833333333333334</v>
      </c>
    </row>
    <row r="835" spans="1:11" x14ac:dyDescent="0.2">
      <c r="A835" t="s">
        <v>2423</v>
      </c>
      <c r="B835" t="s">
        <v>2424</v>
      </c>
      <c r="C835" s="4" t="s">
        <v>2425</v>
      </c>
      <c r="D835" t="str">
        <f>SUBSTITUTE(Table1[[#This Row],[Target_product_name]], "oz", " oz")</f>
        <v>Oscar Mayer Natural Uncured Turkey Franks Hot Dogs - 16 oz/8ct</v>
      </c>
      <c r="E835" t="s">
        <v>2045</v>
      </c>
      <c r="F835" t="str">
        <f>LEFT(Table1[[#This Row],[Target_product_quantity]], FIND("o", Table1[[#This Row],[Target_product_quantity]])-1)</f>
        <v>128</v>
      </c>
      <c r="G835" t="str" cm="1">
        <f t="array" ref="G835">_xlfn.TEXTJOIN("", TRUE, IF(ISNUMBER(SEARCH($K$1010:$K$1054, C835)), $K$1010:$K$1054, ""))</f>
        <v>Oscar Mayer</v>
      </c>
      <c r="H835" t="str">
        <f t="shared" si="48"/>
        <v>Protein</v>
      </c>
      <c r="I835" t="str">
        <f t="shared" si="49"/>
        <v>Protein</v>
      </c>
      <c r="J835">
        <v>6.39</v>
      </c>
      <c r="K835">
        <f>Table1[[#This Row],[Target_product_price]]/Table1[[#This Row],[product_price_per_oz]]</f>
        <v>4.9921874999999998E-2</v>
      </c>
    </row>
    <row r="836" spans="1:11" x14ac:dyDescent="0.2">
      <c r="A836" t="s">
        <v>2426</v>
      </c>
      <c r="B836" t="s">
        <v>2427</v>
      </c>
      <c r="C836" s="4" t="s">
        <v>2428</v>
      </c>
      <c r="D836" t="str">
        <f>SUBSTITUTE(Table1[[#This Row],[Target_product_name]], "oz", " oz")</f>
        <v>Oscar Mayer Original Classic Beef Franks Hot Dogs - 15 oz/10ct</v>
      </c>
      <c r="E836" t="s">
        <v>2429</v>
      </c>
      <c r="F836" t="str">
        <f>LEFT(Table1[[#This Row],[Target_product_quantity]], FIND("o", Table1[[#This Row],[Target_product_quantity]])-1)</f>
        <v>150</v>
      </c>
      <c r="G836" t="str" cm="1">
        <f t="array" ref="G836">_xlfn.TEXTJOIN("", TRUE, IF(ISNUMBER(SEARCH($K$1010:$K$1054, C836)), $K$1010:$K$1054, ""))</f>
        <v>Oscar Mayer</v>
      </c>
      <c r="H836" t="str">
        <f t="shared" si="48"/>
        <v>Protein</v>
      </c>
      <c r="I836" t="str">
        <f t="shared" si="49"/>
        <v>Protein</v>
      </c>
      <c r="J836">
        <v>5.39</v>
      </c>
      <c r="K836">
        <f>Table1[[#This Row],[Target_product_price]]/Table1[[#This Row],[product_price_per_oz]]</f>
        <v>3.5933333333333331E-2</v>
      </c>
    </row>
    <row r="837" spans="1:11" x14ac:dyDescent="0.2">
      <c r="A837" t="s">
        <v>2430</v>
      </c>
      <c r="B837" t="s">
        <v>2431</v>
      </c>
      <c r="C837" s="4" t="s">
        <v>2432</v>
      </c>
      <c r="D837" t="str">
        <f>SUBSTITUTE(Table1[[#This Row],[Target_product_name]], "oz", " oz")</f>
        <v>Oscar Mayer Turkey Bacon - 12 oz</v>
      </c>
      <c r="E837" t="str">
        <f>TRIM(RIGHT(C837, LEN(C837) - FIND("-", C837)))</f>
        <v>12oz</v>
      </c>
      <c r="F837" t="str">
        <f>LEFT(Table1[[#This Row],[Target_product_quantity]], FIND("o", Table1[[#This Row],[Target_product_quantity]])-1)</f>
        <v>12</v>
      </c>
      <c r="G837" t="str" cm="1">
        <f t="array" ref="G837">_xlfn.TEXTJOIN("", TRUE, IF(ISNUMBER(SEARCH($K$1010:$K$1054, C837)), $K$1010:$K$1054, ""))</f>
        <v>Oscar Mayer</v>
      </c>
      <c r="H837" t="str">
        <f t="shared" si="48"/>
        <v>Protein</v>
      </c>
      <c r="I837" t="str">
        <f t="shared" si="49"/>
        <v>Protein</v>
      </c>
      <c r="J837">
        <v>4.79</v>
      </c>
      <c r="K837">
        <f>Table1[[#This Row],[Target_product_price]]/Table1[[#This Row],[product_price_per_oz]]</f>
        <v>0.39916666666666667</v>
      </c>
    </row>
    <row r="838" spans="1:11" x14ac:dyDescent="0.2">
      <c r="A838" t="s">
        <v>2433</v>
      </c>
      <c r="B838" t="s">
        <v>2434</v>
      </c>
      <c r="C838" t="s">
        <v>2435</v>
      </c>
      <c r="D838" t="str">
        <f>SUBSTITUTE(Table1[[#This Row],[Target_product_name]], "oz", " oz")</f>
        <v>Oscar Mayer Turkey Franks - 16 oz/10ct</v>
      </c>
      <c r="E838" t="s">
        <v>2037</v>
      </c>
      <c r="F838" t="str">
        <f>LEFT(Table1[[#This Row],[Target_product_quantity]], FIND("o", Table1[[#This Row],[Target_product_quantity]])-1)</f>
        <v>160</v>
      </c>
      <c r="G838" t="str" cm="1">
        <f t="array" ref="G838">_xlfn.TEXTJOIN("", TRUE, IF(ISNUMBER(SEARCH($K$1010:$K$1054, C838)), $K$1010:$K$1054, ""))</f>
        <v>Oscar Mayer</v>
      </c>
      <c r="H838" t="str">
        <f t="shared" si="48"/>
        <v>Protein</v>
      </c>
      <c r="I838" t="str">
        <f t="shared" si="49"/>
        <v>Protein</v>
      </c>
      <c r="J838">
        <v>4.1900000000000004</v>
      </c>
      <c r="K838">
        <f>Table1[[#This Row],[Target_product_price]]/Table1[[#This Row],[product_price_per_oz]]</f>
        <v>2.6187500000000002E-2</v>
      </c>
    </row>
    <row r="839" spans="1:11" x14ac:dyDescent="0.2">
      <c r="A839" t="s">
        <v>2436</v>
      </c>
      <c r="B839" t="s">
        <v>2437</v>
      </c>
      <c r="C839" t="s">
        <v>2438</v>
      </c>
      <c r="D839" t="str">
        <f>SUBSTITUTE(Table1[[#This Row],[Target_product_name]], "oz", " oz")</f>
        <v>Philadelphia Chive &amp; Onion Cream Cheese Spread  - 7.5 oz</v>
      </c>
      <c r="E839" t="str">
        <f>TRIM(RIGHT(C839, LEN(C839) - FIND("-", C839)))</f>
        <v>7.5oz</v>
      </c>
      <c r="F839" t="str">
        <f>LEFT(Table1[[#This Row],[Target_product_quantity]], FIND("o", Table1[[#This Row],[Target_product_quantity]])-1)</f>
        <v>7.5</v>
      </c>
      <c r="G839" t="str" cm="1">
        <f t="array" ref="G839">_xlfn.TEXTJOIN("", TRUE, IF(ISNUMBER(SEARCH($K$1010:$K$1054, C839)), $K$1010:$K$1054, ""))</f>
        <v>Philadelphia</v>
      </c>
      <c r="H839" t="str">
        <f t="shared" si="48"/>
        <v>Cheese</v>
      </c>
      <c r="I839" t="str">
        <f t="shared" si="49"/>
        <v>Dairy</v>
      </c>
      <c r="J839" s="4">
        <v>4.1900000000000004</v>
      </c>
      <c r="K839">
        <f>Table1[[#This Row],[Target_product_price]]/Table1[[#This Row],[product_price_per_oz]]</f>
        <v>0.55866666666666676</v>
      </c>
    </row>
    <row r="840" spans="1:11" x14ac:dyDescent="0.2">
      <c r="A840" t="s">
        <v>2439</v>
      </c>
      <c r="B840" t="s">
        <v>2440</v>
      </c>
      <c r="C840" t="s">
        <v>2441</v>
      </c>
      <c r="D840" t="str">
        <f>SUBSTITUTE(Table1[[#This Row],[Target_product_name]], "oz", " oz")</f>
        <v>Philadelphia Garden Vegetable Cream Cheese Spread - 7.5 oz</v>
      </c>
      <c r="E840" t="str">
        <f>TRIM(RIGHT(C840, LEN(C840) - FIND("-", C840)))</f>
        <v>7.5oz</v>
      </c>
      <c r="F840" t="str">
        <f>LEFT(Table1[[#This Row],[Target_product_quantity]], FIND("o", Table1[[#This Row],[Target_product_quantity]])-1)</f>
        <v>7.5</v>
      </c>
      <c r="G840" t="str" cm="1">
        <f t="array" ref="G840">_xlfn.TEXTJOIN("", TRUE, IF(ISNUMBER(SEARCH($K$1010:$K$1054, C840)), $K$1010:$K$1054, ""))</f>
        <v>Philadelphia</v>
      </c>
      <c r="H840" t="str">
        <f t="shared" si="48"/>
        <v>Cheese</v>
      </c>
      <c r="I840" t="str">
        <f t="shared" si="49"/>
        <v>Dairy</v>
      </c>
      <c r="J840" s="4">
        <v>4.1900000000000004</v>
      </c>
      <c r="K840">
        <f>Table1[[#This Row],[Target_product_price]]/Table1[[#This Row],[product_price_per_oz]]</f>
        <v>0.55866666666666676</v>
      </c>
    </row>
    <row r="841" spans="1:11" x14ac:dyDescent="0.2">
      <c r="A841" t="s">
        <v>2442</v>
      </c>
      <c r="B841" t="s">
        <v>2443</v>
      </c>
      <c r="C841" t="s">
        <v>2444</v>
      </c>
      <c r="D841" t="str">
        <f>SUBSTITUTE(Table1[[#This Row],[Target_product_name]], "oz", " oz")</f>
        <v>Philadelphia Honey Pecan Cream Cheese Spread - 7.5 oz</v>
      </c>
      <c r="E841" t="str">
        <f>TRIM(RIGHT(C841, LEN(C841) - FIND("-", C841)))</f>
        <v>7.5oz</v>
      </c>
      <c r="F841" t="str">
        <f>LEFT(Table1[[#This Row],[Target_product_quantity]], FIND("o", Table1[[#This Row],[Target_product_quantity]])-1)</f>
        <v>7.5</v>
      </c>
      <c r="G841" t="str" cm="1">
        <f t="array" ref="G841">_xlfn.TEXTJOIN("", TRUE, IF(ISNUMBER(SEARCH($K$1010:$K$1054, C841)), $K$1010:$K$1054, ""))</f>
        <v>Philadelphia</v>
      </c>
      <c r="H841" t="str">
        <f t="shared" si="48"/>
        <v>Cheese</v>
      </c>
      <c r="I841" t="str">
        <f t="shared" si="49"/>
        <v>Dairy</v>
      </c>
      <c r="J841" s="4">
        <v>4.1900000000000004</v>
      </c>
      <c r="K841">
        <f>Table1[[#This Row],[Target_product_price]]/Table1[[#This Row],[product_price_per_oz]]</f>
        <v>0.55866666666666676</v>
      </c>
    </row>
    <row r="842" spans="1:11" x14ac:dyDescent="0.2">
      <c r="A842" t="s">
        <v>2445</v>
      </c>
      <c r="B842" t="s">
        <v>2446</v>
      </c>
      <c r="C842" t="s">
        <v>2447</v>
      </c>
      <c r="D842" t="str">
        <f>SUBSTITUTE(Table1[[#This Row],[Target_product_name]], "oz", " oz")</f>
        <v>Philadelphia Original Cheesecake Crumble Dessert - 6.6 oz/2ct</v>
      </c>
      <c r="E842" t="s">
        <v>2448</v>
      </c>
      <c r="F842" t="str">
        <f>LEFT(Table1[[#This Row],[Target_product_quantity]], FIND("o", Table1[[#This Row],[Target_product_quantity]])-1)</f>
        <v>13.2</v>
      </c>
      <c r="G842" t="str" cm="1">
        <f t="array" ref="G842">_xlfn.TEXTJOIN("", TRUE, IF(ISNUMBER(SEARCH($K$1010:$K$1054, C842)), $K$1010:$K$1054, ""))</f>
        <v>Philadelphia</v>
      </c>
      <c r="H842" t="str">
        <f t="shared" si="48"/>
        <v>Cheese</v>
      </c>
      <c r="I842" t="str">
        <f t="shared" si="49"/>
        <v>Dairy</v>
      </c>
      <c r="J842" s="4">
        <v>4.49</v>
      </c>
      <c r="K842">
        <f>Table1[[#This Row],[Target_product_price]]/Table1[[#This Row],[product_price_per_oz]]</f>
        <v>0.3401515151515152</v>
      </c>
    </row>
    <row r="843" spans="1:11" x14ac:dyDescent="0.2">
      <c r="A843" t="s">
        <v>2449</v>
      </c>
      <c r="B843" t="s">
        <v>2450</v>
      </c>
      <c r="C843" t="s">
        <v>2451</v>
      </c>
      <c r="D843" t="str">
        <f>SUBSTITUTE(Table1[[#This Row],[Target_product_name]], "oz", " oz")</f>
        <v>Philadelphia Original Cream Cheese - 8 oz</v>
      </c>
      <c r="E843" t="str">
        <f t="shared" ref="E843:E854" si="50">TRIM(RIGHT(C843, LEN(C843) - FIND("-", C843)))</f>
        <v>8oz</v>
      </c>
      <c r="F843" t="str">
        <f>LEFT(Table1[[#This Row],[Target_product_quantity]], FIND("o", Table1[[#This Row],[Target_product_quantity]])-1)</f>
        <v>8</v>
      </c>
      <c r="G843" t="str" cm="1">
        <f t="array" ref="G843">_xlfn.TEXTJOIN("", TRUE, IF(ISNUMBER(SEARCH($K$1010:$K$1054, C843)), $K$1010:$K$1054, ""))</f>
        <v>Philadelphia</v>
      </c>
      <c r="H843" t="str">
        <f t="shared" si="48"/>
        <v>Cheese</v>
      </c>
      <c r="I843" t="str">
        <f t="shared" si="49"/>
        <v>Dairy</v>
      </c>
      <c r="J843" s="4">
        <v>3.39</v>
      </c>
      <c r="K843">
        <f>Table1[[#This Row],[Target_product_price]]/Table1[[#This Row],[product_price_per_oz]]</f>
        <v>0.42375000000000002</v>
      </c>
    </row>
    <row r="844" spans="1:11" x14ac:dyDescent="0.2">
      <c r="A844" t="s">
        <v>2452</v>
      </c>
      <c r="B844" t="s">
        <v>2453</v>
      </c>
      <c r="C844" t="s">
        <v>2454</v>
      </c>
      <c r="D844" t="str">
        <f>SUBSTITUTE(Table1[[#This Row],[Target_product_name]], "oz", " oz")</f>
        <v>Philadelphia Original Cream Cheese Spread - 16 oz</v>
      </c>
      <c r="E844" t="str">
        <f t="shared" si="50"/>
        <v>16oz</v>
      </c>
      <c r="F844" t="str">
        <f>LEFT(Table1[[#This Row],[Target_product_quantity]], FIND("o", Table1[[#This Row],[Target_product_quantity]])-1)</f>
        <v>16</v>
      </c>
      <c r="G844" t="str" cm="1">
        <f t="array" ref="G844">_xlfn.TEXTJOIN("", TRUE, IF(ISNUMBER(SEARCH($K$1010:$K$1054, C844)), $K$1010:$K$1054, ""))</f>
        <v>Philadelphia</v>
      </c>
      <c r="H844" t="str">
        <f t="shared" si="48"/>
        <v>Cheese</v>
      </c>
      <c r="I844" t="str">
        <f t="shared" si="49"/>
        <v>Dairy</v>
      </c>
      <c r="J844" s="4">
        <v>7.79</v>
      </c>
      <c r="K844">
        <f>Table1[[#This Row],[Target_product_price]]/Table1[[#This Row],[product_price_per_oz]]</f>
        <v>0.486875</v>
      </c>
    </row>
    <row r="845" spans="1:11" x14ac:dyDescent="0.2">
      <c r="A845" t="s">
        <v>2452</v>
      </c>
      <c r="B845" t="s">
        <v>2453</v>
      </c>
      <c r="C845" t="s">
        <v>2454</v>
      </c>
      <c r="D845" t="str">
        <f>SUBSTITUTE(Table1[[#This Row],[Target_product_name]], "oz", " oz")</f>
        <v>Philadelphia Original Cream Cheese Spread - 16 oz</v>
      </c>
      <c r="E845" t="str">
        <f t="shared" si="50"/>
        <v>16oz</v>
      </c>
      <c r="F845" t="str">
        <f>LEFT(Table1[[#This Row],[Target_product_quantity]], FIND("o", Table1[[#This Row],[Target_product_quantity]])-1)</f>
        <v>16</v>
      </c>
      <c r="G845" t="str" cm="1">
        <f t="array" ref="G845">_xlfn.TEXTJOIN("", TRUE, IF(ISNUMBER(SEARCH($K$1010:$K$1054, C845)), $K$1010:$K$1054, ""))</f>
        <v>Philadelphia</v>
      </c>
      <c r="H845" t="str">
        <f t="shared" si="48"/>
        <v>Cheese</v>
      </c>
      <c r="I845" t="str">
        <f t="shared" si="49"/>
        <v>Dairy</v>
      </c>
      <c r="J845" s="4">
        <v>7.79</v>
      </c>
      <c r="K845">
        <f>Table1[[#This Row],[Target_product_price]]/Table1[[#This Row],[product_price_per_oz]]</f>
        <v>0.486875</v>
      </c>
    </row>
    <row r="846" spans="1:11" x14ac:dyDescent="0.2">
      <c r="A846" t="s">
        <v>2455</v>
      </c>
      <c r="B846" t="s">
        <v>2456</v>
      </c>
      <c r="C846" t="s">
        <v>2457</v>
      </c>
      <c r="D846" t="str">
        <f>SUBSTITUTE(Table1[[#This Row],[Target_product_name]], "oz", " oz")</f>
        <v>Philadelphia Original Cream Cheese Spread- 8 oz</v>
      </c>
      <c r="E846" t="str">
        <f t="shared" si="50"/>
        <v>8oz</v>
      </c>
      <c r="F846" t="str">
        <f>LEFT(Table1[[#This Row],[Target_product_quantity]], FIND("o", Table1[[#This Row],[Target_product_quantity]])-1)</f>
        <v>8</v>
      </c>
      <c r="G846" t="str" cm="1">
        <f t="array" ref="G846">_xlfn.TEXTJOIN("", TRUE, IF(ISNUMBER(SEARCH($K$1010:$K$1054, C846)), $K$1010:$K$1054, ""))</f>
        <v>Philadelphia</v>
      </c>
      <c r="H846" t="str">
        <f t="shared" si="48"/>
        <v>Cheese</v>
      </c>
      <c r="I846" t="str">
        <f t="shared" si="49"/>
        <v>Dairy</v>
      </c>
      <c r="J846" s="4">
        <v>4.1900000000000004</v>
      </c>
      <c r="K846">
        <f>Table1[[#This Row],[Target_product_price]]/Table1[[#This Row],[product_price_per_oz]]</f>
        <v>0.52375000000000005</v>
      </c>
    </row>
    <row r="847" spans="1:11" x14ac:dyDescent="0.2">
      <c r="A847" t="s">
        <v>2458</v>
      </c>
      <c r="B847" t="s">
        <v>2459</v>
      </c>
      <c r="C847" t="s">
        <v>2460</v>
      </c>
      <c r="D847" t="str">
        <f>SUBSTITUTE(Table1[[#This Row],[Target_product_name]], "oz", " oz")</f>
        <v>Philadelphia Reduced Fat Cream Cheese Spread - 8 oz</v>
      </c>
      <c r="E847" t="str">
        <f t="shared" si="50"/>
        <v>8oz</v>
      </c>
      <c r="F847" t="str">
        <f>LEFT(Table1[[#This Row],[Target_product_quantity]], FIND("o", Table1[[#This Row],[Target_product_quantity]])-1)</f>
        <v>8</v>
      </c>
      <c r="G847" t="str" cm="1">
        <f t="array" ref="G847">_xlfn.TEXTJOIN("", TRUE, IF(ISNUMBER(SEARCH($K$1010:$K$1054, C847)), $K$1010:$K$1054, ""))</f>
        <v>Philadelphia</v>
      </c>
      <c r="H847" t="str">
        <f t="shared" si="48"/>
        <v>Cheese</v>
      </c>
      <c r="I847" t="str">
        <f t="shared" si="49"/>
        <v>Dairy</v>
      </c>
      <c r="J847" s="4">
        <v>4.1900000000000004</v>
      </c>
      <c r="K847">
        <f>Table1[[#This Row],[Target_product_price]]/Table1[[#This Row],[product_price_per_oz]]</f>
        <v>0.52375000000000005</v>
      </c>
    </row>
    <row r="848" spans="1:11" x14ac:dyDescent="0.2">
      <c r="A848" t="s">
        <v>2461</v>
      </c>
      <c r="B848" t="s">
        <v>2462</v>
      </c>
      <c r="C848" t="s">
        <v>2463</v>
      </c>
      <c r="D848" t="str">
        <f>SUBSTITUTE(Table1[[#This Row],[Target_product_name]], "oz", " oz")</f>
        <v>Philadelphia Reduced Fat Neufchatel Cheese - 8 oz</v>
      </c>
      <c r="E848" t="str">
        <f t="shared" si="50"/>
        <v>8oz</v>
      </c>
      <c r="F848" t="str">
        <f>LEFT(Table1[[#This Row],[Target_product_quantity]], FIND("o", Table1[[#This Row],[Target_product_quantity]])-1)</f>
        <v>8</v>
      </c>
      <c r="G848" t="str" cm="1">
        <f t="array" ref="G848">_xlfn.TEXTJOIN("", TRUE, IF(ISNUMBER(SEARCH($K$1010:$K$1054, C848)), $K$1010:$K$1054, ""))</f>
        <v>Philadelphia</v>
      </c>
      <c r="H848" t="str">
        <f t="shared" si="48"/>
        <v>Cheese</v>
      </c>
      <c r="I848" t="str">
        <f t="shared" si="49"/>
        <v>Dairy</v>
      </c>
      <c r="J848" s="4">
        <v>3.39</v>
      </c>
      <c r="K848">
        <f>Table1[[#This Row],[Target_product_price]]/Table1[[#This Row],[product_price_per_oz]]</f>
        <v>0.42375000000000002</v>
      </c>
    </row>
    <row r="849" spans="1:11" x14ac:dyDescent="0.2">
      <c r="A849" t="s">
        <v>2461</v>
      </c>
      <c r="B849" t="s">
        <v>2462</v>
      </c>
      <c r="C849" t="s">
        <v>2463</v>
      </c>
      <c r="D849" t="str">
        <f>SUBSTITUTE(Table1[[#This Row],[Target_product_name]], "oz", " oz")</f>
        <v>Philadelphia Reduced Fat Neufchatel Cheese - 8 oz</v>
      </c>
      <c r="E849" t="str">
        <f t="shared" si="50"/>
        <v>8oz</v>
      </c>
      <c r="F849" t="str">
        <f>LEFT(Table1[[#This Row],[Target_product_quantity]], FIND("o", Table1[[#This Row],[Target_product_quantity]])-1)</f>
        <v>8</v>
      </c>
      <c r="G849" t="str" cm="1">
        <f t="array" ref="G849">_xlfn.TEXTJOIN("", TRUE, IF(ISNUMBER(SEARCH($K$1010:$K$1054, C849)), $K$1010:$K$1054, ""))</f>
        <v>Philadelphia</v>
      </c>
      <c r="H849" t="str">
        <f t="shared" si="48"/>
        <v>Cheese</v>
      </c>
      <c r="I849" t="str">
        <f t="shared" si="49"/>
        <v>Dairy</v>
      </c>
      <c r="J849" s="4">
        <v>3.39</v>
      </c>
      <c r="K849">
        <f>Table1[[#This Row],[Target_product_price]]/Table1[[#This Row],[product_price_per_oz]]</f>
        <v>0.42375000000000002</v>
      </c>
    </row>
    <row r="850" spans="1:11" x14ac:dyDescent="0.2">
      <c r="A850" t="s">
        <v>2464</v>
      </c>
      <c r="B850" t="s">
        <v>2465</v>
      </c>
      <c r="C850" t="s">
        <v>2466</v>
      </c>
      <c r="D850" t="str">
        <f>SUBSTITUTE(Table1[[#This Row],[Target_product_name]], "oz", " oz")</f>
        <v>Philadelphia Spicy Jalapeno Cream Cheese Tub - 7.5 oz</v>
      </c>
      <c r="E850" t="str">
        <f t="shared" si="50"/>
        <v>7.5oz</v>
      </c>
      <c r="F850" t="str">
        <f>LEFT(Table1[[#This Row],[Target_product_quantity]], FIND("o", Table1[[#This Row],[Target_product_quantity]])-1)</f>
        <v>7.5</v>
      </c>
      <c r="G850" t="str" cm="1">
        <f t="array" ref="G850">_xlfn.TEXTJOIN("", TRUE, IF(ISNUMBER(SEARCH($K$1010:$K$1054, C850)), $K$1010:$K$1054, ""))</f>
        <v>Philadelphia</v>
      </c>
      <c r="H850" t="str">
        <f t="shared" si="48"/>
        <v>Cheese</v>
      </c>
      <c r="I850" t="str">
        <f t="shared" si="49"/>
        <v>Dairy</v>
      </c>
      <c r="J850" s="4">
        <v>4.49</v>
      </c>
      <c r="K850">
        <f>Table1[[#This Row],[Target_product_price]]/Table1[[#This Row],[product_price_per_oz]]</f>
        <v>0.59866666666666668</v>
      </c>
    </row>
    <row r="851" spans="1:11" x14ac:dyDescent="0.2">
      <c r="A851" t="s">
        <v>2467</v>
      </c>
      <c r="B851" t="s">
        <v>2468</v>
      </c>
      <c r="C851" t="s">
        <v>2469</v>
      </c>
      <c r="D851" t="str">
        <f>SUBSTITUTE(Table1[[#This Row],[Target_product_name]], "oz", " oz")</f>
        <v>Philadelphia Strawberry Cream Cheese Spread  - 7.5 oz</v>
      </c>
      <c r="E851" t="str">
        <f t="shared" si="50"/>
        <v>7.5oz</v>
      </c>
      <c r="F851" t="str">
        <f>LEFT(Table1[[#This Row],[Target_product_quantity]], FIND("o", Table1[[#This Row],[Target_product_quantity]])-1)</f>
        <v>7.5</v>
      </c>
      <c r="G851" t="str" cm="1">
        <f t="array" ref="G851">_xlfn.TEXTJOIN("", TRUE, IF(ISNUMBER(SEARCH($K$1010:$K$1054, C851)), $K$1010:$K$1054, ""))</f>
        <v>Philadelphia</v>
      </c>
      <c r="H851" t="str">
        <f t="shared" si="48"/>
        <v>Cheese</v>
      </c>
      <c r="I851" t="str">
        <f t="shared" si="49"/>
        <v>Dairy</v>
      </c>
      <c r="J851" s="4">
        <v>4.1900000000000004</v>
      </c>
      <c r="K851">
        <f>Table1[[#This Row],[Target_product_price]]/Table1[[#This Row],[product_price_per_oz]]</f>
        <v>0.55866666666666676</v>
      </c>
    </row>
    <row r="852" spans="1:11" x14ac:dyDescent="0.2">
      <c r="A852" t="s">
        <v>2470</v>
      </c>
      <c r="B852" t="s">
        <v>2471</v>
      </c>
      <c r="C852" t="s">
        <v>2472</v>
      </c>
      <c r="D852" t="str">
        <f>SUBSTITUTE(Table1[[#This Row],[Target_product_name]], "oz", " oz")</f>
        <v>Philadelphia Whipped Cream Cheese Spread - 12 oz</v>
      </c>
      <c r="E852" t="str">
        <f t="shared" si="50"/>
        <v>12oz</v>
      </c>
      <c r="F852" t="str">
        <f>LEFT(Table1[[#This Row],[Target_product_quantity]], FIND("o", Table1[[#This Row],[Target_product_quantity]])-1)</f>
        <v>12</v>
      </c>
      <c r="G852" t="str" cm="1">
        <f t="array" ref="G852">_xlfn.TEXTJOIN("", TRUE, IF(ISNUMBER(SEARCH($K$1010:$K$1054, C852)), $K$1010:$K$1054, ""))</f>
        <v>Philadelphia</v>
      </c>
      <c r="H852" t="str">
        <f t="shared" si="48"/>
        <v>Cheese</v>
      </c>
      <c r="I852" t="str">
        <f t="shared" si="49"/>
        <v>Dairy</v>
      </c>
      <c r="J852" s="4">
        <v>6.39</v>
      </c>
      <c r="K852">
        <f>Table1[[#This Row],[Target_product_price]]/Table1[[#This Row],[product_price_per_oz]]</f>
        <v>0.53249999999999997</v>
      </c>
    </row>
    <row r="853" spans="1:11" x14ac:dyDescent="0.2">
      <c r="A853" t="s">
        <v>2470</v>
      </c>
      <c r="B853" t="s">
        <v>2471</v>
      </c>
      <c r="C853" t="s">
        <v>2472</v>
      </c>
      <c r="D853" t="str">
        <f>SUBSTITUTE(Table1[[#This Row],[Target_product_name]], "oz", " oz")</f>
        <v>Philadelphia Whipped Cream Cheese Spread - 12 oz</v>
      </c>
      <c r="E853" t="str">
        <f t="shared" si="50"/>
        <v>12oz</v>
      </c>
      <c r="F853" t="str">
        <f>LEFT(Table1[[#This Row],[Target_product_quantity]], FIND("o", Table1[[#This Row],[Target_product_quantity]])-1)</f>
        <v>12</v>
      </c>
      <c r="G853" t="str" cm="1">
        <f t="array" ref="G853">_xlfn.TEXTJOIN("", TRUE, IF(ISNUMBER(SEARCH($K$1010:$K$1054, C853)), $K$1010:$K$1054, ""))</f>
        <v>Philadelphia</v>
      </c>
      <c r="H853" t="str">
        <f t="shared" si="48"/>
        <v>Cheese</v>
      </c>
      <c r="I853" t="str">
        <f t="shared" si="49"/>
        <v>Dairy</v>
      </c>
      <c r="J853" s="4">
        <v>6.39</v>
      </c>
      <c r="K853">
        <f>Table1[[#This Row],[Target_product_price]]/Table1[[#This Row],[product_price_per_oz]]</f>
        <v>0.53249999999999997</v>
      </c>
    </row>
    <row r="854" spans="1:11" x14ac:dyDescent="0.2">
      <c r="A854" t="s">
        <v>2473</v>
      </c>
      <c r="B854" t="s">
        <v>2474</v>
      </c>
      <c r="C854" t="s">
        <v>2475</v>
      </c>
      <c r="D854" t="str">
        <f>SUBSTITUTE(Table1[[#This Row],[Target_product_name]], "oz", " oz")</f>
        <v>Philadelphia Whipped Cream Cheese Spread - 8 oz</v>
      </c>
      <c r="E854" t="str">
        <f t="shared" si="50"/>
        <v>8oz</v>
      </c>
      <c r="F854" t="str">
        <f>LEFT(Table1[[#This Row],[Target_product_quantity]], FIND("o", Table1[[#This Row],[Target_product_quantity]])-1)</f>
        <v>8</v>
      </c>
      <c r="G854" t="str" cm="1">
        <f t="array" ref="G854">_xlfn.TEXTJOIN("", TRUE, IF(ISNUMBER(SEARCH($K$1010:$K$1054, C854)), $K$1010:$K$1054, ""))</f>
        <v>Philadelphia</v>
      </c>
      <c r="H854" t="str">
        <f t="shared" si="48"/>
        <v>Cheese</v>
      </c>
      <c r="I854" t="str">
        <f t="shared" si="49"/>
        <v>Dairy</v>
      </c>
      <c r="J854" s="4">
        <v>4.1900000000000004</v>
      </c>
      <c r="K854">
        <f>Table1[[#This Row],[Target_product_price]]/Table1[[#This Row],[product_price_per_oz]]</f>
        <v>0.52375000000000005</v>
      </c>
    </row>
    <row r="855" spans="1:11" x14ac:dyDescent="0.2">
      <c r="A855" t="s">
        <v>2476</v>
      </c>
      <c r="B855" t="s">
        <v>2477</v>
      </c>
      <c r="C855" s="4" t="s">
        <v>2478</v>
      </c>
      <c r="D855" t="str">
        <f>SUBSTITUTE(Table1[[#This Row],[Target_product_name]], "oz", " oz")</f>
        <v>Quaker Express Maple Brown Sugar Oatmeal 1.69 oz</v>
      </c>
      <c r="E855" t="s">
        <v>2479</v>
      </c>
      <c r="F855" t="str">
        <f>LEFT(Table1[[#This Row],[Target_product_quantity]], FIND("o", Table1[[#This Row],[Target_product_quantity]])-1)</f>
        <v>1.69</v>
      </c>
      <c r="G855" t="str" cm="1">
        <f t="array" ref="G855">_xlfn.TEXTJOIN("", TRUE, IF(ISNUMBER(SEARCH($K$1010:$K$1054, C855)), $K$1010:$K$1054, ""))</f>
        <v>Quaker</v>
      </c>
      <c r="H855" t="str">
        <f t="shared" si="48"/>
        <v>Rice</v>
      </c>
      <c r="I855" t="str">
        <f t="shared" si="49"/>
        <v>Grain</v>
      </c>
      <c r="J855">
        <v>1.19</v>
      </c>
      <c r="K855">
        <f>Table1[[#This Row],[Target_product_price]]/Table1[[#This Row],[product_price_per_oz]]</f>
        <v>0.70414201183431957</v>
      </c>
    </row>
    <row r="856" spans="1:11" x14ac:dyDescent="0.2">
      <c r="A856" t="s">
        <v>2480</v>
      </c>
      <c r="B856" t="s">
        <v>2481</v>
      </c>
      <c r="C856" s="4" t="s">
        <v>2482</v>
      </c>
      <c r="D856" t="str">
        <f>SUBSTITUTE(Table1[[#This Row],[Target_product_name]], "oz", " oz")</f>
        <v>Quaker Flavor Variety Instant Oatmeal - 18ct / 27.3 oz</v>
      </c>
      <c r="E856" t="s">
        <v>2483</v>
      </c>
      <c r="F856" t="str">
        <f>LEFT(Table1[[#This Row],[Target_product_quantity]], FIND("o", Table1[[#This Row],[Target_product_quantity]])-1)</f>
        <v>491.4</v>
      </c>
      <c r="G856" t="str" cm="1">
        <f t="array" ref="G856">_xlfn.TEXTJOIN("", TRUE, IF(ISNUMBER(SEARCH($K$1010:$K$1054, C856)), $K$1010:$K$1054, ""))</f>
        <v>Quaker</v>
      </c>
      <c r="H856" t="str">
        <f t="shared" si="48"/>
        <v>Rice</v>
      </c>
      <c r="I856" t="str">
        <f t="shared" si="49"/>
        <v>Grain</v>
      </c>
      <c r="J856">
        <v>5.69</v>
      </c>
      <c r="K856">
        <f>Table1[[#This Row],[Target_product_price]]/Table1[[#This Row],[product_price_per_oz]]</f>
        <v>1.1579161579161581E-2</v>
      </c>
    </row>
    <row r="857" spans="1:11" x14ac:dyDescent="0.2">
      <c r="A857" t="s">
        <v>2484</v>
      </c>
      <c r="B857" t="s">
        <v>2485</v>
      </c>
      <c r="C857" s="4" t="s">
        <v>2486</v>
      </c>
      <c r="D857" t="str">
        <f>SUBSTITUTE(Table1[[#This Row],[Target_product_name]], "oz", " oz")</f>
        <v>Quaker Fruit &amp; Cream Instant Oatmeal Variety - 8ct/9.8 oz</v>
      </c>
      <c r="E857" t="s">
        <v>2487</v>
      </c>
      <c r="F857" t="str">
        <f>LEFT(Table1[[#This Row],[Target_product_quantity]], FIND("o", Table1[[#This Row],[Target_product_quantity]])-1)</f>
        <v>78.2</v>
      </c>
      <c r="G857" t="str" cm="1">
        <f t="array" ref="G857">_xlfn.TEXTJOIN("", TRUE, IF(ISNUMBER(SEARCH($K$1010:$K$1054, C857)), $K$1010:$K$1054, ""))</f>
        <v>Quaker</v>
      </c>
      <c r="H857" t="str">
        <f t="shared" si="48"/>
        <v>Rice</v>
      </c>
      <c r="I857" t="str">
        <f t="shared" si="49"/>
        <v>Grain</v>
      </c>
      <c r="J857">
        <v>2.99</v>
      </c>
      <c r="K857">
        <f>Table1[[#This Row],[Target_product_price]]/Table1[[#This Row],[product_price_per_oz]]</f>
        <v>3.8235294117647062E-2</v>
      </c>
    </row>
    <row r="858" spans="1:11" x14ac:dyDescent="0.2">
      <c r="A858" t="s">
        <v>2488</v>
      </c>
      <c r="B858" t="s">
        <v>2489</v>
      </c>
      <c r="C858" s="4" t="s">
        <v>2490</v>
      </c>
      <c r="D858" t="str">
        <f>SUBSTITUTE(Table1[[#This Row],[Target_product_name]], "oz", " oz")</f>
        <v>Quaker Instant Fruit &amp; Cream Flavored Oatmeal - 19 oz/18ct</v>
      </c>
      <c r="E858" t="s">
        <v>2491</v>
      </c>
      <c r="F858" t="str">
        <f>LEFT(Table1[[#This Row],[Target_product_quantity]], FIND("o", Table1[[#This Row],[Target_product_quantity]])-1)</f>
        <v>342</v>
      </c>
      <c r="G858" t="str" cm="1">
        <f t="array" ref="G858">_xlfn.TEXTJOIN("", TRUE, IF(ISNUMBER(SEARCH($K$1010:$K$1054, C858)), $K$1010:$K$1054, ""))</f>
        <v>Quaker</v>
      </c>
      <c r="H858" t="str">
        <f t="shared" si="48"/>
        <v>Rice</v>
      </c>
      <c r="I858" t="str">
        <f t="shared" si="49"/>
        <v>Grain</v>
      </c>
      <c r="J858">
        <v>5.69</v>
      </c>
      <c r="K858">
        <f>Table1[[#This Row],[Target_product_price]]/Table1[[#This Row],[product_price_per_oz]]</f>
        <v>1.6637426900584798E-2</v>
      </c>
    </row>
    <row r="859" spans="1:11" x14ac:dyDescent="0.2">
      <c r="A859" t="s">
        <v>2492</v>
      </c>
      <c r="B859" t="s">
        <v>2493</v>
      </c>
      <c r="C859" s="4" t="s">
        <v>2494</v>
      </c>
      <c r="D859" t="str">
        <f>SUBSTITUTE(Table1[[#This Row],[Target_product_name]], "oz", " oz")</f>
        <v>Quaker Instant Grits Butter - 10ct/9.8 oz</v>
      </c>
      <c r="E859" t="s">
        <v>2495</v>
      </c>
      <c r="F859" t="str">
        <f>LEFT(Table1[[#This Row],[Target_product_quantity]], FIND("o", Table1[[#This Row],[Target_product_quantity]])-1)</f>
        <v>98</v>
      </c>
      <c r="G859" t="str" cm="1">
        <f t="array" ref="G859">_xlfn.TEXTJOIN("", TRUE, IF(ISNUMBER(SEARCH($K$1010:$K$1054, C859)), $K$1010:$K$1054, ""))</f>
        <v>Quaker</v>
      </c>
      <c r="H859" t="str">
        <f t="shared" si="48"/>
        <v>Rice</v>
      </c>
      <c r="I859" t="str">
        <f t="shared" si="49"/>
        <v>Grain</v>
      </c>
      <c r="J859">
        <v>3.99</v>
      </c>
      <c r="K859">
        <f>Table1[[#This Row],[Target_product_price]]/Table1[[#This Row],[product_price_per_oz]]</f>
        <v>4.0714285714285717E-2</v>
      </c>
    </row>
    <row r="860" spans="1:11" x14ac:dyDescent="0.2">
      <c r="A860" t="s">
        <v>2496</v>
      </c>
      <c r="B860" t="s">
        <v>2497</v>
      </c>
      <c r="C860" s="4" t="s">
        <v>2498</v>
      </c>
      <c r="D860" t="str">
        <f>SUBSTITUTE(Table1[[#This Row],[Target_product_name]], "oz", " oz")</f>
        <v>Quaker Instant Grits Plain - 10ct/9.8 oz</v>
      </c>
      <c r="E860" t="s">
        <v>2495</v>
      </c>
      <c r="F860" t="str">
        <f>LEFT(Table1[[#This Row],[Target_product_quantity]], FIND("o", Table1[[#This Row],[Target_product_quantity]])-1)</f>
        <v>98</v>
      </c>
      <c r="G860" t="str" cm="1">
        <f t="array" ref="G860">_xlfn.TEXTJOIN("", TRUE, IF(ISNUMBER(SEARCH($K$1010:$K$1054, C860)), $K$1010:$K$1054, ""))</f>
        <v>Quaker</v>
      </c>
      <c r="H860" t="str">
        <f t="shared" si="48"/>
        <v>Rice</v>
      </c>
      <c r="I860" t="str">
        <f t="shared" si="49"/>
        <v>Grain</v>
      </c>
      <c r="J860">
        <v>3.99</v>
      </c>
      <c r="K860">
        <f>Table1[[#This Row],[Target_product_price]]/Table1[[#This Row],[product_price_per_oz]]</f>
        <v>4.0714285714285717E-2</v>
      </c>
    </row>
    <row r="861" spans="1:11" x14ac:dyDescent="0.2">
      <c r="A861" t="s">
        <v>2499</v>
      </c>
      <c r="B861" t="s">
        <v>2500</v>
      </c>
      <c r="C861" s="4" t="s">
        <v>2501</v>
      </c>
      <c r="D861" t="str">
        <f>SUBSTITUTE(Table1[[#This Row],[Target_product_name]], "oz", " oz")</f>
        <v>Quaker Instant Maple &amp; Brown Sugar Flavored Oatmeal - 27.3 oz/18ct</v>
      </c>
      <c r="E861" t="s">
        <v>2483</v>
      </c>
      <c r="F861" t="str">
        <f>LEFT(Table1[[#This Row],[Target_product_quantity]], FIND("o", Table1[[#This Row],[Target_product_quantity]])-1)</f>
        <v>491.4</v>
      </c>
      <c r="G861" t="str" cm="1">
        <f t="array" ref="G861">_xlfn.TEXTJOIN("", TRUE, IF(ISNUMBER(SEARCH($K$1010:$K$1054, C861)), $K$1010:$K$1054, ""))</f>
        <v>Quaker</v>
      </c>
      <c r="H861" t="str">
        <f t="shared" si="48"/>
        <v>Rice</v>
      </c>
      <c r="I861" t="str">
        <f t="shared" si="49"/>
        <v>Grain</v>
      </c>
      <c r="J861">
        <v>5.69</v>
      </c>
      <c r="K861">
        <f>Table1[[#This Row],[Target_product_price]]/Table1[[#This Row],[product_price_per_oz]]</f>
        <v>1.1579161579161581E-2</v>
      </c>
    </row>
    <row r="862" spans="1:11" x14ac:dyDescent="0.2">
      <c r="A862" t="s">
        <v>2502</v>
      </c>
      <c r="B862" t="s">
        <v>2503</v>
      </c>
      <c r="C862" s="4" t="s">
        <v>2504</v>
      </c>
      <c r="D862" t="str">
        <f>SUBSTITUTE(Table1[[#This Row],[Target_product_name]], "oz", " oz")</f>
        <v>Quaker Instant Oatmeal Apple Cinnamon - 8ct/12.1 oz</v>
      </c>
      <c r="E862" t="s">
        <v>2505</v>
      </c>
      <c r="F862" t="str">
        <f>LEFT(Table1[[#This Row],[Target_product_quantity]], FIND("o", Table1[[#This Row],[Target_product_quantity]])-1)</f>
        <v>96.8</v>
      </c>
      <c r="G862" t="str" cm="1">
        <f t="array" ref="G862">_xlfn.TEXTJOIN("", TRUE, IF(ISNUMBER(SEARCH($K$1010:$K$1054, C862)), $K$1010:$K$1054, ""))</f>
        <v>Quaker</v>
      </c>
      <c r="H862" t="str">
        <f t="shared" si="48"/>
        <v>Rice</v>
      </c>
      <c r="I862" t="str">
        <f t="shared" si="49"/>
        <v>Grain</v>
      </c>
      <c r="J862">
        <v>2.99</v>
      </c>
      <c r="K862">
        <f>Table1[[#This Row],[Target_product_price]]/Table1[[#This Row],[product_price_per_oz]]</f>
        <v>3.088842975206612E-2</v>
      </c>
    </row>
    <row r="863" spans="1:11" x14ac:dyDescent="0.2">
      <c r="A863" t="s">
        <v>2506</v>
      </c>
      <c r="B863" t="s">
        <v>2507</v>
      </c>
      <c r="C863" s="4" t="s">
        <v>2508</v>
      </c>
      <c r="D863" t="str">
        <f>SUBSTITUTE(Table1[[#This Row],[Target_product_name]], "oz", " oz")</f>
        <v>Quaker Instant Oatmeal Cup Apple Cinnamon 1.51 oz</v>
      </c>
      <c r="E863" t="s">
        <v>2509</v>
      </c>
      <c r="F863" t="str">
        <f>LEFT(Table1[[#This Row],[Target_product_quantity]], FIND("o", Table1[[#This Row],[Target_product_quantity]])-1)</f>
        <v>1.51</v>
      </c>
      <c r="G863" t="str" cm="1">
        <f t="array" ref="G863">_xlfn.TEXTJOIN("", TRUE, IF(ISNUMBER(SEARCH($K$1010:$K$1054, C863)), $K$1010:$K$1054, ""))</f>
        <v>Quaker</v>
      </c>
      <c r="H863" t="str">
        <f t="shared" si="48"/>
        <v>Rice</v>
      </c>
      <c r="I863" t="str">
        <f t="shared" si="49"/>
        <v>Grain</v>
      </c>
      <c r="J863">
        <v>1.19</v>
      </c>
      <c r="K863">
        <f>Table1[[#This Row],[Target_product_price]]/Table1[[#This Row],[product_price_per_oz]]</f>
        <v>0.78807947019867541</v>
      </c>
    </row>
    <row r="864" spans="1:11" x14ac:dyDescent="0.2">
      <c r="A864" t="s">
        <v>2510</v>
      </c>
      <c r="B864" t="s">
        <v>2511</v>
      </c>
      <c r="C864" s="4" t="s">
        <v>2512</v>
      </c>
      <c r="D864" t="str">
        <f>SUBSTITUTE(Table1[[#This Row],[Target_product_name]], "oz", " oz")</f>
        <v>Quaker Instant Oatmeal Dinosaur Eggs Brown Sugar - 8ct</v>
      </c>
      <c r="E864" t="s">
        <v>1922</v>
      </c>
      <c r="F864" t="str">
        <f>LEFT(Table1[[#This Row],[Target_product_quantity]], FIND("o", Table1[[#This Row],[Target_product_quantity]])-1)</f>
        <v>8</v>
      </c>
      <c r="G864" t="str" cm="1">
        <f t="array" ref="G864">_xlfn.TEXTJOIN("", TRUE, IF(ISNUMBER(SEARCH($K$1010:$K$1054, C864)), $K$1010:$K$1054, ""))</f>
        <v>Quaker</v>
      </c>
      <c r="H864" t="str">
        <f t="shared" si="48"/>
        <v>Rice</v>
      </c>
      <c r="I864" t="str">
        <f t="shared" si="49"/>
        <v>Grain</v>
      </c>
      <c r="J864">
        <v>2.99</v>
      </c>
      <c r="K864">
        <f>Table1[[#This Row],[Target_product_price]]/Table1[[#This Row],[product_price_per_oz]]</f>
        <v>0.37375000000000003</v>
      </c>
    </row>
    <row r="865" spans="1:11" x14ac:dyDescent="0.2">
      <c r="A865" t="s">
        <v>2513</v>
      </c>
      <c r="B865" t="s">
        <v>2514</v>
      </c>
      <c r="C865" s="4" t="s">
        <v>2515</v>
      </c>
      <c r="D865" t="str">
        <f>SUBSTITUTE(Table1[[#This Row],[Target_product_name]], "oz", " oz")</f>
        <v>Quaker Instant Oatmeal Maple Brown Sugar 8ct</v>
      </c>
      <c r="E865" t="s">
        <v>1922</v>
      </c>
      <c r="F865" t="str">
        <f>LEFT(Table1[[#This Row],[Target_product_quantity]], FIND("o", Table1[[#This Row],[Target_product_quantity]])-1)</f>
        <v>8</v>
      </c>
      <c r="G865" t="str" cm="1">
        <f t="array" ref="G865">_xlfn.TEXTJOIN("", TRUE, IF(ISNUMBER(SEARCH($K$1010:$K$1054, C865)), $K$1010:$K$1054, ""))</f>
        <v>Quaker</v>
      </c>
      <c r="H865" t="str">
        <f t="shared" si="48"/>
        <v>Rice</v>
      </c>
      <c r="I865" t="str">
        <f t="shared" si="49"/>
        <v>Grain</v>
      </c>
      <c r="J865">
        <v>2.99</v>
      </c>
      <c r="K865">
        <f>Table1[[#This Row],[Target_product_price]]/Table1[[#This Row],[product_price_per_oz]]</f>
        <v>0.37375000000000003</v>
      </c>
    </row>
    <row r="866" spans="1:11" x14ac:dyDescent="0.2">
      <c r="A866" t="s">
        <v>2516</v>
      </c>
      <c r="B866" t="s">
        <v>2517</v>
      </c>
      <c r="C866" s="4" t="s">
        <v>2518</v>
      </c>
      <c r="D866" t="str">
        <f>SUBSTITUTE(Table1[[#This Row],[Target_product_name]], "oz", " oz")</f>
        <v>Quaker Instant Oatmeal Original - 10ct/9.8 oz</v>
      </c>
      <c r="E866" t="s">
        <v>2495</v>
      </c>
      <c r="F866" t="str">
        <f>LEFT(Table1[[#This Row],[Target_product_quantity]], FIND("o", Table1[[#This Row],[Target_product_quantity]])-1)</f>
        <v>98</v>
      </c>
      <c r="G866" t="str" cm="1">
        <f t="array" ref="G866">_xlfn.TEXTJOIN("", TRUE, IF(ISNUMBER(SEARCH($K$1010:$K$1054, C866)), $K$1010:$K$1054, ""))</f>
        <v>Quaker</v>
      </c>
      <c r="H866" t="str">
        <f t="shared" si="48"/>
        <v>Rice</v>
      </c>
      <c r="I866" t="str">
        <f t="shared" si="49"/>
        <v>Grain</v>
      </c>
      <c r="J866">
        <v>2.99</v>
      </c>
      <c r="K866">
        <f>Table1[[#This Row],[Target_product_price]]/Table1[[#This Row],[product_price_per_oz]]</f>
        <v>3.0510204081632655E-2</v>
      </c>
    </row>
    <row r="867" spans="1:11" x14ac:dyDescent="0.2">
      <c r="A867" t="s">
        <v>2519</v>
      </c>
      <c r="B867" t="s">
        <v>2520</v>
      </c>
      <c r="C867" s="4" t="s">
        <v>2521</v>
      </c>
      <c r="D867" t="str">
        <f>SUBSTITUTE(Table1[[#This Row],[Target_product_name]], "oz", " oz")</f>
        <v>Quaker Instant Oatmeal Original - 47.4 oz / 48ct</v>
      </c>
      <c r="E867" t="s">
        <v>2522</v>
      </c>
      <c r="F867" t="str">
        <f>LEFT(Table1[[#This Row],[Target_product_quantity]], FIND("o", Table1[[#This Row],[Target_product_quantity]])-1)</f>
        <v>2256</v>
      </c>
      <c r="G867" t="str" cm="1">
        <f t="array" ref="G867">_xlfn.TEXTJOIN("", TRUE, IF(ISNUMBER(SEARCH($K$1010:$K$1054, C867)), $K$1010:$K$1054, ""))</f>
        <v>Quaker</v>
      </c>
      <c r="H867" t="str">
        <f t="shared" si="48"/>
        <v>Rice</v>
      </c>
      <c r="I867" t="str">
        <f t="shared" si="49"/>
        <v>Grain</v>
      </c>
      <c r="J867">
        <v>19.989999999999998</v>
      </c>
      <c r="K867">
        <f>Table1[[#This Row],[Target_product_price]]/Table1[[#This Row],[product_price_per_oz]]</f>
        <v>8.8608156028368787E-3</v>
      </c>
    </row>
    <row r="868" spans="1:11" x14ac:dyDescent="0.2">
      <c r="A868" t="s">
        <v>2523</v>
      </c>
      <c r="B868" t="s">
        <v>2524</v>
      </c>
      <c r="C868" s="4" t="s">
        <v>2525</v>
      </c>
      <c r="D868" t="str">
        <f>SUBSTITUTE(Table1[[#This Row],[Target_product_name]], "oz", " oz")</f>
        <v>Quaker Instant Protein Banana Nut Oatmeal - 6ct / 12.9 oz</v>
      </c>
      <c r="E868" t="s">
        <v>2526</v>
      </c>
      <c r="F868" t="str">
        <f>LEFT(Table1[[#This Row],[Target_product_quantity]], FIND("o", Table1[[#This Row],[Target_product_quantity]])-1)</f>
        <v>77.4</v>
      </c>
      <c r="G868" t="str" cm="1">
        <f t="array" ref="G868">_xlfn.TEXTJOIN("", TRUE, IF(ISNUMBER(SEARCH($K$1010:$K$1054, C868)), $K$1010:$K$1054, ""))</f>
        <v>Quaker</v>
      </c>
      <c r="H868" t="str">
        <f t="shared" si="48"/>
        <v>Rice</v>
      </c>
      <c r="I868" t="str">
        <f t="shared" si="49"/>
        <v>Grain</v>
      </c>
      <c r="J868">
        <v>4.29</v>
      </c>
      <c r="K868">
        <f>Table1[[#This Row],[Target_product_price]]/Table1[[#This Row],[product_price_per_oz]]</f>
        <v>5.5426356589147283E-2</v>
      </c>
    </row>
    <row r="869" spans="1:11" x14ac:dyDescent="0.2">
      <c r="A869" t="s">
        <v>2527</v>
      </c>
      <c r="B869" t="s">
        <v>2528</v>
      </c>
      <c r="C869" s="4" t="s">
        <v>2529</v>
      </c>
      <c r="D869" t="str">
        <f>SUBSTITUTE(Table1[[#This Row],[Target_product_name]], "oz", " oz")</f>
        <v>Quaker Instant Protein Maple Brown Sugar Oatmeal - 6ct / 12.6 oz</v>
      </c>
      <c r="E869" t="s">
        <v>2526</v>
      </c>
      <c r="F869" t="str">
        <f>LEFT(Table1[[#This Row],[Target_product_quantity]], FIND("o", Table1[[#This Row],[Target_product_quantity]])-1)</f>
        <v>77.4</v>
      </c>
      <c r="G869" t="str" cm="1">
        <f t="array" ref="G869">_xlfn.TEXTJOIN("", TRUE, IF(ISNUMBER(SEARCH($K$1010:$K$1054, C869)), $K$1010:$K$1054, ""))</f>
        <v>Quaker</v>
      </c>
      <c r="H869" t="str">
        <f t="shared" si="48"/>
        <v>Rice</v>
      </c>
      <c r="I869" t="str">
        <f t="shared" si="49"/>
        <v>Grain</v>
      </c>
      <c r="J869">
        <v>5.49</v>
      </c>
      <c r="K869">
        <f>Table1[[#This Row],[Target_product_price]]/Table1[[#This Row],[product_price_per_oz]]</f>
        <v>7.093023255813953E-2</v>
      </c>
    </row>
    <row r="870" spans="1:11" x14ac:dyDescent="0.2">
      <c r="A870" t="s">
        <v>2530</v>
      </c>
      <c r="B870" t="s">
        <v>2531</v>
      </c>
      <c r="C870" s="4" t="s">
        <v>2532</v>
      </c>
      <c r="D870" t="str">
        <f>SUBSTITUTE(Table1[[#This Row],[Target_product_name]], "oz", " oz")</f>
        <v>Quaker Low Sugar Instant Oatmeal Maple Brown Sugar - 9.5 oz/8ct</v>
      </c>
      <c r="E870" t="s">
        <v>2533</v>
      </c>
      <c r="F870" t="str">
        <f>LEFT(Table1[[#This Row],[Target_product_quantity]], FIND("o", Table1[[#This Row],[Target_product_quantity]])-1)</f>
        <v>76</v>
      </c>
      <c r="G870" t="str" cm="1">
        <f t="array" ref="G870">_xlfn.TEXTJOIN("", TRUE, IF(ISNUMBER(SEARCH($K$1010:$K$1054, C870)), $K$1010:$K$1054, ""))</f>
        <v>Quaker</v>
      </c>
      <c r="H870" t="str">
        <f t="shared" si="48"/>
        <v>Rice</v>
      </c>
      <c r="I870" t="str">
        <f t="shared" si="49"/>
        <v>Grain</v>
      </c>
      <c r="J870">
        <v>2.99</v>
      </c>
      <c r="K870">
        <f>Table1[[#This Row],[Target_product_price]]/Table1[[#This Row],[product_price_per_oz]]</f>
        <v>3.93421052631579E-2</v>
      </c>
    </row>
    <row r="871" spans="1:11" x14ac:dyDescent="0.2">
      <c r="A871" t="s">
        <v>2534</v>
      </c>
      <c r="B871" t="s">
        <v>2535</v>
      </c>
      <c r="C871" s="4" t="s">
        <v>2536</v>
      </c>
      <c r="D871" t="str">
        <f>SUBSTITUTE(Table1[[#This Row],[Target_product_name]], "oz", " oz")</f>
        <v>Quaker Lower Sugar Variety Pack Oatmeal - 9.3 oz</v>
      </c>
      <c r="E871" t="str">
        <f>TRIM(RIGHT(C871, LEN(C871) - FIND("-", C871)))</f>
        <v>9.3oz</v>
      </c>
      <c r="F871" t="str">
        <f>LEFT(Table1[[#This Row],[Target_product_quantity]], FIND("o", Table1[[#This Row],[Target_product_quantity]])-1)</f>
        <v>9.3</v>
      </c>
      <c r="G871" t="str" cm="1">
        <f t="array" ref="G871">_xlfn.TEXTJOIN("", TRUE, IF(ISNUMBER(SEARCH($K$1010:$K$1054, C871)), $K$1010:$K$1054, ""))</f>
        <v>Quaker</v>
      </c>
      <c r="H871" t="str">
        <f t="shared" si="48"/>
        <v>Rice</v>
      </c>
      <c r="I871" t="str">
        <f t="shared" si="49"/>
        <v>Grain</v>
      </c>
      <c r="J871">
        <v>3.59</v>
      </c>
      <c r="K871">
        <f>Table1[[#This Row],[Target_product_price]]/Table1[[#This Row],[product_price_per_oz]]</f>
        <v>0.38602150537634405</v>
      </c>
    </row>
    <row r="872" spans="1:11" x14ac:dyDescent="0.2">
      <c r="A872" t="s">
        <v>2537</v>
      </c>
      <c r="B872" t="s">
        <v>2538</v>
      </c>
      <c r="C872" s="4" t="s">
        <v>2539</v>
      </c>
      <c r="D872" t="str">
        <f>SUBSTITUTE(Table1[[#This Row],[Target_product_name]], "oz", " oz")</f>
        <v>Quaker Maple &amp; Brown Sugar Instant Oatmeal - 72.8 oz/48ct</v>
      </c>
      <c r="E872" t="s">
        <v>2540</v>
      </c>
      <c r="F872" t="str">
        <f>LEFT(Table1[[#This Row],[Target_product_quantity]], FIND("o", Table1[[#This Row],[Target_product_quantity]])-1)</f>
        <v>72.8</v>
      </c>
      <c r="G872" t="str" cm="1">
        <f t="array" ref="G872">_xlfn.TEXTJOIN("", TRUE, IF(ISNUMBER(SEARCH($K$1010:$K$1054, C872)), $K$1010:$K$1054, ""))</f>
        <v>Quaker</v>
      </c>
      <c r="H872" t="str">
        <f t="shared" si="48"/>
        <v>Rice</v>
      </c>
      <c r="I872" t="str">
        <f t="shared" si="49"/>
        <v>Grain</v>
      </c>
      <c r="J872">
        <v>19.989999999999998</v>
      </c>
      <c r="K872">
        <f>Table1[[#This Row],[Target_product_price]]/Table1[[#This Row],[product_price_per_oz]]</f>
        <v>0.27458791208791206</v>
      </c>
    </row>
    <row r="873" spans="1:11" x14ac:dyDescent="0.2">
      <c r="A873" t="s">
        <v>2541</v>
      </c>
      <c r="B873" t="s">
        <v>2542</v>
      </c>
      <c r="C873" s="4" t="s">
        <v>2543</v>
      </c>
      <c r="D873" t="str">
        <f>SUBSTITUTE(Table1[[#This Row],[Target_product_name]], "oz", " oz")</f>
        <v>Quaker Oats Old Fashioned Oats - 42 oz</v>
      </c>
      <c r="E873" t="str">
        <f>TRIM(RIGHT(C873, LEN(C873) - FIND("-", C873)))</f>
        <v>42oz</v>
      </c>
      <c r="F873" t="str">
        <f>LEFT(Table1[[#This Row],[Target_product_quantity]], FIND("o", Table1[[#This Row],[Target_product_quantity]])-1)</f>
        <v>42</v>
      </c>
      <c r="G873" t="str" cm="1">
        <f t="array" ref="G873">_xlfn.TEXTJOIN("", TRUE, IF(ISNUMBER(SEARCH($K$1010:$K$1054, C873)), $K$1010:$K$1054, ""))</f>
        <v>Quaker</v>
      </c>
      <c r="H873" t="str">
        <f t="shared" si="48"/>
        <v>Rice</v>
      </c>
      <c r="I873" t="str">
        <f t="shared" si="49"/>
        <v>Grain</v>
      </c>
      <c r="J873">
        <v>5.99</v>
      </c>
      <c r="K873">
        <f>Table1[[#This Row],[Target_product_price]]/Table1[[#This Row],[product_price_per_oz]]</f>
        <v>0.14261904761904762</v>
      </c>
    </row>
    <row r="874" spans="1:11" x14ac:dyDescent="0.2">
      <c r="A874" t="s">
        <v>2544</v>
      </c>
      <c r="B874" t="s">
        <v>2545</v>
      </c>
      <c r="C874" s="4" t="s">
        <v>2546</v>
      </c>
      <c r="D874" t="str">
        <f>SUBSTITUTE(Table1[[#This Row],[Target_product_name]], "oz", " oz")</f>
        <v>Quaker Simply Granola Raisin, Oats, Honey, Raisin and Almond - 24.1 oz</v>
      </c>
      <c r="E874" t="str">
        <f>TRIM(RIGHT(C874, LEN(C874) - FIND("-", C874)))</f>
        <v>24.1oz</v>
      </c>
      <c r="F874" t="str">
        <f>LEFT(Table1[[#This Row],[Target_product_quantity]], FIND("o", Table1[[#This Row],[Target_product_quantity]])-1)</f>
        <v>24.1</v>
      </c>
      <c r="G874" t="str" cm="1">
        <f t="array" ref="G874">_xlfn.TEXTJOIN("", TRUE, IF(ISNUMBER(SEARCH($K$1010:$K$1054, C874)), $K$1010:$K$1054, ""))</f>
        <v>Quaker</v>
      </c>
      <c r="H874" t="str">
        <f t="shared" si="48"/>
        <v>Rice</v>
      </c>
      <c r="I874" t="str">
        <f t="shared" si="49"/>
        <v>Grain</v>
      </c>
      <c r="J874">
        <v>5.29</v>
      </c>
      <c r="K874">
        <f>Table1[[#This Row],[Target_product_price]]/Table1[[#This Row],[product_price_per_oz]]</f>
        <v>0.21950207468879668</v>
      </c>
    </row>
    <row r="875" spans="1:11" x14ac:dyDescent="0.2">
      <c r="A875" t="s">
        <v>2547</v>
      </c>
      <c r="B875" t="s">
        <v>2548</v>
      </c>
      <c r="C875" s="4" t="s">
        <v>2549</v>
      </c>
      <c r="D875" t="str">
        <f>SUBSTITUTE(Table1[[#This Row],[Target_product_name]], "oz", " oz")</f>
        <v>Quaker Simply Granola Regular, Oats, Honey, Almond - 24.1 oz</v>
      </c>
      <c r="E875" t="str">
        <f>TRIM(RIGHT(C875, LEN(C875) - FIND("-", C875)))</f>
        <v>24.1oz</v>
      </c>
      <c r="F875" t="str">
        <f>LEFT(Table1[[#This Row],[Target_product_quantity]], FIND("o", Table1[[#This Row],[Target_product_quantity]])-1)</f>
        <v>24.1</v>
      </c>
      <c r="G875" t="str" cm="1">
        <f t="array" ref="G875">_xlfn.TEXTJOIN("", TRUE, IF(ISNUMBER(SEARCH($K$1010:$K$1054, C875)), $K$1010:$K$1054, ""))</f>
        <v>Quaker</v>
      </c>
      <c r="H875" t="str">
        <f t="shared" si="48"/>
        <v>Rice</v>
      </c>
      <c r="I875" t="str">
        <f t="shared" si="49"/>
        <v>Grain</v>
      </c>
      <c r="J875">
        <v>5.29</v>
      </c>
      <c r="K875">
        <f>Table1[[#This Row],[Target_product_price]]/Table1[[#This Row],[product_price_per_oz]]</f>
        <v>0.21950207468879668</v>
      </c>
    </row>
    <row r="876" spans="1:11" x14ac:dyDescent="0.2">
      <c r="A876" t="s">
        <v>2550</v>
      </c>
      <c r="B876" t="s">
        <v>2551</v>
      </c>
      <c r="C876" s="4" t="s">
        <v>2552</v>
      </c>
      <c r="D876" t="str">
        <f>SUBSTITUTE(Table1[[#This Row],[Target_product_name]], "oz", " oz")</f>
        <v>Quaker Whole Grain Quick 1-Minute Oats - 42 oz</v>
      </c>
      <c r="E876" t="s">
        <v>2553</v>
      </c>
      <c r="F876" t="str">
        <f>LEFT(Table1[[#This Row],[Target_product_quantity]], FIND("o", Table1[[#This Row],[Target_product_quantity]])-1)</f>
        <v>42</v>
      </c>
      <c r="G876" t="str" cm="1">
        <f t="array" ref="G876">_xlfn.TEXTJOIN("", TRUE, IF(ISNUMBER(SEARCH($K$1010:$K$1054, C876)), $K$1010:$K$1054, ""))</f>
        <v>Quaker</v>
      </c>
      <c r="H876" t="str">
        <f t="shared" si="48"/>
        <v>Rice</v>
      </c>
      <c r="I876" t="str">
        <f t="shared" si="49"/>
        <v>Grain</v>
      </c>
      <c r="J876">
        <v>5.99</v>
      </c>
      <c r="K876">
        <f>Table1[[#This Row],[Target_product_price]]/Table1[[#This Row],[product_price_per_oz]]</f>
        <v>0.14261904761904762</v>
      </c>
    </row>
    <row r="877" spans="1:11" x14ac:dyDescent="0.2">
      <c r="A877" t="s">
        <v>2554</v>
      </c>
      <c r="B877" t="s">
        <v>2555</v>
      </c>
      <c r="C877" t="s">
        <v>2556</v>
      </c>
      <c r="D877" t="str">
        <f>SUBSTITUTE(Table1[[#This Row],[Target_product_name]], "oz", " oz")</f>
        <v>Rao's Homemade Alfredo Sauce - 15 oz</v>
      </c>
      <c r="E877" t="str">
        <f>TRIM(RIGHT(C877, LEN(C877) - FIND("-", C877)))</f>
        <v>15oz</v>
      </c>
      <c r="F877" t="str">
        <f>LEFT(Table1[[#This Row],[Target_product_quantity]], FIND("o", Table1[[#This Row],[Target_product_quantity]])-1)</f>
        <v>15</v>
      </c>
      <c r="G877" t="str" cm="1">
        <f t="array" ref="G877">_xlfn.TEXTJOIN("", TRUE, IF(ISNUMBER(SEARCH($K$1010:$K$1054, C877)), $K$1010:$K$1054, ""))</f>
        <v>Rao's Homemade</v>
      </c>
      <c r="H877" t="str">
        <f t="shared" si="48"/>
        <v>Pasta</v>
      </c>
      <c r="I877" t="str">
        <f t="shared" si="49"/>
        <v>Grain</v>
      </c>
      <c r="J877">
        <v>6.89</v>
      </c>
      <c r="K877">
        <f>Table1[[#This Row],[Target_product_price]]/Table1[[#This Row],[product_price_per_oz]]</f>
        <v>0.45933333333333332</v>
      </c>
    </row>
    <row r="878" spans="1:11" x14ac:dyDescent="0.2">
      <c r="A878" t="s">
        <v>2557</v>
      </c>
      <c r="B878" t="s">
        <v>2558</v>
      </c>
      <c r="C878" t="s">
        <v>2559</v>
      </c>
      <c r="D878" t="str">
        <f>SUBSTITUTE(Table1[[#This Row],[Target_product_name]], "oz", " oz")</f>
        <v>Rao's Homemade Arrabbiata Pizza Sauce - 12.3 oz</v>
      </c>
      <c r="E878" t="str">
        <f>TRIM(RIGHT(C878, LEN(C878) - FIND("-", C878)))</f>
        <v>12.3oz</v>
      </c>
      <c r="F878" t="str">
        <f>LEFT(Table1[[#This Row],[Target_product_quantity]], FIND("o", Table1[[#This Row],[Target_product_quantity]])-1)</f>
        <v>12.3</v>
      </c>
      <c r="G878" t="str" cm="1">
        <f t="array" ref="G878">_xlfn.TEXTJOIN("", TRUE, IF(ISNUMBER(SEARCH($K$1010:$K$1054, C878)), $K$1010:$K$1054, ""))</f>
        <v>Rao's Homemade</v>
      </c>
      <c r="H878" t="str">
        <f t="shared" si="48"/>
        <v>Pasta</v>
      </c>
      <c r="I878" t="str">
        <f t="shared" si="49"/>
        <v>Grain</v>
      </c>
      <c r="J878">
        <v>5.99</v>
      </c>
      <c r="K878">
        <f>Table1[[#This Row],[Target_product_price]]/Table1[[#This Row],[product_price_per_oz]]</f>
        <v>0.48699186991869919</v>
      </c>
    </row>
    <row r="879" spans="1:11" x14ac:dyDescent="0.2">
      <c r="A879" t="s">
        <v>2560</v>
      </c>
      <c r="B879" t="s">
        <v>2561</v>
      </c>
      <c r="C879" t="s">
        <v>2562</v>
      </c>
      <c r="D879" t="str">
        <f>SUBSTITUTE(Table1[[#This Row],[Target_product_name]], "oz", " oz")</f>
        <v>Rao's Homemade Bacon Alfredo - 15 oz</v>
      </c>
      <c r="E879" t="str">
        <f>TRIM(RIGHT(C879, LEN(C879) - FIND("-", C879)))</f>
        <v>15oz</v>
      </c>
      <c r="F879" t="str">
        <f>LEFT(Table1[[#This Row],[Target_product_quantity]], FIND("o", Table1[[#This Row],[Target_product_quantity]])-1)</f>
        <v>15</v>
      </c>
      <c r="G879" t="str" cm="1">
        <f t="array" ref="G879">_xlfn.TEXTJOIN("", TRUE, IF(ISNUMBER(SEARCH($K$1010:$K$1054, C879)), $K$1010:$K$1054, ""))</f>
        <v>Rao's Homemade</v>
      </c>
      <c r="H879" t="str">
        <f t="shared" si="48"/>
        <v>Pasta</v>
      </c>
      <c r="I879" t="str">
        <f t="shared" si="49"/>
        <v>Grain</v>
      </c>
      <c r="J879">
        <v>6.89</v>
      </c>
      <c r="K879">
        <f>Table1[[#This Row],[Target_product_price]]/Table1[[#This Row],[product_price_per_oz]]</f>
        <v>0.45933333333333332</v>
      </c>
    </row>
    <row r="880" spans="1:11" x14ac:dyDescent="0.2">
      <c r="A880" t="s">
        <v>2563</v>
      </c>
      <c r="B880" t="s">
        <v>2564</v>
      </c>
      <c r="C880" t="s">
        <v>2565</v>
      </c>
      <c r="D880" t="str">
        <f>SUBSTITUTE(Table1[[#This Row],[Target_product_name]], "oz", " oz")</f>
        <v>Rao's Homemade Basil Pesto Sauce Premium Quality Flavorful Pasta Sauce and Spread - 6.7  oz</v>
      </c>
      <c r="E880" t="str">
        <f>TRIM(RIGHT(C880, LEN(C880) - FIND("-", C880)))</f>
        <v>6.7 oz</v>
      </c>
      <c r="F880" t="str">
        <f>LEFT(Table1[[#This Row],[Target_product_quantity]], FIND("o", Table1[[#This Row],[Target_product_quantity]])-1)</f>
        <v xml:space="preserve">6.7 </v>
      </c>
      <c r="G880" t="str" cm="1">
        <f t="array" ref="G880">_xlfn.TEXTJOIN("", TRUE, IF(ISNUMBER(SEARCH($K$1010:$K$1054, C880)), $K$1010:$K$1054, ""))</f>
        <v>Rao's Homemade</v>
      </c>
      <c r="H880" t="str">
        <f t="shared" si="48"/>
        <v>Pasta</v>
      </c>
      <c r="I880" t="str">
        <f t="shared" si="49"/>
        <v>Grain</v>
      </c>
      <c r="J880">
        <v>4.29</v>
      </c>
      <c r="K880">
        <f>Table1[[#This Row],[Target_product_price]]/Table1[[#This Row],[product_price_per_oz]]</f>
        <v>0.64029850746268657</v>
      </c>
    </row>
    <row r="881" spans="1:11" x14ac:dyDescent="0.2">
      <c r="A881" t="s">
        <v>2566</v>
      </c>
      <c r="B881" t="s">
        <v>2567</v>
      </c>
      <c r="C881" t="s">
        <v>2568</v>
      </c>
      <c r="D881" t="str">
        <f>SUBSTITUTE(Table1[[#This Row],[Target_product_name]], "oz", " oz")</f>
        <v>Rao's Homemade Bolognese Sauce - 24 oz.</v>
      </c>
      <c r="E881" t="str">
        <f>TRIM(RIGHT(C881, LEN(C881) - FIND("-", C881)))</f>
        <v>24oz.</v>
      </c>
      <c r="F881" t="str">
        <f>LEFT(Table1[[#This Row],[Target_product_quantity]], FIND("o", Table1[[#This Row],[Target_product_quantity]])-1)</f>
        <v>24</v>
      </c>
      <c r="G881" t="str" cm="1">
        <f t="array" ref="G881">_xlfn.TEXTJOIN("", TRUE, IF(ISNUMBER(SEARCH($K$1010:$K$1054, C881)), $K$1010:$K$1054, ""))</f>
        <v>Rao's Homemade</v>
      </c>
      <c r="H881" t="str">
        <f t="shared" si="48"/>
        <v>Pasta</v>
      </c>
      <c r="I881" t="str">
        <f t="shared" si="49"/>
        <v>Grain</v>
      </c>
      <c r="J881">
        <v>6.89</v>
      </c>
      <c r="K881">
        <f>Table1[[#This Row],[Target_product_price]]/Table1[[#This Row],[product_price_per_oz]]</f>
        <v>0.2870833333333333</v>
      </c>
    </row>
    <row r="882" spans="1:11" x14ac:dyDescent="0.2">
      <c r="A882" t="s">
        <v>2569</v>
      </c>
      <c r="B882" t="s">
        <v>2570</v>
      </c>
      <c r="C882" t="s">
        <v>2571</v>
      </c>
      <c r="D882" t="str">
        <f>SUBSTITUTE(Table1[[#This Row],[Target_product_name]], "oz", " oz")</f>
        <v>Rao's Homemade Bucatini Pasta - Case of 15/16  oz</v>
      </c>
      <c r="E882" t="s">
        <v>372</v>
      </c>
      <c r="F882" t="str">
        <f>LEFT(Table1[[#This Row],[Target_product_quantity]], FIND("o", Table1[[#This Row],[Target_product_quantity]])-1)</f>
        <v>16</v>
      </c>
      <c r="G882" t="str" cm="1">
        <f t="array" ref="G882">_xlfn.TEXTJOIN("", TRUE, IF(ISNUMBER(SEARCH($K$1010:$K$1054, C882)), $K$1010:$K$1054, ""))</f>
        <v>Rao's Homemade</v>
      </c>
      <c r="H882" t="str">
        <f t="shared" si="48"/>
        <v>Pasta</v>
      </c>
      <c r="I882" t="str">
        <f t="shared" si="49"/>
        <v>Grain</v>
      </c>
      <c r="J882">
        <v>30.49</v>
      </c>
      <c r="K882">
        <f>Table1[[#This Row],[Target_product_price]]/Table1[[#This Row],[product_price_per_oz]]</f>
        <v>1.9056249999999999</v>
      </c>
    </row>
    <row r="883" spans="1:11" x14ac:dyDescent="0.2">
      <c r="A883" t="s">
        <v>2572</v>
      </c>
      <c r="B883" t="s">
        <v>2573</v>
      </c>
      <c r="C883" t="s">
        <v>2574</v>
      </c>
      <c r="D883" t="str">
        <f>SUBSTITUTE(Table1[[#This Row],[Target_product_name]], "oz", " oz")</f>
        <v>Rao's Homemade Four Cheese Alfredo - 15 oz</v>
      </c>
      <c r="E883" t="str">
        <f>TRIM(RIGHT(C883, LEN(C883) - FIND("-", C883)))</f>
        <v>15oz</v>
      </c>
      <c r="F883" t="str">
        <f>LEFT(Table1[[#This Row],[Target_product_quantity]], FIND("o", Table1[[#This Row],[Target_product_quantity]])-1)</f>
        <v>15</v>
      </c>
      <c r="G883" t="str" cm="1">
        <f t="array" ref="G883">_xlfn.TEXTJOIN("", TRUE, IF(ISNUMBER(SEARCH($K$1010:$K$1054, C883)), $K$1010:$K$1054, ""))</f>
        <v>Rao's Homemade</v>
      </c>
      <c r="H883" t="str">
        <f t="shared" si="48"/>
        <v>Pasta</v>
      </c>
      <c r="I883" t="str">
        <f t="shared" si="49"/>
        <v>Grain</v>
      </c>
      <c r="J883">
        <v>6.89</v>
      </c>
      <c r="K883">
        <f>Table1[[#This Row],[Target_product_price]]/Table1[[#This Row],[product_price_per_oz]]</f>
        <v>0.45933333333333332</v>
      </c>
    </row>
    <row r="884" spans="1:11" x14ac:dyDescent="0.2">
      <c r="A884" t="s">
        <v>2575</v>
      </c>
      <c r="B884" t="s">
        <v>2576</v>
      </c>
      <c r="C884" t="s">
        <v>2577</v>
      </c>
      <c r="D884" t="str">
        <f>SUBSTITUTE(Table1[[#This Row],[Target_product_name]], "oz", " oz")</f>
        <v>Rao's Homemade Garlic Alfredo Sauce - 15 oz</v>
      </c>
      <c r="E884" t="str">
        <f>TRIM(RIGHT(C884, LEN(C884) - FIND("-", C884)))</f>
        <v>15oz</v>
      </c>
      <c r="F884" t="str">
        <f>LEFT(Table1[[#This Row],[Target_product_quantity]], FIND("o", Table1[[#This Row],[Target_product_quantity]])-1)</f>
        <v>15</v>
      </c>
      <c r="G884" t="str" cm="1">
        <f t="array" ref="G884">_xlfn.TEXTJOIN("", TRUE, IF(ISNUMBER(SEARCH($K$1010:$K$1054, C884)), $K$1010:$K$1054, ""))</f>
        <v>Rao's Homemade</v>
      </c>
      <c r="H884" t="str">
        <f t="shared" si="48"/>
        <v>Pasta</v>
      </c>
      <c r="I884" t="str">
        <f t="shared" si="49"/>
        <v>Grain</v>
      </c>
      <c r="J884">
        <v>7.19</v>
      </c>
      <c r="K884">
        <f>Table1[[#This Row],[Target_product_price]]/Table1[[#This Row],[product_price_per_oz]]</f>
        <v>0.47933333333333333</v>
      </c>
    </row>
    <row r="885" spans="1:11" x14ac:dyDescent="0.2">
      <c r="A885" t="s">
        <v>2578</v>
      </c>
      <c r="B885" t="s">
        <v>2579</v>
      </c>
      <c r="C885" t="s">
        <v>2580</v>
      </c>
      <c r="D885" t="str">
        <f>SUBSTITUTE(Table1[[#This Row],[Target_product_name]], "oz", " oz")</f>
        <v>Rao's Homemade Italian Sausage and Mushroom Pasta Sauce - Case of 6/24  oz</v>
      </c>
      <c r="E885" t="s">
        <v>1941</v>
      </c>
      <c r="F885" t="str">
        <f>LEFT(Table1[[#This Row],[Target_product_quantity]], FIND("o", Table1[[#This Row],[Target_product_quantity]])-1)</f>
        <v>24</v>
      </c>
      <c r="G885" t="str" cm="1">
        <f t="array" ref="G885">_xlfn.TEXTJOIN("", TRUE, IF(ISNUMBER(SEARCH($K$1010:$K$1054, C885)), $K$1010:$K$1054, ""))</f>
        <v>Rao's Homemade</v>
      </c>
      <c r="H885" t="str">
        <f t="shared" si="48"/>
        <v>Pasta</v>
      </c>
      <c r="I885" t="str">
        <f t="shared" si="49"/>
        <v>Grain</v>
      </c>
      <c r="J885">
        <v>71.989999999999995</v>
      </c>
      <c r="K885">
        <f>Table1[[#This Row],[Target_product_price]]/Table1[[#This Row],[product_price_per_oz]]</f>
        <v>2.9995833333333333</v>
      </c>
    </row>
    <row r="886" spans="1:11" x14ac:dyDescent="0.2">
      <c r="A886" t="s">
        <v>2581</v>
      </c>
      <c r="B886" t="s">
        <v>2582</v>
      </c>
      <c r="C886" t="s">
        <v>2583</v>
      </c>
      <c r="D886" t="str">
        <f>SUBSTITUTE(Table1[[#This Row],[Target_product_name]], "oz", " oz")</f>
        <v>Rao's Homemade Italian Style Italian Wedding Soup - 16 oz</v>
      </c>
      <c r="E886" t="str">
        <f t="shared" ref="E886:E894" si="51">TRIM(RIGHT(C886, LEN(C886) - FIND("-", C886)))</f>
        <v>16oz</v>
      </c>
      <c r="F886" t="str">
        <f>LEFT(Table1[[#This Row],[Target_product_quantity]], FIND("o", Table1[[#This Row],[Target_product_quantity]])-1)</f>
        <v>16</v>
      </c>
      <c r="G886" t="str" cm="1">
        <f t="array" ref="G886">_xlfn.TEXTJOIN("", TRUE, IF(ISNUMBER(SEARCH($K$1010:$K$1054, C886)), $K$1010:$K$1054, ""))</f>
        <v>Rao's Homemade</v>
      </c>
      <c r="H886" t="str">
        <f t="shared" si="48"/>
        <v>Pasta</v>
      </c>
      <c r="I886" t="str">
        <f t="shared" si="49"/>
        <v>Grain</v>
      </c>
      <c r="J886">
        <v>4.3899999999999997</v>
      </c>
      <c r="K886">
        <f>Table1[[#This Row],[Target_product_price]]/Table1[[#This Row],[product_price_per_oz]]</f>
        <v>0.27437499999999998</v>
      </c>
    </row>
    <row r="887" spans="1:11" x14ac:dyDescent="0.2">
      <c r="A887" t="s">
        <v>2584</v>
      </c>
      <c r="B887" t="s">
        <v>2585</v>
      </c>
      <c r="C887" t="s">
        <v>2586</v>
      </c>
      <c r="D887" t="str">
        <f>SUBSTITUTE(Table1[[#This Row],[Target_product_name]], "oz", " oz")</f>
        <v>Rao's Homemade Italian Style Vegetable Minestrone Soup - 16 oz</v>
      </c>
      <c r="E887" t="str">
        <f t="shared" si="51"/>
        <v>16oz</v>
      </c>
      <c r="F887" t="str">
        <f>LEFT(Table1[[#This Row],[Target_product_quantity]], FIND("o", Table1[[#This Row],[Target_product_quantity]])-1)</f>
        <v>16</v>
      </c>
      <c r="G887" t="str" cm="1">
        <f t="array" ref="G887">_xlfn.TEXTJOIN("", TRUE, IF(ISNUMBER(SEARCH($K$1010:$K$1054, C887)), $K$1010:$K$1054, ""))</f>
        <v>Rao's Homemade</v>
      </c>
      <c r="H887" t="str">
        <f t="shared" si="48"/>
        <v>Pasta</v>
      </c>
      <c r="I887" t="str">
        <f t="shared" si="49"/>
        <v>Grain</v>
      </c>
      <c r="J887">
        <v>4.3899999999999997</v>
      </c>
      <c r="K887">
        <f>Table1[[#This Row],[Target_product_price]]/Table1[[#This Row],[product_price_per_oz]]</f>
        <v>0.27437499999999998</v>
      </c>
    </row>
    <row r="888" spans="1:11" x14ac:dyDescent="0.2">
      <c r="A888" t="s">
        <v>2587</v>
      </c>
      <c r="B888" t="s">
        <v>2588</v>
      </c>
      <c r="C888" t="s">
        <v>2589</v>
      </c>
      <c r="D888" t="str">
        <f>SUBSTITUTE(Table1[[#This Row],[Target_product_name]], "oz", " oz")</f>
        <v>Rao's Homemade Limited Reserve Cardoncelli Mushroom - 19 oz</v>
      </c>
      <c r="E888" t="str">
        <f t="shared" si="51"/>
        <v>19oz</v>
      </c>
      <c r="F888" t="str">
        <f>LEFT(Table1[[#This Row],[Target_product_quantity]], FIND("o", Table1[[#This Row],[Target_product_quantity]])-1)</f>
        <v>19</v>
      </c>
      <c r="G888" t="str" cm="1">
        <f t="array" ref="G888">_xlfn.TEXTJOIN("", TRUE, IF(ISNUMBER(SEARCH($K$1010:$K$1054, C888)), $K$1010:$K$1054, ""))</f>
        <v>Rao's Homemade</v>
      </c>
      <c r="H888" t="str">
        <f t="shared" si="48"/>
        <v>Pasta</v>
      </c>
      <c r="I888" t="str">
        <f t="shared" si="49"/>
        <v>Grain</v>
      </c>
      <c r="J888">
        <v>11.99</v>
      </c>
      <c r="K888">
        <f>Table1[[#This Row],[Target_product_price]]/Table1[[#This Row],[product_price_per_oz]]</f>
        <v>0.63105263157894742</v>
      </c>
    </row>
    <row r="889" spans="1:11" x14ac:dyDescent="0.2">
      <c r="A889" t="s">
        <v>2590</v>
      </c>
      <c r="B889" t="s">
        <v>2591</v>
      </c>
      <c r="C889" t="s">
        <v>2592</v>
      </c>
      <c r="D889" t="str">
        <f>SUBSTITUTE(Table1[[#This Row],[Target_product_name]], "oz", " oz")</f>
        <v>Rao's Homemade Marinara Sauce Premium Quality All Natural Tomato Sauce &amp; Pasta Sauce Keto Friendly &amp; Carb Conscious - 24 oz</v>
      </c>
      <c r="E889" t="str">
        <f t="shared" si="51"/>
        <v>24oz</v>
      </c>
      <c r="F889" t="str">
        <f>LEFT(Table1[[#This Row],[Target_product_quantity]], FIND("o", Table1[[#This Row],[Target_product_quantity]])-1)</f>
        <v>24</v>
      </c>
      <c r="G889" t="str" cm="1">
        <f t="array" ref="G889">_xlfn.TEXTJOIN("", TRUE, IF(ISNUMBER(SEARCH($K$1010:$K$1054, C889)), $K$1010:$K$1054, ""))</f>
        <v>Rao's Homemade</v>
      </c>
      <c r="H889" t="str">
        <f t="shared" si="48"/>
        <v>Pasta</v>
      </c>
      <c r="I889" t="str">
        <f t="shared" si="49"/>
        <v>Grain</v>
      </c>
      <c r="J889">
        <v>6.89</v>
      </c>
      <c r="K889">
        <f>Table1[[#This Row],[Target_product_price]]/Table1[[#This Row],[product_price_per_oz]]</f>
        <v>0.2870833333333333</v>
      </c>
    </row>
    <row r="890" spans="1:11" x14ac:dyDescent="0.2">
      <c r="A890" t="s">
        <v>2593</v>
      </c>
      <c r="B890" t="s">
        <v>2594</v>
      </c>
      <c r="C890" t="s">
        <v>2595</v>
      </c>
      <c r="D890" t="str">
        <f>SUBSTITUTE(Table1[[#This Row],[Target_product_name]], "oz", " oz")</f>
        <v>Rao's Homemade Pasta Fusilli - 16 oz</v>
      </c>
      <c r="E890" t="str">
        <f t="shared" si="51"/>
        <v>16oz</v>
      </c>
      <c r="F890" t="str">
        <f>LEFT(Table1[[#This Row],[Target_product_quantity]], FIND("o", Table1[[#This Row],[Target_product_quantity]])-1)</f>
        <v>16</v>
      </c>
      <c r="G890" t="str" cm="1">
        <f t="array" ref="G890">_xlfn.TEXTJOIN("", TRUE, IF(ISNUMBER(SEARCH($K$1010:$K$1054, C890)), $K$1010:$K$1054, ""))</f>
        <v>Rao's Homemade</v>
      </c>
      <c r="H890" t="str">
        <f t="shared" si="48"/>
        <v>Pasta</v>
      </c>
      <c r="I890" t="str">
        <f t="shared" si="49"/>
        <v>Grain</v>
      </c>
      <c r="J890">
        <v>2.99</v>
      </c>
      <c r="K890">
        <f>Table1[[#This Row],[Target_product_price]]/Table1[[#This Row],[product_price_per_oz]]</f>
        <v>0.18687500000000001</v>
      </c>
    </row>
    <row r="891" spans="1:11" x14ac:dyDescent="0.2">
      <c r="A891" t="s">
        <v>2596</v>
      </c>
      <c r="B891" t="s">
        <v>2597</v>
      </c>
      <c r="C891" t="s">
        <v>2598</v>
      </c>
      <c r="D891" t="str">
        <f>SUBSTITUTE(Table1[[#This Row],[Target_product_name]], "oz", " oz")</f>
        <v>Rao's Homemade Pasta Linguini - 16 oz</v>
      </c>
      <c r="E891" t="str">
        <f t="shared" si="51"/>
        <v>16oz</v>
      </c>
      <c r="F891" t="str">
        <f>LEFT(Table1[[#This Row],[Target_product_quantity]], FIND("o", Table1[[#This Row],[Target_product_quantity]])-1)</f>
        <v>16</v>
      </c>
      <c r="G891" t="str" cm="1">
        <f t="array" ref="G891">_xlfn.TEXTJOIN("", TRUE, IF(ISNUMBER(SEARCH($K$1010:$K$1054, C891)), $K$1010:$K$1054, ""))</f>
        <v>Rao's Homemade</v>
      </c>
      <c r="H891" t="str">
        <f t="shared" si="48"/>
        <v>Pasta</v>
      </c>
      <c r="I891" t="str">
        <f t="shared" si="49"/>
        <v>Grain</v>
      </c>
      <c r="J891">
        <v>2.99</v>
      </c>
      <c r="K891">
        <f>Table1[[#This Row],[Target_product_price]]/Table1[[#This Row],[product_price_per_oz]]</f>
        <v>0.18687500000000001</v>
      </c>
    </row>
    <row r="892" spans="1:11" x14ac:dyDescent="0.2">
      <c r="A892" t="s">
        <v>2599</v>
      </c>
      <c r="B892" t="s">
        <v>2600</v>
      </c>
      <c r="C892" t="s">
        <v>2601</v>
      </c>
      <c r="D892" t="str">
        <f>SUBSTITUTE(Table1[[#This Row],[Target_product_name]], "oz", " oz")</f>
        <v>Rao's Homemade Pasta Spaghetti - 16 oz</v>
      </c>
      <c r="E892" t="str">
        <f t="shared" si="51"/>
        <v>16oz</v>
      </c>
      <c r="F892" t="str">
        <f>LEFT(Table1[[#This Row],[Target_product_quantity]], FIND("o", Table1[[#This Row],[Target_product_quantity]])-1)</f>
        <v>16</v>
      </c>
      <c r="G892" t="str" cm="1">
        <f t="array" ref="G892">_xlfn.TEXTJOIN("", TRUE, IF(ISNUMBER(SEARCH($K$1010:$K$1054, C892)), $K$1010:$K$1054, ""))</f>
        <v>Rao's Homemade</v>
      </c>
      <c r="H892" t="str">
        <f t="shared" si="48"/>
        <v>Pasta</v>
      </c>
      <c r="I892" t="str">
        <f t="shared" si="49"/>
        <v>Grain</v>
      </c>
      <c r="J892">
        <v>2.99</v>
      </c>
      <c r="K892">
        <f>Table1[[#This Row],[Target_product_price]]/Table1[[#This Row],[product_price_per_oz]]</f>
        <v>0.18687500000000001</v>
      </c>
    </row>
    <row r="893" spans="1:11" x14ac:dyDescent="0.2">
      <c r="A893" t="s">
        <v>2602</v>
      </c>
      <c r="B893" t="s">
        <v>2603</v>
      </c>
      <c r="C893" t="s">
        <v>2604</v>
      </c>
      <c r="D893" t="str">
        <f>SUBSTITUTE(Table1[[#This Row],[Target_product_name]], "oz", " oz")</f>
        <v>Rao's Homemade Penne Pasta - 16 oz</v>
      </c>
      <c r="E893" t="str">
        <f t="shared" si="51"/>
        <v>16oz</v>
      </c>
      <c r="F893" t="str">
        <f>LEFT(Table1[[#This Row],[Target_product_quantity]], FIND("o", Table1[[#This Row],[Target_product_quantity]])-1)</f>
        <v>16</v>
      </c>
      <c r="G893" t="str" cm="1">
        <f t="array" ref="G893">_xlfn.TEXTJOIN("", TRUE, IF(ISNUMBER(SEARCH($K$1010:$K$1054, C893)), $K$1010:$K$1054, ""))</f>
        <v>Rao's Homemade</v>
      </c>
      <c r="H893" t="str">
        <f t="shared" si="48"/>
        <v>Pasta</v>
      </c>
      <c r="I893" t="str">
        <f t="shared" si="49"/>
        <v>Grain</v>
      </c>
      <c r="J893">
        <v>2.99</v>
      </c>
      <c r="K893">
        <f>Table1[[#This Row],[Target_product_price]]/Table1[[#This Row],[product_price_per_oz]]</f>
        <v>0.18687500000000001</v>
      </c>
    </row>
    <row r="894" spans="1:11" x14ac:dyDescent="0.2">
      <c r="A894" t="s">
        <v>2605</v>
      </c>
      <c r="B894" t="s">
        <v>2606</v>
      </c>
      <c r="C894" t="s">
        <v>2607</v>
      </c>
      <c r="D894" t="str">
        <f>SUBSTITUTE(Table1[[#This Row],[Target_product_name]], "oz", " oz")</f>
        <v>Rao's Homemade Pizza Sauce - 12.3 oz</v>
      </c>
      <c r="E894" t="str">
        <f t="shared" si="51"/>
        <v>12.3oz</v>
      </c>
      <c r="F894" t="str">
        <f>LEFT(Table1[[#This Row],[Target_product_quantity]], FIND("o", Table1[[#This Row],[Target_product_quantity]])-1)</f>
        <v>12.3</v>
      </c>
      <c r="G894" t="str" cm="1">
        <f t="array" ref="G894">_xlfn.TEXTJOIN("", TRUE, IF(ISNUMBER(SEARCH($K$1010:$K$1054, C894)), $K$1010:$K$1054, ""))</f>
        <v>Rao's Homemade</v>
      </c>
      <c r="H894" t="str">
        <f t="shared" si="48"/>
        <v>Pasta</v>
      </c>
      <c r="I894" t="str">
        <f t="shared" si="49"/>
        <v>Grain</v>
      </c>
      <c r="J894">
        <v>5.99</v>
      </c>
      <c r="K894">
        <f>Table1[[#This Row],[Target_product_price]]/Table1[[#This Row],[product_price_per_oz]]</f>
        <v>0.48699186991869919</v>
      </c>
    </row>
    <row r="895" spans="1:11" x14ac:dyDescent="0.2">
      <c r="A895" t="s">
        <v>2608</v>
      </c>
      <c r="B895" t="s">
        <v>2609</v>
      </c>
      <c r="C895" t="s">
        <v>2610</v>
      </c>
      <c r="D895" t="str">
        <f>SUBSTITUTE(Table1[[#This Row],[Target_product_name]], "oz", " oz")</f>
        <v>Rao's Homemade Roasted Garlic Pasta Sauce - Case of 6/32  oz</v>
      </c>
      <c r="E895" t="s">
        <v>725</v>
      </c>
      <c r="F895" t="str">
        <f>LEFT(Table1[[#This Row],[Target_product_quantity]], FIND("o", Table1[[#This Row],[Target_product_quantity]])-1)</f>
        <v>192</v>
      </c>
      <c r="G895" t="str" cm="1">
        <f t="array" ref="G895">_xlfn.TEXTJOIN("", TRUE, IF(ISNUMBER(SEARCH($K$1010:$K$1054, C895)), $K$1010:$K$1054, ""))</f>
        <v>Rao's Homemade</v>
      </c>
      <c r="H895" t="str">
        <f t="shared" si="48"/>
        <v>Pasta</v>
      </c>
      <c r="I895" t="str">
        <f t="shared" si="49"/>
        <v>Grain</v>
      </c>
      <c r="J895">
        <v>39.99</v>
      </c>
      <c r="K895">
        <f>Table1[[#This Row],[Target_product_price]]/Table1[[#This Row],[product_price_per_oz]]</f>
        <v>0.20828125</v>
      </c>
    </row>
    <row r="896" spans="1:11" x14ac:dyDescent="0.2">
      <c r="A896" t="s">
        <v>2611</v>
      </c>
      <c r="B896" t="s">
        <v>2612</v>
      </c>
      <c r="C896" t="s">
        <v>2613</v>
      </c>
      <c r="D896" t="str">
        <f>SUBSTITUTE(Table1[[#This Row],[Target_product_name]], "oz", " oz")</f>
        <v>Rao's Homemade Thin Spaghetti Pasta - Case of 15/16  oz</v>
      </c>
      <c r="E896" t="s">
        <v>2614</v>
      </c>
      <c r="F896" t="str">
        <f>LEFT(Table1[[#This Row],[Target_product_quantity]], FIND("o", Table1[[#This Row],[Target_product_quantity]])-1)</f>
        <v>240</v>
      </c>
      <c r="G896" t="str" cm="1">
        <f t="array" ref="G896">_xlfn.TEXTJOIN("", TRUE, IF(ISNUMBER(SEARCH($K$1010:$K$1054, C896)), $K$1010:$K$1054, ""))</f>
        <v>Rao's Homemade</v>
      </c>
      <c r="H896" t="str">
        <f t="shared" si="48"/>
        <v>Pasta</v>
      </c>
      <c r="I896" t="str">
        <f t="shared" si="49"/>
        <v>Grain</v>
      </c>
      <c r="J896">
        <v>30.49</v>
      </c>
      <c r="K896">
        <f>Table1[[#This Row],[Target_product_price]]/Table1[[#This Row],[product_price_per_oz]]</f>
        <v>0.12704166666666666</v>
      </c>
    </row>
    <row r="897" spans="1:11" x14ac:dyDescent="0.2">
      <c r="A897" t="s">
        <v>2615</v>
      </c>
      <c r="B897" t="s">
        <v>2616</v>
      </c>
      <c r="C897" t="s">
        <v>2617</v>
      </c>
      <c r="D897" t="str">
        <f>SUBSTITUTE(Table1[[#This Row],[Target_product_name]], "oz", " oz")</f>
        <v>Rao's Homemade Tomato Basil - 32 oz</v>
      </c>
      <c r="E897" t="str">
        <f>TRIM(RIGHT(C897, LEN(C897) - FIND("-", C897)))</f>
        <v>32oz</v>
      </c>
      <c r="F897" t="str">
        <f>LEFT(Table1[[#This Row],[Target_product_quantity]], FIND("o", Table1[[#This Row],[Target_product_quantity]])-1)</f>
        <v>32</v>
      </c>
      <c r="G897" t="str" cm="1">
        <f t="array" ref="G897">_xlfn.TEXTJOIN("", TRUE, IF(ISNUMBER(SEARCH($K$1010:$K$1054, C897)), $K$1010:$K$1054, ""))</f>
        <v>Rao's Homemade</v>
      </c>
      <c r="H897" t="str">
        <f t="shared" si="48"/>
        <v>Pasta</v>
      </c>
      <c r="I897" t="str">
        <f t="shared" si="49"/>
        <v>Grain</v>
      </c>
      <c r="J897">
        <v>9.99</v>
      </c>
      <c r="K897">
        <f>Table1[[#This Row],[Target_product_price]]/Table1[[#This Row],[product_price_per_oz]]</f>
        <v>0.31218750000000001</v>
      </c>
    </row>
    <row r="898" spans="1:11" x14ac:dyDescent="0.2">
      <c r="A898" t="s">
        <v>2618</v>
      </c>
      <c r="B898" t="s">
        <v>2619</v>
      </c>
      <c r="C898" t="s">
        <v>2620</v>
      </c>
      <c r="D898" t="str">
        <f>SUBSTITUTE(Table1[[#This Row],[Target_product_name]], "oz", " oz")</f>
        <v>Rao's Homemade Tomato Basil Pasta Sauce Premium Quality All Natural Tomato Sauce &amp; Pasta Sauce Keto Friendly &amp; Carb Conscious - 24 oz</v>
      </c>
      <c r="E898" t="str">
        <f>TRIM(RIGHT(C898, LEN(C898) - FIND("-", C898)))</f>
        <v>24oz</v>
      </c>
      <c r="F898" t="str">
        <f>LEFT(Table1[[#This Row],[Target_product_quantity]], FIND("o", Table1[[#This Row],[Target_product_quantity]])-1)</f>
        <v>24</v>
      </c>
      <c r="G898" t="str" cm="1">
        <f t="array" ref="G898">_xlfn.TEXTJOIN("", TRUE, IF(ISNUMBER(SEARCH($K$1010:$K$1054, C898)), $K$1010:$K$1054, ""))</f>
        <v>Rao's Homemade</v>
      </c>
      <c r="H898" t="str">
        <f t="shared" ref="H898:H961" si="52">IF(OR(G898="Mission",G898="Nature's Own",G898="Sara Lee"),"Bread",
IF(OR(G898="Del Monte",G898="Dole",G898="Mott's"),"Canned Fruit",
IF(OR(G898="Goya",G898="Hunt's",G898="Birds Eye"),"Canned Vegetables",
IF(OR(G898="Fairlife",G898="Horizon Organic",G898="Lactaid",G898="Ben &amp; Jerry's"),"Milk",
IF(OR(G898="BelGioioso",G898="Kraft",G898="Philadelphia"),"Cheese",
IF(OR(G898="Chobani",G898="Oikos",G898="Light + Fit"),"Yogurt",
IF(OR(G898="Barilla",G898="Annie's",G898="Rao's Homemade"),"Pasta",
IF(OR(G898="Hershey's",G898="Lay's",G898="Totino's",G898="Cheerios",G898="Jif",G898="Skippy",G898="Nature Valley",G898="Oreo",G898="DiGiorno",G898="Eggo"),"Prepared Food",
IF(OR(G898="Ben's Original",G898="Lundberg",G898="Quaker"),"Rice",
IF(OR(G898="Bush's",G898="Hillshire Farm",G898="Oscar Mayer",G898="SPAM"),"Protein",
IF(OR(G898="Starbucks",G898="Sparkling Ice",G898="Coca-Cola",G898="San Pellegrino",G898="Gatorade",G898="Arizona"),"Beverages",
"Other")))))))))))</f>
        <v>Pasta</v>
      </c>
      <c r="I898" t="str">
        <f t="shared" ref="I898:I961" si="53">IF(OR(H898="Bread",H898="Rice",H898="Pasta"), "Grain",
IF(OR(H898="Milk",H898="Cheese",H898="Yogurt"), "Dairy",
IF(OR(H898="Canned Fruit",H898="Canned Vegetables"), "Fruit &amp; Vegetables",
IF(H898="Prepared Food", "Prepared Food",
IF(H898="Protein", "Protein",
IF(H898="Beverages", "Beverages",
"Other"))))))</f>
        <v>Grain</v>
      </c>
      <c r="J898">
        <v>6.89</v>
      </c>
      <c r="K898">
        <f>Table1[[#This Row],[Target_product_price]]/Table1[[#This Row],[product_price_per_oz]]</f>
        <v>0.2870833333333333</v>
      </c>
    </row>
    <row r="899" spans="1:11" x14ac:dyDescent="0.2">
      <c r="A899" t="s">
        <v>2621</v>
      </c>
      <c r="B899" t="s">
        <v>2622</v>
      </c>
      <c r="C899" t="s">
        <v>2623</v>
      </c>
      <c r="D899" t="str">
        <f>SUBSTITUTE(Table1[[#This Row],[Target_product_name]], "oz", " oz")</f>
        <v>Rao's Homemade Tortellini and Vegetable Soup - Case of 6/16  oz</v>
      </c>
      <c r="E899" t="s">
        <v>2010</v>
      </c>
      <c r="F899" t="str">
        <f>LEFT(Table1[[#This Row],[Target_product_quantity]], FIND("o", Table1[[#This Row],[Target_product_quantity]])-1)</f>
        <v>96</v>
      </c>
      <c r="G899" t="str" cm="1">
        <f t="array" ref="G899">_xlfn.TEXTJOIN("", TRUE, IF(ISNUMBER(SEARCH($K$1010:$K$1054, C899)), $K$1010:$K$1054, ""))</f>
        <v>Rao's Homemade</v>
      </c>
      <c r="H899" t="str">
        <f t="shared" si="52"/>
        <v>Pasta</v>
      </c>
      <c r="I899" t="str">
        <f t="shared" si="53"/>
        <v>Grain</v>
      </c>
      <c r="J899">
        <v>30.99</v>
      </c>
      <c r="K899">
        <f>Table1[[#This Row],[Target_product_price]]/Table1[[#This Row],[product_price_per_oz]]</f>
        <v>0.3228125</v>
      </c>
    </row>
    <row r="900" spans="1:11" x14ac:dyDescent="0.2">
      <c r="A900" t="s">
        <v>2624</v>
      </c>
      <c r="B900" t="s">
        <v>2625</v>
      </c>
      <c r="C900" t="s">
        <v>2626</v>
      </c>
      <c r="D900" t="str">
        <f>SUBSTITUTE(Table1[[#This Row],[Target_product_name]], "oz", " oz")</f>
        <v>San Pellegrino Blood Orange Italian Sparkling Beverage - 6pk/11.15 fl  oz Cans</v>
      </c>
      <c r="E900" t="s">
        <v>2142</v>
      </c>
      <c r="F900" t="str">
        <f>LEFT(Table1[[#This Row],[Target_product_quantity]], FIND("o", Table1[[#This Row],[Target_product_quantity]])-1)</f>
        <v>70</v>
      </c>
      <c r="G900" t="str" cm="1">
        <f t="array" ref="G900">_xlfn.TEXTJOIN("", TRUE, IF(ISNUMBER(SEARCH($K$1010:$K$1054, C900)), $K$1010:$K$1054, ""))</f>
        <v>San Pellegrino</v>
      </c>
      <c r="H900" t="str">
        <f t="shared" si="52"/>
        <v>Beverages</v>
      </c>
      <c r="I900" t="str">
        <f t="shared" si="53"/>
        <v>Beverages</v>
      </c>
      <c r="J900">
        <v>5.99</v>
      </c>
      <c r="K900">
        <f>Table1[[#This Row],[Target_product_price]]/Table1[[#This Row],[product_price_per_oz]]</f>
        <v>8.5571428571428576E-2</v>
      </c>
    </row>
    <row r="901" spans="1:11" x14ac:dyDescent="0.2">
      <c r="A901" t="s">
        <v>2627</v>
      </c>
      <c r="B901" t="s">
        <v>2628</v>
      </c>
      <c r="C901" t="s">
        <v>2629</v>
      </c>
      <c r="D901" t="str">
        <f>SUBSTITUTE(Table1[[#This Row],[Target_product_name]], "oz", " oz")</f>
        <v>San Pellegrino CIAO! Blood Orange Sparkling Water with Real Fruit Juices - 6pk/11.15 fl  oz Cans</v>
      </c>
      <c r="E901" t="s">
        <v>2142</v>
      </c>
      <c r="F901" t="str">
        <f>LEFT(Table1[[#This Row],[Target_product_quantity]], FIND("o", Table1[[#This Row],[Target_product_quantity]])-1)</f>
        <v>70</v>
      </c>
      <c r="G901" t="str" cm="1">
        <f t="array" ref="G901">_xlfn.TEXTJOIN("", TRUE, IF(ISNUMBER(SEARCH($K$1010:$K$1054, C901)), $K$1010:$K$1054, ""))</f>
        <v>San Pellegrino</v>
      </c>
      <c r="H901" t="str">
        <f t="shared" si="52"/>
        <v>Beverages</v>
      </c>
      <c r="I901" t="str">
        <f t="shared" si="53"/>
        <v>Beverages</v>
      </c>
      <c r="J901">
        <v>5.99</v>
      </c>
      <c r="K901">
        <f>Table1[[#This Row],[Target_product_price]]/Table1[[#This Row],[product_price_per_oz]]</f>
        <v>8.5571428571428576E-2</v>
      </c>
    </row>
    <row r="902" spans="1:11" x14ac:dyDescent="0.2">
      <c r="A902" t="s">
        <v>2630</v>
      </c>
      <c r="B902" t="s">
        <v>2631</v>
      </c>
      <c r="C902" t="s">
        <v>2632</v>
      </c>
      <c r="D902" t="str">
        <f>SUBSTITUTE(Table1[[#This Row],[Target_product_name]], "oz", " oz")</f>
        <v>San Pellegrino CIAO! Cherry Sparkling Water with Real Fruit Juices - 6pk/11.15 fl  oz Cans</v>
      </c>
      <c r="E902" t="s">
        <v>2142</v>
      </c>
      <c r="F902" t="str">
        <f>LEFT(Table1[[#This Row],[Target_product_quantity]], FIND("o", Table1[[#This Row],[Target_product_quantity]])-1)</f>
        <v>70</v>
      </c>
      <c r="G902" t="str" cm="1">
        <f t="array" ref="G902">_xlfn.TEXTJOIN("", TRUE, IF(ISNUMBER(SEARCH($K$1010:$K$1054, C902)), $K$1010:$K$1054, ""))</f>
        <v>San Pellegrino</v>
      </c>
      <c r="H902" t="str">
        <f t="shared" si="52"/>
        <v>Beverages</v>
      </c>
      <c r="I902" t="str">
        <f t="shared" si="53"/>
        <v>Beverages</v>
      </c>
      <c r="J902">
        <v>5.99</v>
      </c>
      <c r="K902">
        <f>Table1[[#This Row],[Target_product_price]]/Table1[[#This Row],[product_price_per_oz]]</f>
        <v>8.5571428571428576E-2</v>
      </c>
    </row>
    <row r="903" spans="1:11" x14ac:dyDescent="0.2">
      <c r="A903" t="s">
        <v>2633</v>
      </c>
      <c r="B903" t="s">
        <v>2634</v>
      </c>
      <c r="C903" t="s">
        <v>2635</v>
      </c>
      <c r="D903" t="str">
        <f>SUBSTITUTE(Table1[[#This Row],[Target_product_name]], "oz", " oz")</f>
        <v>San Pellegrino CIAO! Lime Sparkling Water with Real Fruit Juices - 6pk/11.15 fl  oz Cans</v>
      </c>
      <c r="E903" t="s">
        <v>2142</v>
      </c>
      <c r="F903" t="str">
        <f>LEFT(Table1[[#This Row],[Target_product_quantity]], FIND("o", Table1[[#This Row],[Target_product_quantity]])-1)</f>
        <v>70</v>
      </c>
      <c r="G903" t="str" cm="1">
        <f t="array" ref="G903">_xlfn.TEXTJOIN("", TRUE, IF(ISNUMBER(SEARCH($K$1010:$K$1054, C903)), $K$1010:$K$1054, ""))</f>
        <v>San Pellegrino</v>
      </c>
      <c r="H903" t="str">
        <f t="shared" si="52"/>
        <v>Beverages</v>
      </c>
      <c r="I903" t="str">
        <f t="shared" si="53"/>
        <v>Beverages</v>
      </c>
      <c r="J903">
        <v>5.99</v>
      </c>
      <c r="K903">
        <f>Table1[[#This Row],[Target_product_price]]/Table1[[#This Row],[product_price_per_oz]]</f>
        <v>8.5571428571428576E-2</v>
      </c>
    </row>
    <row r="904" spans="1:11" x14ac:dyDescent="0.2">
      <c r="A904" t="s">
        <v>2636</v>
      </c>
      <c r="B904" t="s">
        <v>2637</v>
      </c>
      <c r="C904" t="s">
        <v>2638</v>
      </c>
      <c r="D904" t="str">
        <f>SUBSTITUTE(Table1[[#This Row],[Target_product_name]], "oz", " oz")</f>
        <v>San Pellegrino Essenza Dark Morello Cherry &amp; Pomegranate Flavored Mineral Water - 11.15 Fl Oz Can (Pack of 24)</v>
      </c>
      <c r="E904" t="s">
        <v>2639</v>
      </c>
      <c r="F904" t="str">
        <f>LEFT(Table1[[#This Row],[Target_product_quantity]], FIND("o", Table1[[#This Row],[Target_product_quantity]])-1)</f>
        <v>264</v>
      </c>
      <c r="G904" t="str" cm="1">
        <f t="array" ref="G904">_xlfn.TEXTJOIN("", TRUE, IF(ISNUMBER(SEARCH($K$1010:$K$1054, C904)), $K$1010:$K$1054, ""))</f>
        <v>San Pellegrino</v>
      </c>
      <c r="H904" t="str">
        <f t="shared" si="52"/>
        <v>Beverages</v>
      </c>
      <c r="I904" t="str">
        <f t="shared" si="53"/>
        <v>Beverages</v>
      </c>
      <c r="J904">
        <v>42.99</v>
      </c>
      <c r="K904">
        <f>Table1[[#This Row],[Target_product_price]]/Table1[[#This Row],[product_price_per_oz]]</f>
        <v>0.16284090909090909</v>
      </c>
    </row>
    <row r="905" spans="1:11" x14ac:dyDescent="0.2">
      <c r="A905" t="s">
        <v>2640</v>
      </c>
      <c r="B905" t="s">
        <v>2641</v>
      </c>
      <c r="C905" t="s">
        <v>2642</v>
      </c>
      <c r="D905" t="str">
        <f>SUBSTITUTE(Table1[[#This Row],[Target_product_name]], "oz", " oz")</f>
        <v>San Pellegrino Essenza Tangerine &amp; Wild Strawberry Flavored Mineral Water - 11.15 Fl Oz (Pack of 24)</v>
      </c>
      <c r="E905" t="s">
        <v>2639</v>
      </c>
      <c r="F905" t="str">
        <f>LEFT(Table1[[#This Row],[Target_product_quantity]], FIND("o", Table1[[#This Row],[Target_product_quantity]])-1)</f>
        <v>264</v>
      </c>
      <c r="G905" t="str" cm="1">
        <f t="array" ref="G905">_xlfn.TEXTJOIN("", TRUE, IF(ISNUMBER(SEARCH($K$1010:$K$1054, C905)), $K$1010:$K$1054, ""))</f>
        <v>San Pellegrino</v>
      </c>
      <c r="H905" t="str">
        <f t="shared" si="52"/>
        <v>Beverages</v>
      </c>
      <c r="I905" t="str">
        <f t="shared" si="53"/>
        <v>Beverages</v>
      </c>
      <c r="J905">
        <v>46.99</v>
      </c>
      <c r="K905">
        <f>Table1[[#This Row],[Target_product_price]]/Table1[[#This Row],[product_price_per_oz]]</f>
        <v>0.17799242424242426</v>
      </c>
    </row>
    <row r="906" spans="1:11" x14ac:dyDescent="0.2">
      <c r="A906" t="s">
        <v>2643</v>
      </c>
      <c r="B906" t="s">
        <v>2644</v>
      </c>
      <c r="C906" t="s">
        <v>2645</v>
      </c>
      <c r="D906" t="str">
        <f>SUBSTITUTE(Table1[[#This Row],[Target_product_name]], "oz", " oz")</f>
        <v>San Pellegrino Italian Sparkling Drink Limonata - 11.15 Fl Oz Bottle(Pack of 24)</v>
      </c>
      <c r="E906" t="s">
        <v>2639</v>
      </c>
      <c r="F906" t="str">
        <f>LEFT(Table1[[#This Row],[Target_product_quantity]], FIND("o", Table1[[#This Row],[Target_product_quantity]])-1)</f>
        <v>264</v>
      </c>
      <c r="G906" t="str" cm="1">
        <f t="array" ref="G906">_xlfn.TEXTJOIN("", TRUE, IF(ISNUMBER(SEARCH($K$1010:$K$1054, C906)), $K$1010:$K$1054, ""))</f>
        <v>San Pellegrino</v>
      </c>
      <c r="H906" t="str">
        <f t="shared" si="52"/>
        <v>Beverages</v>
      </c>
      <c r="I906" t="str">
        <f t="shared" si="53"/>
        <v>Beverages</v>
      </c>
      <c r="J906">
        <v>56.99</v>
      </c>
      <c r="K906">
        <f>Table1[[#This Row],[Target_product_price]]/Table1[[#This Row],[product_price_per_oz]]</f>
        <v>0.21587121212121213</v>
      </c>
    </row>
    <row r="907" spans="1:11" x14ac:dyDescent="0.2">
      <c r="A907" t="s">
        <v>2646</v>
      </c>
      <c r="B907" t="s">
        <v>2647</v>
      </c>
      <c r="C907" t="s">
        <v>2648</v>
      </c>
      <c r="D907" t="str">
        <f>SUBSTITUTE(Table1[[#This Row],[Target_product_name]], "oz", " oz")</f>
        <v>San Pellegrino Italian Sparkling Drink, Aranciata Rossa - 11.15 Fl Oz Bottle (Pack of 24)</v>
      </c>
      <c r="E907" t="s">
        <v>2639</v>
      </c>
      <c r="F907" t="str">
        <f>LEFT(Table1[[#This Row],[Target_product_quantity]], FIND("o", Table1[[#This Row],[Target_product_quantity]])-1)</f>
        <v>264</v>
      </c>
      <c r="G907" t="str" cm="1">
        <f t="array" ref="G907">_xlfn.TEXTJOIN("", TRUE, IF(ISNUMBER(SEARCH($K$1010:$K$1054, C907)), $K$1010:$K$1054, ""))</f>
        <v>San Pellegrino</v>
      </c>
      <c r="H907" t="str">
        <f t="shared" si="52"/>
        <v>Beverages</v>
      </c>
      <c r="I907" t="str">
        <f t="shared" si="53"/>
        <v>Beverages</v>
      </c>
      <c r="J907">
        <v>42.99</v>
      </c>
      <c r="K907">
        <f>Table1[[#This Row],[Target_product_price]]/Table1[[#This Row],[product_price_per_oz]]</f>
        <v>0.16284090909090909</v>
      </c>
    </row>
    <row r="908" spans="1:11" x14ac:dyDescent="0.2">
      <c r="A908" t="s">
        <v>2649</v>
      </c>
      <c r="B908" t="s">
        <v>2650</v>
      </c>
      <c r="C908" t="s">
        <v>2651</v>
      </c>
      <c r="D908" t="str">
        <f>SUBSTITUTE(Table1[[#This Row],[Target_product_name]], "oz", " oz")</f>
        <v>San Pellegrino Italian Sparkling Drink, Melograno And Arancia - 11.15 Fl Oz Bottle (Pack of 24)</v>
      </c>
      <c r="E908" t="s">
        <v>2639</v>
      </c>
      <c r="F908" t="str">
        <f>LEFT(Table1[[#This Row],[Target_product_quantity]], FIND("o", Table1[[#This Row],[Target_product_quantity]])-1)</f>
        <v>264</v>
      </c>
      <c r="G908" t="str" cm="1">
        <f t="array" ref="G908">_xlfn.TEXTJOIN("", TRUE, IF(ISNUMBER(SEARCH($K$1010:$K$1054, C908)), $K$1010:$K$1054, ""))</f>
        <v>San Pellegrino</v>
      </c>
      <c r="H908" t="str">
        <f t="shared" si="52"/>
        <v>Beverages</v>
      </c>
      <c r="I908" t="str">
        <f t="shared" si="53"/>
        <v>Beverages</v>
      </c>
      <c r="J908">
        <v>46.99</v>
      </c>
      <c r="K908">
        <f>Table1[[#This Row],[Target_product_price]]/Table1[[#This Row],[product_price_per_oz]]</f>
        <v>0.17799242424242426</v>
      </c>
    </row>
    <row r="909" spans="1:11" x14ac:dyDescent="0.2">
      <c r="A909" t="s">
        <v>2652</v>
      </c>
      <c r="B909" t="s">
        <v>2653</v>
      </c>
      <c r="C909" t="s">
        <v>2654</v>
      </c>
      <c r="D909" t="str">
        <f>SUBSTITUTE(Table1[[#This Row],[Target_product_name]], "oz", " oz")</f>
        <v>San Pellegrino Lemon Italian Sparkling Beverage - 6pk/11.15 fl  oz Cans</v>
      </c>
      <c r="E909" t="s">
        <v>2655</v>
      </c>
      <c r="F909" t="str">
        <f>LEFT(Table1[[#This Row],[Target_product_quantity]], FIND("o", Table1[[#This Row],[Target_product_quantity]])-1)</f>
        <v>66.9</v>
      </c>
      <c r="G909" t="str" cm="1">
        <f t="array" ref="G909">_xlfn.TEXTJOIN("", TRUE, IF(ISNUMBER(SEARCH($K$1010:$K$1054, C909)), $K$1010:$K$1054, ""))</f>
        <v>San Pellegrino</v>
      </c>
      <c r="H909" t="str">
        <f t="shared" si="52"/>
        <v>Beverages</v>
      </c>
      <c r="I909" t="str">
        <f t="shared" si="53"/>
        <v>Beverages</v>
      </c>
      <c r="J909">
        <v>5.99</v>
      </c>
      <c r="K909">
        <f>Table1[[#This Row],[Target_product_price]]/Table1[[#This Row],[product_price_per_oz]]</f>
        <v>8.9536621823617338E-2</v>
      </c>
    </row>
    <row r="910" spans="1:11" x14ac:dyDescent="0.2">
      <c r="A910" t="s">
        <v>2656</v>
      </c>
      <c r="B910" t="s">
        <v>2657</v>
      </c>
      <c r="C910" t="s">
        <v>2658</v>
      </c>
      <c r="D910" t="str">
        <f>SUBSTITUTE(Table1[[#This Row],[Target_product_name]], "oz", " oz")</f>
        <v>San Pellegrino Mineral Sparkling Water - 8pk/11.15 fl  oz Cans</v>
      </c>
      <c r="E910" t="s">
        <v>2659</v>
      </c>
      <c r="F910" t="str">
        <f>LEFT(Table1[[#This Row],[Target_product_quantity]], FIND("o", Table1[[#This Row],[Target_product_quantity]])-1)</f>
        <v>89.8</v>
      </c>
      <c r="G910" t="str" cm="1">
        <f t="array" ref="G910">_xlfn.TEXTJOIN("", TRUE, IF(ISNUMBER(SEARCH($K$1010:$K$1054, C910)), $K$1010:$K$1054, ""))</f>
        <v>San Pellegrino</v>
      </c>
      <c r="H910" t="str">
        <f t="shared" si="52"/>
        <v>Beverages</v>
      </c>
      <c r="I910" t="str">
        <f t="shared" si="53"/>
        <v>Beverages</v>
      </c>
      <c r="J910">
        <v>7.19</v>
      </c>
      <c r="K910">
        <f>Table1[[#This Row],[Target_product_price]]/Table1[[#This Row],[product_price_per_oz]]</f>
        <v>8.0066815144766157E-2</v>
      </c>
    </row>
    <row r="911" spans="1:11" x14ac:dyDescent="0.2">
      <c r="A911" t="s">
        <v>2660</v>
      </c>
      <c r="B911" t="s">
        <v>2661</v>
      </c>
      <c r="C911" t="s">
        <v>2662</v>
      </c>
      <c r="D911" t="str">
        <f>SUBSTITUTE(Table1[[#This Row],[Target_product_name]], "oz", " oz")</f>
        <v>San Pellegrino Mineral Sparkling Water Bottles - 6pk/16.9 fl  oz</v>
      </c>
      <c r="E911" t="s">
        <v>2655</v>
      </c>
      <c r="F911" t="str">
        <f>LEFT(Table1[[#This Row],[Target_product_quantity]], FIND("o", Table1[[#This Row],[Target_product_quantity]])-1)</f>
        <v>66.9</v>
      </c>
      <c r="G911" t="str" cm="1">
        <f t="array" ref="G911">_xlfn.TEXTJOIN("", TRUE, IF(ISNUMBER(SEARCH($K$1010:$K$1054, C911)), $K$1010:$K$1054, ""))</f>
        <v>San Pellegrino</v>
      </c>
      <c r="H911" t="str">
        <f t="shared" si="52"/>
        <v>Beverages</v>
      </c>
      <c r="I911" t="str">
        <f t="shared" si="53"/>
        <v>Beverages</v>
      </c>
      <c r="J911">
        <v>6.69</v>
      </c>
      <c r="K911">
        <f>Table1[[#This Row],[Target_product_price]]/Table1[[#This Row],[product_price_per_oz]]</f>
        <v>9.9999999999999992E-2</v>
      </c>
    </row>
    <row r="912" spans="1:11" x14ac:dyDescent="0.2">
      <c r="A912" t="s">
        <v>2663</v>
      </c>
      <c r="B912" t="s">
        <v>2664</v>
      </c>
      <c r="C912" t="s">
        <v>2665</v>
      </c>
      <c r="D912" t="str">
        <f>SUBSTITUTE(Table1[[#This Row],[Target_product_name]], "oz", " oz")</f>
        <v>San Pellegrino Sparkling Natural Mineral Water - 33.8 fl  oz.</v>
      </c>
      <c r="E912" t="s">
        <v>2666</v>
      </c>
      <c r="F912" t="str">
        <f>LEFT(Table1[[#This Row],[Target_product_quantity]], FIND("o", Table1[[#This Row],[Target_product_quantity]])-1)</f>
        <v>33.8</v>
      </c>
      <c r="G912" t="str" cm="1">
        <f t="array" ref="G912">_xlfn.TEXTJOIN("", TRUE, IF(ISNUMBER(SEARCH($K$1010:$K$1054, C912)), $K$1010:$K$1054, ""))</f>
        <v>San Pellegrino</v>
      </c>
      <c r="H912" t="str">
        <f t="shared" si="52"/>
        <v>Beverages</v>
      </c>
      <c r="I912" t="str">
        <f t="shared" si="53"/>
        <v>Beverages</v>
      </c>
      <c r="J912">
        <v>2.59</v>
      </c>
      <c r="K912">
        <f>Table1[[#This Row],[Target_product_price]]/Table1[[#This Row],[product_price_per_oz]]</f>
        <v>7.6627218934911243E-2</v>
      </c>
    </row>
    <row r="913" spans="1:11" x14ac:dyDescent="0.2">
      <c r="A913" t="s">
        <v>2667</v>
      </c>
      <c r="B913" t="s">
        <v>2668</v>
      </c>
      <c r="C913" t="s">
        <v>2669</v>
      </c>
      <c r="D913" t="str">
        <f>SUBSTITUTE(Table1[[#This Row],[Target_product_name]], "oz", " oz")</f>
        <v>San Pellegrino Zero Blood Orange Italian Sparkling Beverage - 6pk/11.15 fl  oz Cans</v>
      </c>
      <c r="E913" t="s">
        <v>2655</v>
      </c>
      <c r="F913" t="str">
        <f>LEFT(Table1[[#This Row],[Target_product_quantity]], FIND("o", Table1[[#This Row],[Target_product_quantity]])-1)</f>
        <v>66.9</v>
      </c>
      <c r="G913" t="str" cm="1">
        <f t="array" ref="G913">_xlfn.TEXTJOIN("", TRUE, IF(ISNUMBER(SEARCH($K$1010:$K$1054, C913)), $K$1010:$K$1054, ""))</f>
        <v>San Pellegrino</v>
      </c>
      <c r="H913" t="str">
        <f t="shared" si="52"/>
        <v>Beverages</v>
      </c>
      <c r="I913" t="str">
        <f t="shared" si="53"/>
        <v>Beverages</v>
      </c>
      <c r="J913">
        <v>5.99</v>
      </c>
      <c r="K913">
        <f>Table1[[#This Row],[Target_product_price]]/Table1[[#This Row],[product_price_per_oz]]</f>
        <v>8.9536621823617338E-2</v>
      </c>
    </row>
    <row r="914" spans="1:11" x14ac:dyDescent="0.2">
      <c r="A914" t="s">
        <v>2670</v>
      </c>
      <c r="B914" t="s">
        <v>2671</v>
      </c>
      <c r="C914" t="s">
        <v>2672</v>
      </c>
      <c r="D914" t="str">
        <f>SUBSTITUTE(Table1[[#This Row],[Target_product_name]], "oz", " oz")</f>
        <v>San Pellegrino Zero Clementine &amp; Peach Italian Sparkling Beverage - 6pk/11.15 fl  oz Cans</v>
      </c>
      <c r="E914" t="s">
        <v>2655</v>
      </c>
      <c r="F914" t="str">
        <f>LEFT(Table1[[#This Row],[Target_product_quantity]], FIND("o", Table1[[#This Row],[Target_product_quantity]])-1)</f>
        <v>66.9</v>
      </c>
      <c r="G914" t="str" cm="1">
        <f t="array" ref="G914">_xlfn.TEXTJOIN("", TRUE, IF(ISNUMBER(SEARCH($K$1010:$K$1054, C914)), $K$1010:$K$1054, ""))</f>
        <v>San Pellegrino</v>
      </c>
      <c r="H914" t="str">
        <f t="shared" si="52"/>
        <v>Beverages</v>
      </c>
      <c r="I914" t="str">
        <f t="shared" si="53"/>
        <v>Beverages</v>
      </c>
      <c r="J914">
        <v>5.99</v>
      </c>
      <c r="K914">
        <f>Table1[[#This Row],[Target_product_price]]/Table1[[#This Row],[product_price_per_oz]]</f>
        <v>8.9536621823617338E-2</v>
      </c>
    </row>
    <row r="915" spans="1:11" x14ac:dyDescent="0.2">
      <c r="A915" t="s">
        <v>2673</v>
      </c>
      <c r="B915" t="s">
        <v>2674</v>
      </c>
      <c r="C915" t="s">
        <v>2675</v>
      </c>
      <c r="D915" t="str">
        <f>SUBSTITUTE(Table1[[#This Row],[Target_product_name]], "oz", " oz")</f>
        <v>San Pellegrino Zero Limonata Italian Sparkling Beverage - 6pk/11.15 fl  oz Cans</v>
      </c>
      <c r="E915" t="s">
        <v>2655</v>
      </c>
      <c r="F915" t="str">
        <f>LEFT(Table1[[#This Row],[Target_product_quantity]], FIND("o", Table1[[#This Row],[Target_product_quantity]])-1)</f>
        <v>66.9</v>
      </c>
      <c r="G915" t="str" cm="1">
        <f t="array" ref="G915">_xlfn.TEXTJOIN("", TRUE, IF(ISNUMBER(SEARCH($K$1010:$K$1054, C915)), $K$1010:$K$1054, ""))</f>
        <v>San Pellegrino</v>
      </c>
      <c r="H915" t="str">
        <f t="shared" si="52"/>
        <v>Beverages</v>
      </c>
      <c r="I915" t="str">
        <f t="shared" si="53"/>
        <v>Beverages</v>
      </c>
      <c r="J915">
        <v>5.99</v>
      </c>
      <c r="K915">
        <f>Table1[[#This Row],[Target_product_price]]/Table1[[#This Row],[product_price_per_oz]]</f>
        <v>8.9536621823617338E-2</v>
      </c>
    </row>
    <row r="916" spans="1:11" x14ac:dyDescent="0.2">
      <c r="A916" t="s">
        <v>2676</v>
      </c>
      <c r="B916" t="s">
        <v>2677</v>
      </c>
      <c r="C916" t="s">
        <v>2678</v>
      </c>
      <c r="D916" t="str">
        <f>SUBSTITUTE(Table1[[#This Row],[Target_product_name]], "oz", " oz")</f>
        <v>Sara Lee Blueberry Bagels - 16.7 oz</v>
      </c>
      <c r="E916" t="str">
        <f>TRIM(RIGHT(C916, LEN(C916) - FIND("-", C916)))</f>
        <v>16.7oz</v>
      </c>
      <c r="F916" t="str">
        <f>LEFT(Table1[[#This Row],[Target_product_quantity]], FIND("o", Table1[[#This Row],[Target_product_quantity]])-1)</f>
        <v>16.7</v>
      </c>
      <c r="G916" t="str" cm="1">
        <f t="array" ref="G916">_xlfn.TEXTJOIN("", TRUE, IF(ISNUMBER(SEARCH($K$1010:$K$1054, C916)), $K$1010:$K$1054, ""))</f>
        <v>Sara Lee</v>
      </c>
      <c r="H916" t="str">
        <f t="shared" si="52"/>
        <v>Bread</v>
      </c>
      <c r="I916" t="str">
        <f t="shared" si="53"/>
        <v>Grain</v>
      </c>
      <c r="J916" s="4">
        <v>3.79</v>
      </c>
      <c r="K916">
        <f>Table1[[#This Row],[Target_product_price]]/Table1[[#This Row],[product_price_per_oz]]</f>
        <v>0.22694610778443114</v>
      </c>
    </row>
    <row r="917" spans="1:11" x14ac:dyDescent="0.2">
      <c r="A917" t="s">
        <v>2679</v>
      </c>
      <c r="B917" t="s">
        <v>2680</v>
      </c>
      <c r="C917" t="s">
        <v>2681</v>
      </c>
      <c r="D917" t="str">
        <f>SUBSTITUTE(Table1[[#This Row],[Target_product_name]], "oz", " oz")</f>
        <v>Sara Lee Cinnamon Raisin Bagels - 16.7 oz</v>
      </c>
      <c r="E917" t="str">
        <f>TRIM(RIGHT(C917, LEN(C917) - FIND("-", C917)))</f>
        <v>16.7oz</v>
      </c>
      <c r="F917" t="str">
        <f>LEFT(Table1[[#This Row],[Target_product_quantity]], FIND("o", Table1[[#This Row],[Target_product_quantity]])-1)</f>
        <v>16.7</v>
      </c>
      <c r="G917" t="str" cm="1">
        <f t="array" ref="G917">_xlfn.TEXTJOIN("", TRUE, IF(ISNUMBER(SEARCH($K$1010:$K$1054, C917)), $K$1010:$K$1054, ""))</f>
        <v>Sara Lee</v>
      </c>
      <c r="H917" t="str">
        <f t="shared" si="52"/>
        <v>Bread</v>
      </c>
      <c r="I917" t="str">
        <f t="shared" si="53"/>
        <v>Grain</v>
      </c>
      <c r="J917" s="4">
        <v>3.79</v>
      </c>
      <c r="K917">
        <f>Table1[[#This Row],[Target_product_price]]/Table1[[#This Row],[product_price_per_oz]]</f>
        <v>0.22694610778443114</v>
      </c>
    </row>
    <row r="918" spans="1:11" x14ac:dyDescent="0.2">
      <c r="A918" t="s">
        <v>2682</v>
      </c>
      <c r="B918" t="s">
        <v>2683</v>
      </c>
      <c r="C918" t="s">
        <v>2684</v>
      </c>
      <c r="D918" t="str">
        <f>SUBSTITUTE(Table1[[#This Row],[Target_product_name]], "oz", " oz")</f>
        <v>Sara Lee Classic Whole Wheat Bread - 20 oz</v>
      </c>
      <c r="E918" t="str">
        <f>TRIM(RIGHT(C918, LEN(C918) - FIND("-", C918)))</f>
        <v>20oz</v>
      </c>
      <c r="F918" t="str">
        <f>LEFT(Table1[[#This Row],[Target_product_quantity]], FIND("o", Table1[[#This Row],[Target_product_quantity]])-1)</f>
        <v>20</v>
      </c>
      <c r="G918" t="str" cm="1">
        <f t="array" ref="G918">_xlfn.TEXTJOIN("", TRUE, IF(ISNUMBER(SEARCH($K$1010:$K$1054, C918)), $K$1010:$K$1054, ""))</f>
        <v>Sara Lee</v>
      </c>
      <c r="H918" t="str">
        <f t="shared" si="52"/>
        <v>Bread</v>
      </c>
      <c r="I918" t="str">
        <f t="shared" si="53"/>
        <v>Grain</v>
      </c>
      <c r="J918" s="4">
        <v>2.89</v>
      </c>
      <c r="K918">
        <f>Table1[[#This Row],[Target_product_price]]/Table1[[#This Row],[product_price_per_oz]]</f>
        <v>0.14450000000000002</v>
      </c>
    </row>
    <row r="919" spans="1:11" x14ac:dyDescent="0.2">
      <c r="A919" t="s">
        <v>2682</v>
      </c>
      <c r="B919" t="s">
        <v>2683</v>
      </c>
      <c r="C919" t="s">
        <v>2684</v>
      </c>
      <c r="D919" t="str">
        <f>SUBSTITUTE(Table1[[#This Row],[Target_product_name]], "oz", " oz")</f>
        <v>Sara Lee Classic Whole Wheat Bread - 20 oz</v>
      </c>
      <c r="E919" t="str">
        <f>TRIM(RIGHT(C919, LEN(C919) - FIND("-", C919)))</f>
        <v>20oz</v>
      </c>
      <c r="F919" t="str">
        <f>LEFT(Table1[[#This Row],[Target_product_quantity]], FIND("o", Table1[[#This Row],[Target_product_quantity]])-1)</f>
        <v>20</v>
      </c>
      <c r="G919" t="str" cm="1">
        <f t="array" ref="G919">_xlfn.TEXTJOIN("", TRUE, IF(ISNUMBER(SEARCH($K$1010:$K$1054, C919)), $K$1010:$K$1054, ""))</f>
        <v>Sara Lee</v>
      </c>
      <c r="H919" t="str">
        <f t="shared" si="52"/>
        <v>Bread</v>
      </c>
      <c r="I919" t="str">
        <f t="shared" si="53"/>
        <v>Grain</v>
      </c>
      <c r="J919" s="4">
        <v>2.89</v>
      </c>
      <c r="K919">
        <f>Table1[[#This Row],[Target_product_price]]/Table1[[#This Row],[product_price_per_oz]]</f>
        <v>0.14450000000000002</v>
      </c>
    </row>
    <row r="920" spans="1:11" x14ac:dyDescent="0.2">
      <c r="A920" t="s">
        <v>2685</v>
      </c>
      <c r="B920" t="s">
        <v>2686</v>
      </c>
      <c r="C920" t="s">
        <v>2687</v>
      </c>
      <c r="D920" t="str">
        <f>SUBSTITUTE(Table1[[#This Row],[Target_product_name]], "oz", " oz")</f>
        <v>Sara Lee Deluxe Plain Bagels - 20 oz</v>
      </c>
      <c r="E920" t="str">
        <f>TRIM(RIGHT(C920, LEN(C920) - FIND("-", C920)))</f>
        <v>20oz</v>
      </c>
      <c r="F920" t="str">
        <f>LEFT(Table1[[#This Row],[Target_product_quantity]], FIND("o", Table1[[#This Row],[Target_product_quantity]])-1)</f>
        <v>20</v>
      </c>
      <c r="G920" t="str" cm="1">
        <f t="array" ref="G920">_xlfn.TEXTJOIN("", TRUE, IF(ISNUMBER(SEARCH($K$1010:$K$1054, C920)), $K$1010:$K$1054, ""))</f>
        <v>Sara Lee</v>
      </c>
      <c r="H920" t="str">
        <f t="shared" si="52"/>
        <v>Bread</v>
      </c>
      <c r="I920" t="str">
        <f t="shared" si="53"/>
        <v>Grain</v>
      </c>
      <c r="J920" s="4">
        <v>3.79</v>
      </c>
      <c r="K920">
        <f>Table1[[#This Row],[Target_product_price]]/Table1[[#This Row],[product_price_per_oz]]</f>
        <v>0.1895</v>
      </c>
    </row>
    <row r="921" spans="1:11" x14ac:dyDescent="0.2">
      <c r="A921" t="s">
        <v>2688</v>
      </c>
      <c r="B921" t="s">
        <v>2689</v>
      </c>
      <c r="C921" t="s">
        <v>2690</v>
      </c>
      <c r="D921" t="str">
        <f>SUBSTITUTE(Table1[[#This Row],[Target_product_name]], "oz", " oz")</f>
        <v>Sara Lee Everything Bagels - 20 oz/6ct</v>
      </c>
      <c r="E921" t="s">
        <v>2374</v>
      </c>
      <c r="F921" t="str">
        <f>LEFT(Table1[[#This Row],[Target_product_quantity]], FIND("o", Table1[[#This Row],[Target_product_quantity]])-1)</f>
        <v>120</v>
      </c>
      <c r="G921" t="str" cm="1">
        <f t="array" ref="G921">_xlfn.TEXTJOIN("", TRUE, IF(ISNUMBER(SEARCH($K$1010:$K$1054, C921)), $K$1010:$K$1054, ""))</f>
        <v>Sara Lee</v>
      </c>
      <c r="H921" t="str">
        <f t="shared" si="52"/>
        <v>Bread</v>
      </c>
      <c r="I921" t="str">
        <f t="shared" si="53"/>
        <v>Grain</v>
      </c>
      <c r="J921" s="4">
        <v>3.79</v>
      </c>
      <c r="K921">
        <f>Table1[[#This Row],[Target_product_price]]/Table1[[#This Row],[product_price_per_oz]]</f>
        <v>3.1583333333333331E-2</v>
      </c>
    </row>
    <row r="922" spans="1:11" x14ac:dyDescent="0.2">
      <c r="A922" t="s">
        <v>2691</v>
      </c>
      <c r="B922" t="s">
        <v>2692</v>
      </c>
      <c r="C922" t="s">
        <v>2693</v>
      </c>
      <c r="D922" t="str">
        <f>SUBSTITUTE(Table1[[#This Row],[Target_product_name]], "oz", " oz")</f>
        <v>Sara Lee Whole Grain Soft White Bread - 20 oz</v>
      </c>
      <c r="E922" t="str">
        <f t="shared" ref="E922:E934" si="54">TRIM(RIGHT(C922, LEN(C922) - FIND("-", C922)))</f>
        <v>20oz</v>
      </c>
      <c r="F922" t="str">
        <f>LEFT(Table1[[#This Row],[Target_product_quantity]], FIND("o", Table1[[#This Row],[Target_product_quantity]])-1)</f>
        <v>20</v>
      </c>
      <c r="G922" t="str" cm="1">
        <f t="array" ref="G922">_xlfn.TEXTJOIN("", TRUE, IF(ISNUMBER(SEARCH($K$1010:$K$1054, C922)), $K$1010:$K$1054, ""))</f>
        <v>Sara Lee</v>
      </c>
      <c r="H922" t="str">
        <f t="shared" si="52"/>
        <v>Bread</v>
      </c>
      <c r="I922" t="str">
        <f t="shared" si="53"/>
        <v>Grain</v>
      </c>
      <c r="J922" s="4">
        <v>2.89</v>
      </c>
      <c r="K922">
        <f>Table1[[#This Row],[Target_product_price]]/Table1[[#This Row],[product_price_per_oz]]</f>
        <v>0.14450000000000002</v>
      </c>
    </row>
    <row r="923" spans="1:11" x14ac:dyDescent="0.2">
      <c r="A923" t="s">
        <v>2691</v>
      </c>
      <c r="B923" t="s">
        <v>2692</v>
      </c>
      <c r="C923" t="s">
        <v>2693</v>
      </c>
      <c r="D923" t="str">
        <f>SUBSTITUTE(Table1[[#This Row],[Target_product_name]], "oz", " oz")</f>
        <v>Sara Lee Whole Grain Soft White Bread - 20 oz</v>
      </c>
      <c r="E923" t="str">
        <f t="shared" si="54"/>
        <v>20oz</v>
      </c>
      <c r="F923" t="str">
        <f>LEFT(Table1[[#This Row],[Target_product_quantity]], FIND("o", Table1[[#This Row],[Target_product_quantity]])-1)</f>
        <v>20</v>
      </c>
      <c r="G923" t="str" cm="1">
        <f t="array" ref="G923">_xlfn.TEXTJOIN("", TRUE, IF(ISNUMBER(SEARCH($K$1010:$K$1054, C923)), $K$1010:$K$1054, ""))</f>
        <v>Sara Lee</v>
      </c>
      <c r="H923" t="str">
        <f t="shared" si="52"/>
        <v>Bread</v>
      </c>
      <c r="I923" t="str">
        <f t="shared" si="53"/>
        <v>Grain</v>
      </c>
      <c r="J923" s="4">
        <v>2.89</v>
      </c>
      <c r="K923">
        <f>Table1[[#This Row],[Target_product_price]]/Table1[[#This Row],[product_price_per_oz]]</f>
        <v>0.14450000000000002</v>
      </c>
    </row>
    <row r="924" spans="1:11" x14ac:dyDescent="0.2">
      <c r="A924" t="s">
        <v>2694</v>
      </c>
      <c r="B924" t="s">
        <v>2695</v>
      </c>
      <c r="C924" t="s">
        <v>2696</v>
      </c>
      <c r="D924" t="str">
        <f>SUBSTITUTE(Table1[[#This Row],[Target_product_name]], "oz", " oz")</f>
        <v>Sazon Goya Unique Seasoning with Azafran - 3.52 oz</v>
      </c>
      <c r="E924" t="str">
        <f t="shared" si="54"/>
        <v>3.52oz</v>
      </c>
      <c r="F924" t="str">
        <f>LEFT(Table1[[#This Row],[Target_product_quantity]], FIND("o", Table1[[#This Row],[Target_product_quantity]])-1)</f>
        <v>3.52</v>
      </c>
      <c r="G924" t="str" cm="1">
        <f t="array" ref="G924">_xlfn.TEXTJOIN("", TRUE, IF(ISNUMBER(SEARCH($K$1010:$K$1054, C924)), $K$1010:$K$1054, ""))</f>
        <v>Goya</v>
      </c>
      <c r="H924" t="str">
        <f t="shared" si="52"/>
        <v>Canned Vegetables</v>
      </c>
      <c r="I924" t="str">
        <f t="shared" si="53"/>
        <v>Fruit &amp; Vegetables</v>
      </c>
      <c r="J924">
        <v>3.19</v>
      </c>
      <c r="K924">
        <f>Table1[[#This Row],[Target_product_price]]/Table1[[#This Row],[product_price_per_oz]]</f>
        <v>0.90625</v>
      </c>
    </row>
    <row r="925" spans="1:11" x14ac:dyDescent="0.2">
      <c r="A925" t="s">
        <v>2697</v>
      </c>
      <c r="B925" t="s">
        <v>2698</v>
      </c>
      <c r="C925" t="s">
        <v>2699</v>
      </c>
      <c r="D925" t="str">
        <f>SUBSTITUTE(Table1[[#This Row],[Target_product_name]], "oz", " oz")</f>
        <v>Sazon Goya Unique Seasoning with Coriander &amp; Annatto - 6.33 oz</v>
      </c>
      <c r="E925" t="str">
        <f t="shared" si="54"/>
        <v>6.33oz</v>
      </c>
      <c r="F925" t="str">
        <f>LEFT(Table1[[#This Row],[Target_product_quantity]], FIND("o", Table1[[#This Row],[Target_product_quantity]])-1)</f>
        <v>6.33</v>
      </c>
      <c r="G925" t="str" cm="1">
        <f t="array" ref="G925">_xlfn.TEXTJOIN("", TRUE, IF(ISNUMBER(SEARCH($K$1010:$K$1054, C925)), $K$1010:$K$1054, ""))</f>
        <v>Goya</v>
      </c>
      <c r="H925" t="str">
        <f t="shared" si="52"/>
        <v>Canned Vegetables</v>
      </c>
      <c r="I925" t="str">
        <f t="shared" si="53"/>
        <v>Fruit &amp; Vegetables</v>
      </c>
      <c r="J925">
        <v>5.29</v>
      </c>
      <c r="K925">
        <f>Table1[[#This Row],[Target_product_price]]/Table1[[#This Row],[product_price_per_oz]]</f>
        <v>0.83570300157977884</v>
      </c>
    </row>
    <row r="926" spans="1:11" x14ac:dyDescent="0.2">
      <c r="A926" t="s">
        <v>2700</v>
      </c>
      <c r="B926" t="s">
        <v>2701</v>
      </c>
      <c r="C926" t="s">
        <v>2702</v>
      </c>
      <c r="D926" t="str">
        <f>SUBSTITUTE(Table1[[#This Row],[Target_product_name]], "oz", " oz")</f>
        <v>Skippy Bites Double Peanutbutter - 6 oz</v>
      </c>
      <c r="E926" t="str">
        <f t="shared" si="54"/>
        <v>6oz</v>
      </c>
      <c r="F926" t="str">
        <f>LEFT(Table1[[#This Row],[Target_product_quantity]], FIND("o", Table1[[#This Row],[Target_product_quantity]])-1)</f>
        <v>6</v>
      </c>
      <c r="G926" t="str" cm="1">
        <f t="array" ref="G926">_xlfn.TEXTJOIN("", TRUE, IF(ISNUMBER(SEARCH($K$1010:$K$1054, C926)), $K$1010:$K$1054, ""))</f>
        <v>Skippy</v>
      </c>
      <c r="H926" t="str">
        <f t="shared" si="52"/>
        <v>Prepared Food</v>
      </c>
      <c r="I926" t="str">
        <f t="shared" si="53"/>
        <v>Prepared Food</v>
      </c>
      <c r="J926" s="4">
        <v>3.99</v>
      </c>
      <c r="K926">
        <f>Table1[[#This Row],[Target_product_price]]/Table1[[#This Row],[product_price_per_oz]]</f>
        <v>0.66500000000000004</v>
      </c>
    </row>
    <row r="927" spans="1:11" x14ac:dyDescent="0.2">
      <c r="A927" t="s">
        <v>2703</v>
      </c>
      <c r="B927" t="s">
        <v>2704</v>
      </c>
      <c r="C927" t="s">
        <v>2705</v>
      </c>
      <c r="D927" t="str">
        <f>SUBSTITUTE(Table1[[#This Row],[Target_product_name]], "oz", " oz")</f>
        <v>Skippy Bites Girl Scouts Chocolate Peanut Butter - 6 oz</v>
      </c>
      <c r="E927" t="str">
        <f t="shared" si="54"/>
        <v>6oz</v>
      </c>
      <c r="F927" t="str">
        <f>LEFT(Table1[[#This Row],[Target_product_quantity]], FIND("o", Table1[[#This Row],[Target_product_quantity]])-1)</f>
        <v>6</v>
      </c>
      <c r="G927" t="str" cm="1">
        <f t="array" ref="G927">_xlfn.TEXTJOIN("", TRUE, IF(ISNUMBER(SEARCH($K$1010:$K$1054, C927)), $K$1010:$K$1054, ""))</f>
        <v>Skippy</v>
      </c>
      <c r="H927" t="str">
        <f t="shared" si="52"/>
        <v>Prepared Food</v>
      </c>
      <c r="I927" t="str">
        <f t="shared" si="53"/>
        <v>Prepared Food</v>
      </c>
      <c r="J927" s="4">
        <v>3.99</v>
      </c>
      <c r="K927">
        <f>Table1[[#This Row],[Target_product_price]]/Table1[[#This Row],[product_price_per_oz]]</f>
        <v>0.66500000000000004</v>
      </c>
    </row>
    <row r="928" spans="1:11" x14ac:dyDescent="0.2">
      <c r="A928" t="s">
        <v>2706</v>
      </c>
      <c r="B928" t="s">
        <v>2707</v>
      </c>
      <c r="C928" t="s">
        <v>2708</v>
      </c>
      <c r="D928" t="str">
        <f>SUBSTITUTE(Table1[[#This Row],[Target_product_name]], "oz", " oz")</f>
        <v>Skippy Bites Girl Scouts Coconut Caramel - 5.5 oz</v>
      </c>
      <c r="E928" t="str">
        <f t="shared" si="54"/>
        <v>5.5oz</v>
      </c>
      <c r="F928" t="str">
        <f>LEFT(Table1[[#This Row],[Target_product_quantity]], FIND("o", Table1[[#This Row],[Target_product_quantity]])-1)</f>
        <v>5.5</v>
      </c>
      <c r="G928" t="str" cm="1">
        <f t="array" ref="G928">_xlfn.TEXTJOIN("", TRUE, IF(ISNUMBER(SEARCH($K$1010:$K$1054, C928)), $K$1010:$K$1054, ""))</f>
        <v>Skippy</v>
      </c>
      <c r="H928" t="str">
        <f t="shared" si="52"/>
        <v>Prepared Food</v>
      </c>
      <c r="I928" t="str">
        <f t="shared" si="53"/>
        <v>Prepared Food</v>
      </c>
      <c r="J928" s="4">
        <v>3.99</v>
      </c>
      <c r="K928">
        <f>Table1[[#This Row],[Target_product_price]]/Table1[[#This Row],[product_price_per_oz]]</f>
        <v>0.72545454545454546</v>
      </c>
    </row>
    <row r="929" spans="1:11" x14ac:dyDescent="0.2">
      <c r="A929" t="s">
        <v>2709</v>
      </c>
      <c r="B929" t="s">
        <v>2710</v>
      </c>
      <c r="C929" t="s">
        <v>2711</v>
      </c>
      <c r="D929" t="str">
        <f>SUBSTITUTE(Table1[[#This Row],[Target_product_name]], "oz", " oz")</f>
        <v>Skippy Bites Graham - 6 oz</v>
      </c>
      <c r="E929" t="str">
        <f t="shared" si="54"/>
        <v>6oz</v>
      </c>
      <c r="F929" t="str">
        <f>LEFT(Table1[[#This Row],[Target_product_quantity]], FIND("o", Table1[[#This Row],[Target_product_quantity]])-1)</f>
        <v>6</v>
      </c>
      <c r="G929" t="str" cm="1">
        <f t="array" ref="G929">_xlfn.TEXTJOIN("", TRUE, IF(ISNUMBER(SEARCH($K$1010:$K$1054, C929)), $K$1010:$K$1054, ""))</f>
        <v>Skippy</v>
      </c>
      <c r="H929" t="str">
        <f t="shared" si="52"/>
        <v>Prepared Food</v>
      </c>
      <c r="I929" t="str">
        <f t="shared" si="53"/>
        <v>Prepared Food</v>
      </c>
      <c r="J929" s="4">
        <v>3.99</v>
      </c>
      <c r="K929">
        <f>Table1[[#This Row],[Target_product_price]]/Table1[[#This Row],[product_price_per_oz]]</f>
        <v>0.66500000000000004</v>
      </c>
    </row>
    <row r="930" spans="1:11" x14ac:dyDescent="0.2">
      <c r="A930" t="s">
        <v>2712</v>
      </c>
      <c r="B930" t="s">
        <v>2713</v>
      </c>
      <c r="C930" t="s">
        <v>2714</v>
      </c>
      <c r="D930" t="str">
        <f>SUBSTITUTE(Table1[[#This Row],[Target_product_name]], "oz", " oz")</f>
        <v>Skippy Bites Pretzel - 6 oz</v>
      </c>
      <c r="E930" t="str">
        <f t="shared" si="54"/>
        <v>6oz</v>
      </c>
      <c r="F930" t="str">
        <f>LEFT(Table1[[#This Row],[Target_product_quantity]], FIND("o", Table1[[#This Row],[Target_product_quantity]])-1)</f>
        <v>6</v>
      </c>
      <c r="G930" t="str" cm="1">
        <f t="array" ref="G930">_xlfn.TEXTJOIN("", TRUE, IF(ISNUMBER(SEARCH($K$1010:$K$1054, C930)), $K$1010:$K$1054, ""))</f>
        <v>Skippy</v>
      </c>
      <c r="H930" t="str">
        <f t="shared" si="52"/>
        <v>Prepared Food</v>
      </c>
      <c r="I930" t="str">
        <f t="shared" si="53"/>
        <v>Prepared Food</v>
      </c>
      <c r="J930" s="4">
        <v>3.99</v>
      </c>
      <c r="K930">
        <f>Table1[[#This Row],[Target_product_price]]/Table1[[#This Row],[product_price_per_oz]]</f>
        <v>0.66500000000000004</v>
      </c>
    </row>
    <row r="931" spans="1:11" x14ac:dyDescent="0.2">
      <c r="A931" t="s">
        <v>2715</v>
      </c>
      <c r="B931" t="s">
        <v>2716</v>
      </c>
      <c r="C931" t="s">
        <v>2717</v>
      </c>
      <c r="D931" t="str">
        <f>SUBSTITUTE(Table1[[#This Row],[Target_product_name]], "oz", " oz")</f>
        <v>Skippy Chunky Peanut Butter - 16.3 oz</v>
      </c>
      <c r="E931" t="str">
        <f t="shared" si="54"/>
        <v>16.3oz</v>
      </c>
      <c r="F931" t="str">
        <f>LEFT(Table1[[#This Row],[Target_product_quantity]], FIND("o", Table1[[#This Row],[Target_product_quantity]])-1)</f>
        <v>16.3</v>
      </c>
      <c r="G931" t="str" cm="1">
        <f t="array" ref="G931">_xlfn.TEXTJOIN("", TRUE, IF(ISNUMBER(SEARCH($K$1010:$K$1054, C931)), $K$1010:$K$1054, ""))</f>
        <v>Skippy</v>
      </c>
      <c r="H931" t="str">
        <f t="shared" si="52"/>
        <v>Prepared Food</v>
      </c>
      <c r="I931" t="str">
        <f t="shared" si="53"/>
        <v>Prepared Food</v>
      </c>
      <c r="J931" s="4">
        <v>3.19</v>
      </c>
      <c r="K931">
        <f>Table1[[#This Row],[Target_product_price]]/Table1[[#This Row],[product_price_per_oz]]</f>
        <v>0.19570552147239262</v>
      </c>
    </row>
    <row r="932" spans="1:11" x14ac:dyDescent="0.2">
      <c r="A932" t="s">
        <v>2718</v>
      </c>
      <c r="B932" t="s">
        <v>2719</v>
      </c>
      <c r="C932" t="s">
        <v>2720</v>
      </c>
      <c r="D932" t="str">
        <f>SUBSTITUTE(Table1[[#This Row],[Target_product_name]], "oz", " oz")</f>
        <v>Skippy Chunky Peanut Butter - 40 oz</v>
      </c>
      <c r="E932" t="str">
        <f t="shared" si="54"/>
        <v>40oz</v>
      </c>
      <c r="F932" t="str">
        <f>LEFT(Table1[[#This Row],[Target_product_quantity]], FIND("o", Table1[[#This Row],[Target_product_quantity]])-1)</f>
        <v>40</v>
      </c>
      <c r="G932" t="str" cm="1">
        <f t="array" ref="G932">_xlfn.TEXTJOIN("", TRUE, IF(ISNUMBER(SEARCH($K$1010:$K$1054, C932)), $K$1010:$K$1054, ""))</f>
        <v>Skippy</v>
      </c>
      <c r="H932" t="str">
        <f t="shared" si="52"/>
        <v>Prepared Food</v>
      </c>
      <c r="I932" t="str">
        <f t="shared" si="53"/>
        <v>Prepared Food</v>
      </c>
      <c r="J932" s="4">
        <v>6.99</v>
      </c>
      <c r="K932">
        <f>Table1[[#This Row],[Target_product_price]]/Table1[[#This Row],[product_price_per_oz]]</f>
        <v>0.17475000000000002</v>
      </c>
    </row>
    <row r="933" spans="1:11" x14ac:dyDescent="0.2">
      <c r="A933" t="s">
        <v>2721</v>
      </c>
      <c r="B933" t="s">
        <v>2722</v>
      </c>
      <c r="C933" t="s">
        <v>2723</v>
      </c>
      <c r="D933" t="str">
        <f>SUBSTITUTE(Table1[[#This Row],[Target_product_name]], "oz", " oz")</f>
        <v>Skippy Creamy Peanut Butter - 16.3 oz</v>
      </c>
      <c r="E933" t="str">
        <f t="shared" si="54"/>
        <v>16.3oz</v>
      </c>
      <c r="F933" t="str">
        <f>LEFT(Table1[[#This Row],[Target_product_quantity]], FIND("o", Table1[[#This Row],[Target_product_quantity]])-1)</f>
        <v>16.3</v>
      </c>
      <c r="G933" t="str" cm="1">
        <f t="array" ref="G933">_xlfn.TEXTJOIN("", TRUE, IF(ISNUMBER(SEARCH($K$1010:$K$1054, C933)), $K$1010:$K$1054, ""))</f>
        <v>Skippy</v>
      </c>
      <c r="H933" t="str">
        <f t="shared" si="52"/>
        <v>Prepared Food</v>
      </c>
      <c r="I933" t="str">
        <f t="shared" si="53"/>
        <v>Prepared Food</v>
      </c>
      <c r="J933" s="4">
        <v>3.19</v>
      </c>
      <c r="K933">
        <f>Table1[[#This Row],[Target_product_price]]/Table1[[#This Row],[product_price_per_oz]]</f>
        <v>0.19570552147239262</v>
      </c>
    </row>
    <row r="934" spans="1:11" x14ac:dyDescent="0.2">
      <c r="A934" t="s">
        <v>2724</v>
      </c>
      <c r="B934" t="s">
        <v>2725</v>
      </c>
      <c r="C934" t="s">
        <v>2726</v>
      </c>
      <c r="D934" t="str">
        <f>SUBSTITUTE(Table1[[#This Row],[Target_product_name]], "oz", " oz")</f>
        <v>Skippy Creamy Peanut Butter - 40 oz</v>
      </c>
      <c r="E934" t="str">
        <f t="shared" si="54"/>
        <v>40oz</v>
      </c>
      <c r="F934" t="str">
        <f>LEFT(Table1[[#This Row],[Target_product_quantity]], FIND("o", Table1[[#This Row],[Target_product_quantity]])-1)</f>
        <v>40</v>
      </c>
      <c r="G934" t="str" cm="1">
        <f t="array" ref="G934">_xlfn.TEXTJOIN("", TRUE, IF(ISNUMBER(SEARCH($K$1010:$K$1054, C934)), $K$1010:$K$1054, ""))</f>
        <v>Skippy</v>
      </c>
      <c r="H934" t="str">
        <f t="shared" si="52"/>
        <v>Prepared Food</v>
      </c>
      <c r="I934" t="str">
        <f t="shared" si="53"/>
        <v>Prepared Food</v>
      </c>
      <c r="J934" s="4">
        <v>6.99</v>
      </c>
      <c r="K934">
        <f>Table1[[#This Row],[Target_product_price]]/Table1[[#This Row],[product_price_per_oz]]</f>
        <v>0.17475000000000002</v>
      </c>
    </row>
    <row r="935" spans="1:11" x14ac:dyDescent="0.2">
      <c r="A935" t="s">
        <v>2727</v>
      </c>
      <c r="B935" t="s">
        <v>2728</v>
      </c>
      <c r="C935" t="s">
        <v>2729</v>
      </c>
      <c r="D935" t="str">
        <f>SUBSTITUTE(Table1[[#This Row],[Target_product_name]], "oz", " oz")</f>
        <v>Skippy Creamy Peanut Butter Twin Pack - 80 oz / 2pk</v>
      </c>
      <c r="E935" t="s">
        <v>2037</v>
      </c>
      <c r="F935" t="str">
        <f>LEFT(Table1[[#This Row],[Target_product_quantity]], FIND("o", Table1[[#This Row],[Target_product_quantity]])-1)</f>
        <v>160</v>
      </c>
      <c r="G935" t="str" cm="1">
        <f t="array" ref="G935">_xlfn.TEXTJOIN("", TRUE, IF(ISNUMBER(SEARCH($K$1010:$K$1054, C935)), $K$1010:$K$1054, ""))</f>
        <v>Skippy</v>
      </c>
      <c r="H935" t="str">
        <f t="shared" si="52"/>
        <v>Prepared Food</v>
      </c>
      <c r="I935" t="str">
        <f t="shared" si="53"/>
        <v>Prepared Food</v>
      </c>
      <c r="J935" s="4">
        <v>13.29</v>
      </c>
      <c r="K935">
        <f>Table1[[#This Row],[Target_product_price]]/Table1[[#This Row],[product_price_per_oz]]</f>
        <v>8.3062499999999997E-2</v>
      </c>
    </row>
    <row r="936" spans="1:11" x14ac:dyDescent="0.2">
      <c r="A936" t="s">
        <v>2730</v>
      </c>
      <c r="B936" t="s">
        <v>2731</v>
      </c>
      <c r="C936" t="s">
        <v>2732</v>
      </c>
      <c r="D936" t="str">
        <f>SUBSTITUTE(Table1[[#This Row],[Target_product_name]], "oz", " oz")</f>
        <v>Skippy Individual Squeeze Peanut Butter - 1.15 oz / 8ct</v>
      </c>
      <c r="E936" t="s">
        <v>2733</v>
      </c>
      <c r="F936" t="str">
        <f>LEFT(Table1[[#This Row],[Target_product_quantity]], FIND("o", Table1[[#This Row],[Target_product_quantity]])-1)</f>
        <v>9.6</v>
      </c>
      <c r="G936" t="str" cm="1">
        <f t="array" ref="G936">_xlfn.TEXTJOIN("", TRUE, IF(ISNUMBER(SEARCH($K$1010:$K$1054, C936)), $K$1010:$K$1054, ""))</f>
        <v>Skippy</v>
      </c>
      <c r="H936" t="str">
        <f t="shared" si="52"/>
        <v>Prepared Food</v>
      </c>
      <c r="I936" t="str">
        <f t="shared" si="53"/>
        <v>Prepared Food</v>
      </c>
      <c r="J936" s="4">
        <v>3.69</v>
      </c>
      <c r="K936">
        <f>Table1[[#This Row],[Target_product_price]]/Table1[[#This Row],[product_price_per_oz]]</f>
        <v>0.38437500000000002</v>
      </c>
    </row>
    <row r="937" spans="1:11" x14ac:dyDescent="0.2">
      <c r="A937" t="s">
        <v>2734</v>
      </c>
      <c r="B937" t="s">
        <v>2735</v>
      </c>
      <c r="C937" t="s">
        <v>2736</v>
      </c>
      <c r="D937" t="str">
        <f>SUBSTITUTE(Table1[[#This Row],[Target_product_name]], "oz", " oz")</f>
        <v>Skippy Natural Chunky Peanut Butter - 40 oz</v>
      </c>
      <c r="E937" t="str">
        <f t="shared" ref="E937:E953" si="55">TRIM(RIGHT(C937, LEN(C937) - FIND("-", C937)))</f>
        <v>40oz</v>
      </c>
      <c r="F937" t="str">
        <f>LEFT(Table1[[#This Row],[Target_product_quantity]], FIND("o", Table1[[#This Row],[Target_product_quantity]])-1)</f>
        <v>40</v>
      </c>
      <c r="G937" t="str" cm="1">
        <f t="array" ref="G937">_xlfn.TEXTJOIN("", TRUE, IF(ISNUMBER(SEARCH($K$1010:$K$1054, C937)), $K$1010:$K$1054, ""))</f>
        <v>Skippy</v>
      </c>
      <c r="H937" t="str">
        <f t="shared" si="52"/>
        <v>Prepared Food</v>
      </c>
      <c r="I937" t="str">
        <f t="shared" si="53"/>
        <v>Prepared Food</v>
      </c>
      <c r="J937" s="4">
        <v>6.99</v>
      </c>
      <c r="K937">
        <f>Table1[[#This Row],[Target_product_price]]/Table1[[#This Row],[product_price_per_oz]]</f>
        <v>0.17475000000000002</v>
      </c>
    </row>
    <row r="938" spans="1:11" x14ac:dyDescent="0.2">
      <c r="A938" t="s">
        <v>2737</v>
      </c>
      <c r="B938" t="s">
        <v>2738</v>
      </c>
      <c r="C938" t="s">
        <v>2739</v>
      </c>
      <c r="D938" t="str">
        <f>SUBSTITUTE(Table1[[#This Row],[Target_product_name]], "oz", " oz")</f>
        <v>Skippy Natural Creamy Peanut Butter - 15 oz</v>
      </c>
      <c r="E938" t="str">
        <f t="shared" si="55"/>
        <v>15oz</v>
      </c>
      <c r="F938" t="str">
        <f>LEFT(Table1[[#This Row],[Target_product_quantity]], FIND("o", Table1[[#This Row],[Target_product_quantity]])-1)</f>
        <v>15</v>
      </c>
      <c r="G938" t="str" cm="1">
        <f t="array" ref="G938">_xlfn.TEXTJOIN("", TRUE, IF(ISNUMBER(SEARCH($K$1010:$K$1054, C938)), $K$1010:$K$1054, ""))</f>
        <v>Skippy</v>
      </c>
      <c r="H938" t="str">
        <f t="shared" si="52"/>
        <v>Prepared Food</v>
      </c>
      <c r="I938" t="str">
        <f t="shared" si="53"/>
        <v>Prepared Food</v>
      </c>
      <c r="J938" s="4">
        <v>3.19</v>
      </c>
      <c r="K938">
        <f>Table1[[#This Row],[Target_product_price]]/Table1[[#This Row],[product_price_per_oz]]</f>
        <v>0.21266666666666667</v>
      </c>
    </row>
    <row r="939" spans="1:11" x14ac:dyDescent="0.2">
      <c r="A939" t="s">
        <v>2740</v>
      </c>
      <c r="B939" t="s">
        <v>2741</v>
      </c>
      <c r="C939" t="s">
        <v>2742</v>
      </c>
      <c r="D939" t="str">
        <f>SUBSTITUTE(Table1[[#This Row],[Target_product_name]], "oz", " oz")</f>
        <v>Skippy Natural Creamy Peanut Butter - 40 oz</v>
      </c>
      <c r="E939" t="str">
        <f t="shared" si="55"/>
        <v>40oz</v>
      </c>
      <c r="F939" t="str">
        <f>LEFT(Table1[[#This Row],[Target_product_quantity]], FIND("o", Table1[[#This Row],[Target_product_quantity]])-1)</f>
        <v>40</v>
      </c>
      <c r="G939" t="str" cm="1">
        <f t="array" ref="G939">_xlfn.TEXTJOIN("", TRUE, IF(ISNUMBER(SEARCH($K$1010:$K$1054, C939)), $K$1010:$K$1054, ""))</f>
        <v>Skippy</v>
      </c>
      <c r="H939" t="str">
        <f t="shared" si="52"/>
        <v>Prepared Food</v>
      </c>
      <c r="I939" t="str">
        <f t="shared" si="53"/>
        <v>Prepared Food</v>
      </c>
      <c r="J939" s="4">
        <v>6.99</v>
      </c>
      <c r="K939">
        <f>Table1[[#This Row],[Target_product_price]]/Table1[[#This Row],[product_price_per_oz]]</f>
        <v>0.17475000000000002</v>
      </c>
    </row>
    <row r="940" spans="1:11" x14ac:dyDescent="0.2">
      <c r="A940" t="s">
        <v>2743</v>
      </c>
      <c r="B940" t="s">
        <v>2744</v>
      </c>
      <c r="C940" t="s">
        <v>2745</v>
      </c>
      <c r="D940" t="str">
        <f>SUBSTITUTE(Table1[[#This Row],[Target_product_name]], "oz", " oz")</f>
        <v>Skippy Natural Peanut Butter Spread w/ Honey - 40 oz</v>
      </c>
      <c r="E940" t="str">
        <f t="shared" si="55"/>
        <v>40oz</v>
      </c>
      <c r="F940" t="str">
        <f>LEFT(Table1[[#This Row],[Target_product_quantity]], FIND("o", Table1[[#This Row],[Target_product_quantity]])-1)</f>
        <v>40</v>
      </c>
      <c r="G940" t="str" cm="1">
        <f t="array" ref="G940">_xlfn.TEXTJOIN("", TRUE, IF(ISNUMBER(SEARCH($K$1010:$K$1054, C940)), $K$1010:$K$1054, ""))</f>
        <v>Skippy</v>
      </c>
      <c r="H940" t="str">
        <f t="shared" si="52"/>
        <v>Prepared Food</v>
      </c>
      <c r="I940" t="str">
        <f t="shared" si="53"/>
        <v>Prepared Food</v>
      </c>
      <c r="J940" s="4">
        <v>6.99</v>
      </c>
      <c r="K940">
        <f>Table1[[#This Row],[Target_product_price]]/Table1[[#This Row],[product_price_per_oz]]</f>
        <v>0.17475000000000002</v>
      </c>
    </row>
    <row r="941" spans="1:11" x14ac:dyDescent="0.2">
      <c r="A941" t="s">
        <v>2746</v>
      </c>
      <c r="B941" t="s">
        <v>2747</v>
      </c>
      <c r="C941" t="s">
        <v>2748</v>
      </c>
      <c r="D941" t="str">
        <f>SUBSTITUTE(Table1[[#This Row],[Target_product_name]], "oz", " oz")</f>
        <v>Skippy Natural Super Chunk Peanut Butter - 15 oz</v>
      </c>
      <c r="E941" t="str">
        <f t="shared" si="55"/>
        <v>15oz</v>
      </c>
      <c r="F941" t="str">
        <f>LEFT(Table1[[#This Row],[Target_product_quantity]], FIND("o", Table1[[#This Row],[Target_product_quantity]])-1)</f>
        <v>15</v>
      </c>
      <c r="G941" t="str" cm="1">
        <f t="array" ref="G941">_xlfn.TEXTJOIN("", TRUE, IF(ISNUMBER(SEARCH($K$1010:$K$1054, C941)), $K$1010:$K$1054, ""))</f>
        <v>Skippy</v>
      </c>
      <c r="H941" t="str">
        <f t="shared" si="52"/>
        <v>Prepared Food</v>
      </c>
      <c r="I941" t="str">
        <f t="shared" si="53"/>
        <v>Prepared Food</v>
      </c>
      <c r="J941" s="4">
        <v>3.19</v>
      </c>
      <c r="K941">
        <f>Table1[[#This Row],[Target_product_price]]/Table1[[#This Row],[product_price_per_oz]]</f>
        <v>0.21266666666666667</v>
      </c>
    </row>
    <row r="942" spans="1:11" x14ac:dyDescent="0.2">
      <c r="A942" t="s">
        <v>2749</v>
      </c>
      <c r="B942" t="s">
        <v>2750</v>
      </c>
      <c r="C942" t="s">
        <v>2751</v>
      </c>
      <c r="D942" t="str">
        <f>SUBSTITUTE(Table1[[#This Row],[Target_product_name]], "oz", " oz")</f>
        <v>Skippy P.B. Bites Girl Scouts Adventurefuls - 5.5 oz</v>
      </c>
      <c r="E942" t="str">
        <f t="shared" si="55"/>
        <v>5.5oz</v>
      </c>
      <c r="F942" t="str">
        <f>LEFT(Table1[[#This Row],[Target_product_quantity]], FIND("o", Table1[[#This Row],[Target_product_quantity]])-1)</f>
        <v>5.5</v>
      </c>
      <c r="G942" t="str" cm="1">
        <f t="array" ref="G942">_xlfn.TEXTJOIN("", TRUE, IF(ISNUMBER(SEARCH($K$1010:$K$1054, C942)), $K$1010:$K$1054, ""))</f>
        <v>Skippy</v>
      </c>
      <c r="H942" t="str">
        <f t="shared" si="52"/>
        <v>Prepared Food</v>
      </c>
      <c r="I942" t="str">
        <f t="shared" si="53"/>
        <v>Prepared Food</v>
      </c>
      <c r="J942" s="4">
        <v>3.99</v>
      </c>
      <c r="K942">
        <f>Table1[[#This Row],[Target_product_price]]/Table1[[#This Row],[product_price_per_oz]]</f>
        <v>0.72545454545454546</v>
      </c>
    </row>
    <row r="943" spans="1:11" x14ac:dyDescent="0.2">
      <c r="A943" t="s">
        <v>2752</v>
      </c>
      <c r="B943" t="s">
        <v>2753</v>
      </c>
      <c r="C943" t="s">
        <v>2754</v>
      </c>
      <c r="D943" t="str">
        <f>SUBSTITUTE(Table1[[#This Row],[Target_product_name]], "oz", " oz")</f>
        <v>Skippy Reduced Fat Creamy Peanut Butter - 16.3 oz</v>
      </c>
      <c r="E943" t="str">
        <f t="shared" si="55"/>
        <v>16.3oz</v>
      </c>
      <c r="F943" t="str">
        <f>LEFT(Table1[[#This Row],[Target_product_quantity]], FIND("o", Table1[[#This Row],[Target_product_quantity]])-1)</f>
        <v>16.3</v>
      </c>
      <c r="G943" t="str" cm="1">
        <f t="array" ref="G943">_xlfn.TEXTJOIN("", TRUE, IF(ISNUMBER(SEARCH($K$1010:$K$1054, C943)), $K$1010:$K$1054, ""))</f>
        <v>Skippy</v>
      </c>
      <c r="H943" t="str">
        <f t="shared" si="52"/>
        <v>Prepared Food</v>
      </c>
      <c r="I943" t="str">
        <f t="shared" si="53"/>
        <v>Prepared Food</v>
      </c>
      <c r="J943" s="4">
        <v>3.19</v>
      </c>
      <c r="K943">
        <f>Table1[[#This Row],[Target_product_price]]/Table1[[#This Row],[product_price_per_oz]]</f>
        <v>0.19570552147239262</v>
      </c>
    </row>
    <row r="944" spans="1:11" x14ac:dyDescent="0.2">
      <c r="A944" t="s">
        <v>2755</v>
      </c>
      <c r="B944" t="s">
        <v>2756</v>
      </c>
      <c r="C944" t="s">
        <v>2757</v>
      </c>
      <c r="D944" t="str">
        <f>SUBSTITUTE(Table1[[#This Row],[Target_product_name]], "oz", " oz")</f>
        <v>Skippy Reduced Fat Creamy Peanut Butter - 40 oz</v>
      </c>
      <c r="E944" t="str">
        <f t="shared" si="55"/>
        <v>40oz</v>
      </c>
      <c r="F944" t="str">
        <f>LEFT(Table1[[#This Row],[Target_product_quantity]], FIND("o", Table1[[#This Row],[Target_product_quantity]])-1)</f>
        <v>40</v>
      </c>
      <c r="G944" t="str" cm="1">
        <f t="array" ref="G944">_xlfn.TEXTJOIN("", TRUE, IF(ISNUMBER(SEARCH($K$1010:$K$1054, C944)), $K$1010:$K$1054, ""))</f>
        <v>Skippy</v>
      </c>
      <c r="H944" t="str">
        <f t="shared" si="52"/>
        <v>Prepared Food</v>
      </c>
      <c r="I944" t="str">
        <f t="shared" si="53"/>
        <v>Prepared Food</v>
      </c>
      <c r="J944" s="4">
        <v>6.99</v>
      </c>
      <c r="K944">
        <f>Table1[[#This Row],[Target_product_price]]/Table1[[#This Row],[product_price_per_oz]]</f>
        <v>0.17475000000000002</v>
      </c>
    </row>
    <row r="945" spans="1:11" x14ac:dyDescent="0.2">
      <c r="A945" t="s">
        <v>2758</v>
      </c>
      <c r="B945" t="s">
        <v>2759</v>
      </c>
      <c r="C945" t="s">
        <v>2760</v>
      </c>
      <c r="D945" t="str">
        <f>SUBSTITUTE(Table1[[#This Row],[Target_product_name]], "oz", " oz")</f>
        <v>Skippy Regular Creamy Squeeze Pouch - 6 oz</v>
      </c>
      <c r="E945" t="str">
        <f t="shared" si="55"/>
        <v>6oz</v>
      </c>
      <c r="F945" t="str">
        <f>LEFT(Table1[[#This Row],[Target_product_quantity]], FIND("o", Table1[[#This Row],[Target_product_quantity]])-1)</f>
        <v>6</v>
      </c>
      <c r="G945" t="str" cm="1">
        <f t="array" ref="G945">_xlfn.TEXTJOIN("", TRUE, IF(ISNUMBER(SEARCH($K$1010:$K$1054, C945)), $K$1010:$K$1054, ""))</f>
        <v>Skippy</v>
      </c>
      <c r="H945" t="str">
        <f t="shared" si="52"/>
        <v>Prepared Food</v>
      </c>
      <c r="I945" t="str">
        <f t="shared" si="53"/>
        <v>Prepared Food</v>
      </c>
      <c r="J945" s="4">
        <v>3.19</v>
      </c>
      <c r="K945">
        <f>Table1[[#This Row],[Target_product_price]]/Table1[[#This Row],[product_price_per_oz]]</f>
        <v>0.53166666666666662</v>
      </c>
    </row>
    <row r="946" spans="1:11" x14ac:dyDescent="0.2">
      <c r="A946" t="s">
        <v>2761</v>
      </c>
      <c r="B946" t="s">
        <v>2762</v>
      </c>
      <c r="C946" t="s">
        <v>2763</v>
      </c>
      <c r="D946" t="str">
        <f>SUBSTITUTE(Table1[[#This Row],[Target_product_name]], "oz", " oz")</f>
        <v>Skippy Twin Pack Natural Creamy Peanut Butter - 40 oz</v>
      </c>
      <c r="E946" t="str">
        <f t="shared" si="55"/>
        <v>40oz</v>
      </c>
      <c r="F946" t="str">
        <f>LEFT(Table1[[#This Row],[Target_product_quantity]], FIND("o", Table1[[#This Row],[Target_product_quantity]])-1)</f>
        <v>40</v>
      </c>
      <c r="G946" t="str" cm="1">
        <f t="array" ref="G946">_xlfn.TEXTJOIN("", TRUE, IF(ISNUMBER(SEARCH($K$1010:$K$1054, C946)), $K$1010:$K$1054, ""))</f>
        <v>Skippy</v>
      </c>
      <c r="H946" t="str">
        <f t="shared" si="52"/>
        <v>Prepared Food</v>
      </c>
      <c r="I946" t="str">
        <f t="shared" si="53"/>
        <v>Prepared Food</v>
      </c>
      <c r="J946" s="4">
        <v>13.29</v>
      </c>
      <c r="K946">
        <f>Table1[[#This Row],[Target_product_price]]/Table1[[#This Row],[product_price_per_oz]]</f>
        <v>0.33224999999999999</v>
      </c>
    </row>
    <row r="947" spans="1:11" x14ac:dyDescent="0.2">
      <c r="A947" t="s">
        <v>2764</v>
      </c>
      <c r="B947" t="s">
        <v>2765</v>
      </c>
      <c r="C947" t="s">
        <v>2766</v>
      </c>
      <c r="D947" t="str">
        <f>SUBSTITUTE(Table1[[#This Row],[Target_product_name]], "oz", " oz")</f>
        <v>SPAM Classic Lunch Meat - 12 oz</v>
      </c>
      <c r="E947" t="str">
        <f t="shared" si="55"/>
        <v>12oz</v>
      </c>
      <c r="F947" t="str">
        <f>LEFT(Table1[[#This Row],[Target_product_quantity]], FIND("o", Table1[[#This Row],[Target_product_quantity]])-1)</f>
        <v>12</v>
      </c>
      <c r="G947" t="str" cm="1">
        <f t="array" ref="G947">_xlfn.TEXTJOIN("", TRUE, IF(ISNUMBER(SEARCH($K$1010:$K$1054, C947)), $K$1010:$K$1054, ""))</f>
        <v>SPAM</v>
      </c>
      <c r="H947" t="str">
        <f t="shared" si="52"/>
        <v>Protein</v>
      </c>
      <c r="I947" t="str">
        <f t="shared" si="53"/>
        <v>Protein</v>
      </c>
      <c r="J947">
        <v>4.1900000000000004</v>
      </c>
      <c r="K947">
        <f>Table1[[#This Row],[Target_product_price]]/Table1[[#This Row],[product_price_per_oz]]</f>
        <v>0.34916666666666668</v>
      </c>
    </row>
    <row r="948" spans="1:11" x14ac:dyDescent="0.2">
      <c r="A948" t="s">
        <v>2767</v>
      </c>
      <c r="B948" t="s">
        <v>2768</v>
      </c>
      <c r="C948" t="s">
        <v>2769</v>
      </c>
      <c r="D948" t="str">
        <f>SUBSTITUTE(Table1[[#This Row],[Target_product_name]], "oz", " oz")</f>
        <v>SPAM Hickory Smoke Lunch Meat - 12 oz</v>
      </c>
      <c r="E948" t="str">
        <f t="shared" si="55"/>
        <v>12oz</v>
      </c>
      <c r="F948" t="str">
        <f>LEFT(Table1[[#This Row],[Target_product_quantity]], FIND("o", Table1[[#This Row],[Target_product_quantity]])-1)</f>
        <v>12</v>
      </c>
      <c r="G948" t="str" cm="1">
        <f t="array" ref="G948">_xlfn.TEXTJOIN("", TRUE, IF(ISNUMBER(SEARCH($K$1010:$K$1054, C948)), $K$1010:$K$1054, ""))</f>
        <v>SPAM</v>
      </c>
      <c r="H948" t="str">
        <f t="shared" si="52"/>
        <v>Protein</v>
      </c>
      <c r="I948" t="str">
        <f t="shared" si="53"/>
        <v>Protein</v>
      </c>
      <c r="J948">
        <v>4.1900000000000004</v>
      </c>
      <c r="K948">
        <f>Table1[[#This Row],[Target_product_price]]/Table1[[#This Row],[product_price_per_oz]]</f>
        <v>0.34916666666666668</v>
      </c>
    </row>
    <row r="949" spans="1:11" x14ac:dyDescent="0.2">
      <c r="A949" t="s">
        <v>2770</v>
      </c>
      <c r="B949" t="s">
        <v>2771</v>
      </c>
      <c r="C949" t="s">
        <v>2772</v>
      </c>
      <c r="D949" t="str">
        <f>SUBSTITUTE(Table1[[#This Row],[Target_product_name]], "oz", " oz")</f>
        <v>SPAM Hot &amp; Spicy Lunch Meat - 12 oz</v>
      </c>
      <c r="E949" t="str">
        <f t="shared" si="55"/>
        <v>12oz</v>
      </c>
      <c r="F949" t="str">
        <f>LEFT(Table1[[#This Row],[Target_product_quantity]], FIND("o", Table1[[#This Row],[Target_product_quantity]])-1)</f>
        <v>12</v>
      </c>
      <c r="G949" t="str" cm="1">
        <f t="array" ref="G949">_xlfn.TEXTJOIN("", TRUE, IF(ISNUMBER(SEARCH($K$1010:$K$1054, C949)), $K$1010:$K$1054, ""))</f>
        <v>SPAM</v>
      </c>
      <c r="H949" t="str">
        <f t="shared" si="52"/>
        <v>Protein</v>
      </c>
      <c r="I949" t="str">
        <f t="shared" si="53"/>
        <v>Protein</v>
      </c>
      <c r="J949">
        <v>4.1900000000000004</v>
      </c>
      <c r="K949">
        <f>Table1[[#This Row],[Target_product_price]]/Table1[[#This Row],[product_price_per_oz]]</f>
        <v>0.34916666666666668</v>
      </c>
    </row>
    <row r="950" spans="1:11" x14ac:dyDescent="0.2">
      <c r="A950" t="s">
        <v>2773</v>
      </c>
      <c r="B950" t="s">
        <v>2774</v>
      </c>
      <c r="C950" t="s">
        <v>2775</v>
      </c>
      <c r="D950" t="str">
        <f>SUBSTITUTE(Table1[[#This Row],[Target_product_name]], "oz", " oz")</f>
        <v>SPAM Less Sodium Lunch Meat - 12 oz</v>
      </c>
      <c r="E950" t="str">
        <f t="shared" si="55"/>
        <v>12oz</v>
      </c>
      <c r="F950" t="str">
        <f>LEFT(Table1[[#This Row],[Target_product_quantity]], FIND("o", Table1[[#This Row],[Target_product_quantity]])-1)</f>
        <v>12</v>
      </c>
      <c r="G950" t="str" cm="1">
        <f t="array" ref="G950">_xlfn.TEXTJOIN("", TRUE, IF(ISNUMBER(SEARCH($K$1010:$K$1054, C950)), $K$1010:$K$1054, ""))</f>
        <v>SPAM</v>
      </c>
      <c r="H950" t="str">
        <f t="shared" si="52"/>
        <v>Protein</v>
      </c>
      <c r="I950" t="str">
        <f t="shared" si="53"/>
        <v>Protein</v>
      </c>
      <c r="J950">
        <v>4.1900000000000004</v>
      </c>
      <c r="K950">
        <f>Table1[[#This Row],[Target_product_price]]/Table1[[#This Row],[product_price_per_oz]]</f>
        <v>0.34916666666666668</v>
      </c>
    </row>
    <row r="951" spans="1:11" x14ac:dyDescent="0.2">
      <c r="A951" t="s">
        <v>2776</v>
      </c>
      <c r="B951" t="s">
        <v>2777</v>
      </c>
      <c r="C951" t="s">
        <v>2778</v>
      </c>
      <c r="D951" t="str">
        <f>SUBSTITUTE(Table1[[#This Row],[Target_product_name]], "oz", " oz")</f>
        <v>SPAM Lite Lunch Meat - 12 oz</v>
      </c>
      <c r="E951" t="str">
        <f t="shared" si="55"/>
        <v>12oz</v>
      </c>
      <c r="F951" t="str">
        <f>LEFT(Table1[[#This Row],[Target_product_quantity]], FIND("o", Table1[[#This Row],[Target_product_quantity]])-1)</f>
        <v>12</v>
      </c>
      <c r="G951" t="str" cm="1">
        <f t="array" ref="G951">_xlfn.TEXTJOIN("", TRUE, IF(ISNUMBER(SEARCH($K$1010:$K$1054, C951)), $K$1010:$K$1054, ""))</f>
        <v>SPAM</v>
      </c>
      <c r="H951" t="str">
        <f t="shared" si="52"/>
        <v>Protein</v>
      </c>
      <c r="I951" t="str">
        <f t="shared" si="53"/>
        <v>Protein</v>
      </c>
      <c r="J951">
        <v>4.1900000000000004</v>
      </c>
      <c r="K951">
        <f>Table1[[#This Row],[Target_product_price]]/Table1[[#This Row],[product_price_per_oz]]</f>
        <v>0.34916666666666668</v>
      </c>
    </row>
    <row r="952" spans="1:11" x14ac:dyDescent="0.2">
      <c r="A952" t="s">
        <v>2779</v>
      </c>
      <c r="B952" t="s">
        <v>2780</v>
      </c>
      <c r="C952" t="s">
        <v>2781</v>
      </c>
      <c r="D952" t="str">
        <f>SUBSTITUTE(Table1[[#This Row],[Target_product_name]], "oz", " oz")</f>
        <v>SPAM Single Classic Slice - 2.5 oz</v>
      </c>
      <c r="E952" t="str">
        <f t="shared" si="55"/>
        <v>2.5oz</v>
      </c>
      <c r="F952" t="str">
        <f>LEFT(Table1[[#This Row],[Target_product_quantity]], FIND("o", Table1[[#This Row],[Target_product_quantity]])-1)</f>
        <v>2.5</v>
      </c>
      <c r="G952" t="str" cm="1">
        <f t="array" ref="G952">_xlfn.TEXTJOIN("", TRUE, IF(ISNUMBER(SEARCH($K$1010:$K$1054, C952)), $K$1010:$K$1054, ""))</f>
        <v>SPAM</v>
      </c>
      <c r="H952" t="str">
        <f t="shared" si="52"/>
        <v>Protein</v>
      </c>
      <c r="I952" t="str">
        <f t="shared" si="53"/>
        <v>Protein</v>
      </c>
      <c r="J952">
        <v>1.89</v>
      </c>
      <c r="K952">
        <f>Table1[[#This Row],[Target_product_price]]/Table1[[#This Row],[product_price_per_oz]]</f>
        <v>0.75600000000000001</v>
      </c>
    </row>
    <row r="953" spans="1:11" x14ac:dyDescent="0.2">
      <c r="A953" t="s">
        <v>2782</v>
      </c>
      <c r="B953" t="s">
        <v>2783</v>
      </c>
      <c r="C953" t="s">
        <v>2784</v>
      </c>
      <c r="D953" t="str">
        <f>SUBSTITUTE(Table1[[#This Row],[Target_product_name]], "oz", " oz")</f>
        <v>SPAM with Bacon Lunch Meat - 12 oz</v>
      </c>
      <c r="E953" t="str">
        <f t="shared" si="55"/>
        <v>12oz</v>
      </c>
      <c r="F953" t="str">
        <f>LEFT(Table1[[#This Row],[Target_product_quantity]], FIND("o", Table1[[#This Row],[Target_product_quantity]])-1)</f>
        <v>12</v>
      </c>
      <c r="G953" t="str" cm="1">
        <f t="array" ref="G953">_xlfn.TEXTJOIN("", TRUE, IF(ISNUMBER(SEARCH($K$1010:$K$1054, C953)), $K$1010:$K$1054, ""))</f>
        <v>SPAM</v>
      </c>
      <c r="H953" t="str">
        <f t="shared" si="52"/>
        <v>Protein</v>
      </c>
      <c r="I953" t="str">
        <f t="shared" si="53"/>
        <v>Protein</v>
      </c>
      <c r="J953">
        <v>4.1900000000000004</v>
      </c>
      <c r="K953">
        <f>Table1[[#This Row],[Target_product_price]]/Table1[[#This Row],[product_price_per_oz]]</f>
        <v>0.34916666666666668</v>
      </c>
    </row>
    <row r="954" spans="1:11" x14ac:dyDescent="0.2">
      <c r="A954" t="s">
        <v>2785</v>
      </c>
      <c r="B954" t="s">
        <v>2786</v>
      </c>
      <c r="C954" t="s">
        <v>2787</v>
      </c>
      <c r="D954" t="str">
        <f>SUBSTITUTE(Table1[[#This Row],[Target_product_name]], "oz", " oz")</f>
        <v>Sparkling Ice +Energy Maximum Mango Energy Drink - 12 fl  oz Can</v>
      </c>
      <c r="E954" t="s">
        <v>11</v>
      </c>
      <c r="F954" t="str">
        <f>LEFT(Table1[[#This Row],[Target_product_quantity]], FIND("o", Table1[[#This Row],[Target_product_quantity]])-1)</f>
        <v>12</v>
      </c>
      <c r="G954" t="str" cm="1">
        <f t="array" ref="G954">_xlfn.TEXTJOIN("", TRUE, IF(ISNUMBER(SEARCH($K$1010:$K$1054, C954)), $K$1010:$K$1054, ""))</f>
        <v>Sparkling Ice</v>
      </c>
      <c r="H954" t="str">
        <f t="shared" si="52"/>
        <v>Beverages</v>
      </c>
      <c r="I954" t="str">
        <f t="shared" si="53"/>
        <v>Beverages</v>
      </c>
      <c r="J954">
        <v>1.99</v>
      </c>
      <c r="K954">
        <f>Table1[[#This Row],[Target_product_price]]/Table1[[#This Row],[product_price_per_oz]]</f>
        <v>0.16583333333333333</v>
      </c>
    </row>
    <row r="955" spans="1:11" x14ac:dyDescent="0.2">
      <c r="A955" t="s">
        <v>2788</v>
      </c>
      <c r="B955" t="s">
        <v>2789</v>
      </c>
      <c r="C955" t="s">
        <v>2790</v>
      </c>
      <c r="D955" t="str">
        <f>SUBSTITUTE(Table1[[#This Row],[Target_product_name]], "oz", " oz")</f>
        <v>Sparkling Ice +Energy Power Punch Energy Drink - 12 fl  oz Can</v>
      </c>
      <c r="E955" t="s">
        <v>11</v>
      </c>
      <c r="F955" t="str">
        <f>LEFT(Table1[[#This Row],[Target_product_quantity]], FIND("o", Table1[[#This Row],[Target_product_quantity]])-1)</f>
        <v>12</v>
      </c>
      <c r="G955" t="str" cm="1">
        <f t="array" ref="G955">_xlfn.TEXTJOIN("", TRUE, IF(ISNUMBER(SEARCH($K$1010:$K$1054, C955)), $K$1010:$K$1054, ""))</f>
        <v>Sparkling Ice</v>
      </c>
      <c r="H955" t="str">
        <f t="shared" si="52"/>
        <v>Beverages</v>
      </c>
      <c r="I955" t="str">
        <f t="shared" si="53"/>
        <v>Beverages</v>
      </c>
      <c r="J955">
        <v>1.99</v>
      </c>
      <c r="K955">
        <f>Table1[[#This Row],[Target_product_price]]/Table1[[#This Row],[product_price_per_oz]]</f>
        <v>0.16583333333333333</v>
      </c>
    </row>
    <row r="956" spans="1:11" x14ac:dyDescent="0.2">
      <c r="A956" t="s">
        <v>2791</v>
      </c>
      <c r="B956" t="s">
        <v>2792</v>
      </c>
      <c r="C956" t="s">
        <v>2793</v>
      </c>
      <c r="D956" t="str">
        <f>SUBSTITUTE(Table1[[#This Row],[Target_product_name]], "oz", " oz")</f>
        <v>Sparkling Ice Black Cherry - 17 fl  oz Bottle</v>
      </c>
      <c r="E956" t="s">
        <v>2794</v>
      </c>
      <c r="F956" t="str">
        <f>LEFT(Table1[[#This Row],[Target_product_quantity]], FIND("o", Table1[[#This Row],[Target_product_quantity]])-1)</f>
        <v>17</v>
      </c>
      <c r="G956" t="str" cm="1">
        <f t="array" ref="G956">_xlfn.TEXTJOIN("", TRUE, IF(ISNUMBER(SEARCH($K$1010:$K$1054, C956)), $K$1010:$K$1054, ""))</f>
        <v>Sparkling Ice</v>
      </c>
      <c r="H956" t="str">
        <f t="shared" si="52"/>
        <v>Beverages</v>
      </c>
      <c r="I956" t="str">
        <f t="shared" si="53"/>
        <v>Beverages</v>
      </c>
      <c r="J956">
        <v>1.49</v>
      </c>
      <c r="K956">
        <f>Table1[[#This Row],[Target_product_price]]/Table1[[#This Row],[product_price_per_oz]]</f>
        <v>8.7647058823529411E-2</v>
      </c>
    </row>
    <row r="957" spans="1:11" x14ac:dyDescent="0.2">
      <c r="A957" t="s">
        <v>2795</v>
      </c>
      <c r="B957" t="s">
        <v>2796</v>
      </c>
      <c r="C957" t="s">
        <v>2797</v>
      </c>
      <c r="D957" t="str">
        <f>SUBSTITUTE(Table1[[#This Row],[Target_product_name]], "oz", " oz")</f>
        <v>Sparkling Ice Black Raspberry - 17 fl  oz Bottle</v>
      </c>
      <c r="E957" t="s">
        <v>2794</v>
      </c>
      <c r="F957" t="str">
        <f>LEFT(Table1[[#This Row],[Target_product_quantity]], FIND("o", Table1[[#This Row],[Target_product_quantity]])-1)</f>
        <v>17</v>
      </c>
      <c r="G957" t="str" cm="1">
        <f t="array" ref="G957">_xlfn.TEXTJOIN("", TRUE, IF(ISNUMBER(SEARCH($K$1010:$K$1054, C957)), $K$1010:$K$1054, ""))</f>
        <v>Sparkling Ice</v>
      </c>
      <c r="H957" t="str">
        <f t="shared" si="52"/>
        <v>Beverages</v>
      </c>
      <c r="I957" t="str">
        <f t="shared" si="53"/>
        <v>Beverages</v>
      </c>
      <c r="J957">
        <v>1.49</v>
      </c>
      <c r="K957">
        <f>Table1[[#This Row],[Target_product_price]]/Table1[[#This Row],[product_price_per_oz]]</f>
        <v>8.7647058823529411E-2</v>
      </c>
    </row>
    <row r="958" spans="1:11" x14ac:dyDescent="0.2">
      <c r="A958" t="s">
        <v>2798</v>
      </c>
      <c r="B958" t="s">
        <v>2799</v>
      </c>
      <c r="C958" t="s">
        <v>2800</v>
      </c>
      <c r="D958" t="str">
        <f>SUBSTITUTE(Table1[[#This Row],[Target_product_name]], "oz", " oz")</f>
        <v>Sparkling Ice Caffeine, Cherry Vanilla - 16 Fl Oz Can (Pack of 12)</v>
      </c>
      <c r="E958" t="s">
        <v>2801</v>
      </c>
      <c r="F958" t="str">
        <f>LEFT(Table1[[#This Row],[Target_product_quantity]], FIND("o", Table1[[#This Row],[Target_product_quantity]])-1)</f>
        <v>204</v>
      </c>
      <c r="G958" t="str" cm="1">
        <f t="array" ref="G958">_xlfn.TEXTJOIN("", TRUE, IF(ISNUMBER(SEARCH($K$1010:$K$1054, C958)), $K$1010:$K$1054, ""))</f>
        <v>Sparkling Ice</v>
      </c>
      <c r="H958" t="str">
        <f t="shared" si="52"/>
        <v>Beverages</v>
      </c>
      <c r="I958" t="str">
        <f t="shared" si="53"/>
        <v>Beverages</v>
      </c>
      <c r="J958">
        <v>37.99</v>
      </c>
      <c r="K958">
        <f>Table1[[#This Row],[Target_product_price]]/Table1[[#This Row],[product_price_per_oz]]</f>
        <v>0.18622549019607845</v>
      </c>
    </row>
    <row r="959" spans="1:11" x14ac:dyDescent="0.2">
      <c r="A959" t="s">
        <v>2802</v>
      </c>
      <c r="B959" t="s">
        <v>2803</v>
      </c>
      <c r="C959" t="s">
        <v>2804</v>
      </c>
      <c r="D959" t="str">
        <f>SUBSTITUTE(Table1[[#This Row],[Target_product_name]], "oz", " oz")</f>
        <v>Sparkling Ice Cherry Limeade - 17 fl  oz Bottle</v>
      </c>
      <c r="E959" t="s">
        <v>2794</v>
      </c>
      <c r="F959" t="str">
        <f>LEFT(Table1[[#This Row],[Target_product_quantity]], FIND("o", Table1[[#This Row],[Target_product_quantity]])-1)</f>
        <v>17</v>
      </c>
      <c r="G959" t="str" cm="1">
        <f t="array" ref="G959">_xlfn.TEXTJOIN("", TRUE, IF(ISNUMBER(SEARCH($K$1010:$K$1054, C959)), $K$1010:$K$1054, ""))</f>
        <v>Sparkling Ice</v>
      </c>
      <c r="H959" t="str">
        <f t="shared" si="52"/>
        <v>Beverages</v>
      </c>
      <c r="I959" t="str">
        <f t="shared" si="53"/>
        <v>Beverages</v>
      </c>
      <c r="J959">
        <v>1.49</v>
      </c>
      <c r="K959">
        <f>Table1[[#This Row],[Target_product_price]]/Table1[[#This Row],[product_price_per_oz]]</f>
        <v>8.7647058823529411E-2</v>
      </c>
    </row>
    <row r="960" spans="1:11" x14ac:dyDescent="0.2">
      <c r="A960" t="s">
        <v>2805</v>
      </c>
      <c r="B960" t="s">
        <v>2806</v>
      </c>
      <c r="C960" t="s">
        <v>2807</v>
      </c>
      <c r="D960" t="str">
        <f>SUBSTITUTE(Table1[[#This Row],[Target_product_name]], "oz", " oz")</f>
        <v>Sparkling Ice Classic Lemonade - 17 fl  oz Bottle</v>
      </c>
      <c r="E960" t="s">
        <v>2794</v>
      </c>
      <c r="F960" t="str">
        <f>LEFT(Table1[[#This Row],[Target_product_quantity]], FIND("o", Table1[[#This Row],[Target_product_quantity]])-1)</f>
        <v>17</v>
      </c>
      <c r="G960" t="str" cm="1">
        <f t="array" ref="G960">_xlfn.TEXTJOIN("", TRUE, IF(ISNUMBER(SEARCH($K$1010:$K$1054, C960)), $K$1010:$K$1054, ""))</f>
        <v>Sparkling Ice</v>
      </c>
      <c r="H960" t="str">
        <f t="shared" si="52"/>
        <v>Beverages</v>
      </c>
      <c r="I960" t="str">
        <f t="shared" si="53"/>
        <v>Beverages</v>
      </c>
      <c r="J960">
        <v>1.49</v>
      </c>
      <c r="K960">
        <f>Table1[[#This Row],[Target_product_price]]/Table1[[#This Row],[product_price_per_oz]]</f>
        <v>8.7647058823529411E-2</v>
      </c>
    </row>
    <row r="961" spans="1:11" x14ac:dyDescent="0.2">
      <c r="A961" t="s">
        <v>2808</v>
      </c>
      <c r="B961" t="s">
        <v>2809</v>
      </c>
      <c r="C961" t="s">
        <v>2810</v>
      </c>
      <c r="D961" t="str">
        <f>SUBSTITUTE(Table1[[#This Row],[Target_product_name]], "oz", " oz")</f>
        <v>Sparkling Ice Coconut Pineapple - 17 fl  oz Bottle</v>
      </c>
      <c r="E961" t="s">
        <v>2794</v>
      </c>
      <c r="F961" t="str">
        <f>LEFT(Table1[[#This Row],[Target_product_quantity]], FIND("o", Table1[[#This Row],[Target_product_quantity]])-1)</f>
        <v>17</v>
      </c>
      <c r="G961" t="str" cm="1">
        <f t="array" ref="G961">_xlfn.TEXTJOIN("", TRUE, IF(ISNUMBER(SEARCH($K$1010:$K$1054, C961)), $K$1010:$K$1054, ""))</f>
        <v>Sparkling Ice</v>
      </c>
      <c r="H961" t="str">
        <f t="shared" si="52"/>
        <v>Beverages</v>
      </c>
      <c r="I961" t="str">
        <f t="shared" si="53"/>
        <v>Beverages</v>
      </c>
      <c r="J961">
        <v>1.49</v>
      </c>
      <c r="K961">
        <f>Table1[[#This Row],[Target_product_price]]/Table1[[#This Row],[product_price_per_oz]]</f>
        <v>8.7647058823529411E-2</v>
      </c>
    </row>
    <row r="962" spans="1:11" x14ac:dyDescent="0.2">
      <c r="A962" t="s">
        <v>2811</v>
      </c>
      <c r="B962" t="s">
        <v>2812</v>
      </c>
      <c r="C962" t="s">
        <v>2813</v>
      </c>
      <c r="D962" t="str">
        <f>SUBSTITUTE(Table1[[#This Row],[Target_product_name]], "oz", " oz")</f>
        <v>Sparkling Ice Fruit Punch - 17 fl  oz Bottle</v>
      </c>
      <c r="E962" t="s">
        <v>2794</v>
      </c>
      <c r="F962" t="str">
        <f>LEFT(Table1[[#This Row],[Target_product_quantity]], FIND("o", Table1[[#This Row],[Target_product_quantity]])-1)</f>
        <v>17</v>
      </c>
      <c r="G962" t="str" cm="1">
        <f t="array" ref="G962">_xlfn.TEXTJOIN("", TRUE, IF(ISNUMBER(SEARCH($K$1010:$K$1054, C962)), $K$1010:$K$1054, ""))</f>
        <v>Sparkling Ice</v>
      </c>
      <c r="H962" t="str">
        <f t="shared" ref="H962:H1025" si="56">IF(OR(G962="Mission",G962="Nature's Own",G962="Sara Lee"),"Bread",
IF(OR(G962="Del Monte",G962="Dole",G962="Mott's"),"Canned Fruit",
IF(OR(G962="Goya",G962="Hunt's",G962="Birds Eye"),"Canned Vegetables",
IF(OR(G962="Fairlife",G962="Horizon Organic",G962="Lactaid",G962="Ben &amp; Jerry's"),"Milk",
IF(OR(G962="BelGioioso",G962="Kraft",G962="Philadelphia"),"Cheese",
IF(OR(G962="Chobani",G962="Oikos",G962="Light + Fit"),"Yogurt",
IF(OR(G962="Barilla",G962="Annie's",G962="Rao's Homemade"),"Pasta",
IF(OR(G962="Hershey's",G962="Lay's",G962="Totino's",G962="Cheerios",G962="Jif",G962="Skippy",G962="Nature Valley",G962="Oreo",G962="DiGiorno",G962="Eggo"),"Prepared Food",
IF(OR(G962="Ben's Original",G962="Lundberg",G962="Quaker"),"Rice",
IF(OR(G962="Bush's",G962="Hillshire Farm",G962="Oscar Mayer",G962="SPAM"),"Protein",
IF(OR(G962="Starbucks",G962="Sparkling Ice",G962="Coca-Cola",G962="San Pellegrino",G962="Gatorade",G962="Arizona"),"Beverages",
"Other")))))))))))</f>
        <v>Beverages</v>
      </c>
      <c r="I962" t="str">
        <f t="shared" ref="I962:I1025" si="57">IF(OR(H962="Bread",H962="Rice",H962="Pasta"), "Grain",
IF(OR(H962="Milk",H962="Cheese",H962="Yogurt"), "Dairy",
IF(OR(H962="Canned Fruit",H962="Canned Vegetables"), "Fruit &amp; Vegetables",
IF(H962="Prepared Food", "Prepared Food",
IF(H962="Protein", "Protein",
IF(H962="Beverages", "Beverages",
"Other"))))))</f>
        <v>Beverages</v>
      </c>
      <c r="J962">
        <v>1.49</v>
      </c>
      <c r="K962">
        <f>Table1[[#This Row],[Target_product_price]]/Table1[[#This Row],[product_price_per_oz]]</f>
        <v>8.7647058823529411E-2</v>
      </c>
    </row>
    <row r="963" spans="1:11" x14ac:dyDescent="0.2">
      <c r="A963" t="s">
        <v>2814</v>
      </c>
      <c r="B963" t="s">
        <v>2815</v>
      </c>
      <c r="C963" t="s">
        <v>2816</v>
      </c>
      <c r="D963" t="str">
        <f>SUBSTITUTE(Table1[[#This Row],[Target_product_name]], "oz", " oz")</f>
        <v>Sparkling Ice Kiwi Strawberry - 17 fl  oz Bottle</v>
      </c>
      <c r="E963" t="s">
        <v>2794</v>
      </c>
      <c r="F963" t="str">
        <f>LEFT(Table1[[#This Row],[Target_product_quantity]], FIND("o", Table1[[#This Row],[Target_product_quantity]])-1)</f>
        <v>17</v>
      </c>
      <c r="G963" t="str" cm="1">
        <f t="array" ref="G963">_xlfn.TEXTJOIN("", TRUE, IF(ISNUMBER(SEARCH($K$1010:$K$1054, C963)), $K$1010:$K$1054, ""))</f>
        <v>Sparkling Ice</v>
      </c>
      <c r="H963" t="str">
        <f t="shared" si="56"/>
        <v>Beverages</v>
      </c>
      <c r="I963" t="str">
        <f t="shared" si="57"/>
        <v>Beverages</v>
      </c>
      <c r="J963">
        <v>1.49</v>
      </c>
      <c r="K963">
        <f>Table1[[#This Row],[Target_product_price]]/Table1[[#This Row],[product_price_per_oz]]</f>
        <v>8.7647058823529411E-2</v>
      </c>
    </row>
    <row r="964" spans="1:11" x14ac:dyDescent="0.2">
      <c r="A964" t="s">
        <v>2817</v>
      </c>
      <c r="B964" t="s">
        <v>2818</v>
      </c>
      <c r="C964" t="s">
        <v>2819</v>
      </c>
      <c r="D964" t="str">
        <f>SUBSTITUTE(Table1[[#This Row],[Target_product_name]], "oz", " oz")</f>
        <v>Sparkling Ice Lemonade Variety Pack - 12pk/17 fl  oz Bottles</v>
      </c>
      <c r="E964" t="s">
        <v>2801</v>
      </c>
      <c r="F964" t="str">
        <f>LEFT(Table1[[#This Row],[Target_product_quantity]], FIND("o", Table1[[#This Row],[Target_product_quantity]])-1)</f>
        <v>204</v>
      </c>
      <c r="G964" t="str" cm="1">
        <f t="array" ref="G964">_xlfn.TEXTJOIN("", TRUE, IF(ISNUMBER(SEARCH($K$1010:$K$1054, C964)), $K$1010:$K$1054, ""))</f>
        <v>Sparkling Ice</v>
      </c>
      <c r="H964" t="str">
        <f t="shared" si="56"/>
        <v>Beverages</v>
      </c>
      <c r="I964" t="str">
        <f t="shared" si="57"/>
        <v>Beverages</v>
      </c>
      <c r="J964">
        <v>10.99</v>
      </c>
      <c r="K964">
        <f>Table1[[#This Row],[Target_product_price]]/Table1[[#This Row],[product_price_per_oz]]</f>
        <v>5.3872549019607842E-2</v>
      </c>
    </row>
    <row r="965" spans="1:11" x14ac:dyDescent="0.2">
      <c r="A965" t="s">
        <v>2820</v>
      </c>
      <c r="B965" t="s">
        <v>2821</v>
      </c>
      <c r="C965" t="s">
        <v>2822</v>
      </c>
      <c r="D965" t="str">
        <f>SUBSTITUTE(Table1[[#This Row],[Target_product_name]], "oz", " oz")</f>
        <v>Sparkling Ice Orange Mango - 17 fl  oz Bottle</v>
      </c>
      <c r="E965" t="s">
        <v>2794</v>
      </c>
      <c r="F965" t="str">
        <f>LEFT(Table1[[#This Row],[Target_product_quantity]], FIND("o", Table1[[#This Row],[Target_product_quantity]])-1)</f>
        <v>17</v>
      </c>
      <c r="G965" t="str" cm="1">
        <f t="array" ref="G965">_xlfn.TEXTJOIN("", TRUE, IF(ISNUMBER(SEARCH($K$1010:$K$1054, C965)), $K$1010:$K$1054, ""))</f>
        <v>Sparkling Ice</v>
      </c>
      <c r="H965" t="str">
        <f t="shared" si="56"/>
        <v>Beverages</v>
      </c>
      <c r="I965" t="str">
        <f t="shared" si="57"/>
        <v>Beverages</v>
      </c>
      <c r="J965">
        <v>1.49</v>
      </c>
      <c r="K965">
        <f>Table1[[#This Row],[Target_product_price]]/Table1[[#This Row],[product_price_per_oz]]</f>
        <v>8.7647058823529411E-2</v>
      </c>
    </row>
    <row r="966" spans="1:11" x14ac:dyDescent="0.2">
      <c r="A966" t="s">
        <v>2823</v>
      </c>
      <c r="B966" t="s">
        <v>2824</v>
      </c>
      <c r="C966" t="s">
        <v>2825</v>
      </c>
      <c r="D966" t="str">
        <f>SUBSTITUTE(Table1[[#This Row],[Target_product_name]], "oz", " oz")</f>
        <v>Sparkling Ice Starburst Watermelon Sparkling Water - 17 fl  oz</v>
      </c>
      <c r="E966" t="s">
        <v>2794</v>
      </c>
      <c r="F966" t="str">
        <f>LEFT(Table1[[#This Row],[Target_product_quantity]], FIND("o", Table1[[#This Row],[Target_product_quantity]])-1)</f>
        <v>17</v>
      </c>
      <c r="G966" t="str" cm="1">
        <f t="array" ref="G966">_xlfn.TEXTJOIN("", TRUE, IF(ISNUMBER(SEARCH($K$1010:$K$1054, C966)), $K$1010:$K$1054, ""))</f>
        <v>Sparkling Ice</v>
      </c>
      <c r="H966" t="str">
        <f t="shared" si="56"/>
        <v>Beverages</v>
      </c>
      <c r="I966" t="str">
        <f t="shared" si="57"/>
        <v>Beverages</v>
      </c>
      <c r="J966">
        <v>1.49</v>
      </c>
      <c r="K966">
        <f>Table1[[#This Row],[Target_product_price]]/Table1[[#This Row],[product_price_per_oz]]</f>
        <v>8.7647058823529411E-2</v>
      </c>
    </row>
    <row r="967" spans="1:11" x14ac:dyDescent="0.2">
      <c r="A967" t="s">
        <v>2826</v>
      </c>
      <c r="B967" t="s">
        <v>2827</v>
      </c>
      <c r="C967" t="s">
        <v>2828</v>
      </c>
      <c r="D967" t="str">
        <f>SUBSTITUTE(Table1[[#This Row],[Target_product_name]], "oz", " oz")</f>
        <v>Sparkling Ice Strawberry Starburst - 17 fl  oz Bottle</v>
      </c>
      <c r="E967" t="s">
        <v>2794</v>
      </c>
      <c r="F967" t="str">
        <f>LEFT(Table1[[#This Row],[Target_product_quantity]], FIND("o", Table1[[#This Row],[Target_product_quantity]])-1)</f>
        <v>17</v>
      </c>
      <c r="G967" t="str" cm="1">
        <f t="array" ref="G967">_xlfn.TEXTJOIN("", TRUE, IF(ISNUMBER(SEARCH($K$1010:$K$1054, C967)), $K$1010:$K$1054, ""))</f>
        <v>Sparkling Ice</v>
      </c>
      <c r="H967" t="str">
        <f t="shared" si="56"/>
        <v>Beverages</v>
      </c>
      <c r="I967" t="str">
        <f t="shared" si="57"/>
        <v>Beverages</v>
      </c>
      <c r="J967">
        <v>1.49</v>
      </c>
      <c r="K967">
        <f>Table1[[#This Row],[Target_product_price]]/Table1[[#This Row],[product_price_per_oz]]</f>
        <v>8.7647058823529411E-2</v>
      </c>
    </row>
    <row r="968" spans="1:11" x14ac:dyDescent="0.2">
      <c r="A968" t="s">
        <v>2829</v>
      </c>
      <c r="B968" t="s">
        <v>2830</v>
      </c>
      <c r="C968" t="s">
        <v>2831</v>
      </c>
      <c r="D968" t="str">
        <f>SUBSTITUTE(Table1[[#This Row],[Target_product_name]], "oz", " oz")</f>
        <v>Sparkling Ice Variety Pack-Black Raspberry/Orange Mango/Kiwi Strawberry/Cherry Limeade - 12pk/17 fl  oz Bottles</v>
      </c>
      <c r="E968" t="s">
        <v>2801</v>
      </c>
      <c r="F968" t="str">
        <f>LEFT(Table1[[#This Row],[Target_product_quantity]], FIND("o", Table1[[#This Row],[Target_product_quantity]])-1)</f>
        <v>204</v>
      </c>
      <c r="G968" t="str" cm="1">
        <f t="array" ref="G968">_xlfn.TEXTJOIN("", TRUE, IF(ISNUMBER(SEARCH($K$1010:$K$1054, C968)), $K$1010:$K$1054, ""))</f>
        <v>Sparkling Ice</v>
      </c>
      <c r="H968" t="str">
        <f t="shared" si="56"/>
        <v>Beverages</v>
      </c>
      <c r="I968" t="str">
        <f t="shared" si="57"/>
        <v>Beverages</v>
      </c>
      <c r="J968">
        <v>10.99</v>
      </c>
      <c r="K968">
        <f>Table1[[#This Row],[Target_product_price]]/Table1[[#This Row],[product_price_per_oz]]</f>
        <v>5.3872549019607842E-2</v>
      </c>
    </row>
    <row r="969" spans="1:11" x14ac:dyDescent="0.2">
      <c r="A969" t="s">
        <v>2832</v>
      </c>
      <c r="B969" t="s">
        <v>2833</v>
      </c>
      <c r="C969" t="s">
        <v>2834</v>
      </c>
      <c r="D969" t="str">
        <f>SUBSTITUTE(Table1[[#This Row],[Target_product_name]], "oz", " oz")</f>
        <v>Sparkling Ice, Fruit Punch Sparkling Water - 17 Fl Oz Bottle (Pack of 12)</v>
      </c>
      <c r="E969" t="s">
        <v>2801</v>
      </c>
      <c r="F969" t="str">
        <f>LEFT(Table1[[#This Row],[Target_product_quantity]], FIND("o", Table1[[#This Row],[Target_product_quantity]])-1)</f>
        <v>204</v>
      </c>
      <c r="G969" t="str" cm="1">
        <f t="array" ref="G969">_xlfn.TEXTJOIN("", TRUE, IF(ISNUMBER(SEARCH($K$1010:$K$1054, C969)), $K$1010:$K$1054, ""))</f>
        <v>Sparkling Ice</v>
      </c>
      <c r="H969" t="str">
        <f t="shared" si="56"/>
        <v>Beverages</v>
      </c>
      <c r="I969" t="str">
        <f t="shared" si="57"/>
        <v>Beverages</v>
      </c>
      <c r="J969">
        <v>46.99</v>
      </c>
      <c r="K969">
        <f>Table1[[#This Row],[Target_product_price]]/Table1[[#This Row],[product_price_per_oz]]</f>
        <v>0.23034313725490196</v>
      </c>
    </row>
    <row r="970" spans="1:11" x14ac:dyDescent="0.2">
      <c r="A970" t="s">
        <v>2835</v>
      </c>
      <c r="B970" t="s">
        <v>2836</v>
      </c>
      <c r="C970" t="s">
        <v>2837</v>
      </c>
      <c r="D970" t="str">
        <f>SUBSTITUTE(Table1[[#This Row],[Target_product_name]], "oz", " oz")</f>
        <v>Starbucks Double Shot Espresso And Cream Coffee Drink - 4pk/6.5 fl  oz Cans</v>
      </c>
      <c r="E970" t="s">
        <v>2838</v>
      </c>
      <c r="F970" t="str">
        <f>LEFT(Table1[[#This Row],[Target_product_quantity]], FIND("o", Table1[[#This Row],[Target_product_quantity]])-1)</f>
        <v>26</v>
      </c>
      <c r="G970" t="str" cm="1">
        <f t="array" ref="G970">_xlfn.TEXTJOIN("", TRUE, IF(ISNUMBER(SEARCH($K$1010:$K$1054, C970)), $K$1010:$K$1054, ""))</f>
        <v>Starbucks</v>
      </c>
      <c r="H970" t="str">
        <f t="shared" si="56"/>
        <v>Beverages</v>
      </c>
      <c r="I970" t="str">
        <f t="shared" si="57"/>
        <v>Beverages</v>
      </c>
      <c r="J970">
        <v>8.49</v>
      </c>
      <c r="K970">
        <f>Table1[[#This Row],[Target_product_price]]/Table1[[#This Row],[product_price_per_oz]]</f>
        <v>0.32653846153846156</v>
      </c>
    </row>
    <row r="971" spans="1:11" x14ac:dyDescent="0.2">
      <c r="A971" t="s">
        <v>2839</v>
      </c>
      <c r="B971" t="s">
        <v>2840</v>
      </c>
      <c r="C971" t="s">
        <v>2841</v>
      </c>
      <c r="D971" t="str">
        <f>SUBSTITUTE(Table1[[#This Row],[Target_product_name]], "oz", " oz")</f>
        <v>Starbucks Doubleshot Energy Caramel Coffee Drink - 15 fl  oz Can</v>
      </c>
      <c r="E971" t="s">
        <v>70</v>
      </c>
      <c r="F971" t="str">
        <f>LEFT(Table1[[#This Row],[Target_product_quantity]], FIND("o", Table1[[#This Row],[Target_product_quantity]])-1)</f>
        <v>15</v>
      </c>
      <c r="G971" t="str" cm="1">
        <f t="array" ref="G971">_xlfn.TEXTJOIN("", TRUE, IF(ISNUMBER(SEARCH($K$1010:$K$1054, C971)), $K$1010:$K$1054, ""))</f>
        <v>Starbucks</v>
      </c>
      <c r="H971" t="str">
        <f t="shared" si="56"/>
        <v>Beverages</v>
      </c>
      <c r="I971" t="str">
        <f t="shared" si="57"/>
        <v>Beverages</v>
      </c>
      <c r="J971">
        <v>3.29</v>
      </c>
      <c r="K971">
        <f>Table1[[#This Row],[Target_product_price]]/Table1[[#This Row],[product_price_per_oz]]</f>
        <v>0.21933333333333332</v>
      </c>
    </row>
    <row r="972" spans="1:11" x14ac:dyDescent="0.2">
      <c r="A972" t="s">
        <v>2842</v>
      </c>
      <c r="B972" t="s">
        <v>2843</v>
      </c>
      <c r="C972" t="s">
        <v>2844</v>
      </c>
      <c r="D972" t="str">
        <f>SUBSTITUTE(Table1[[#This Row],[Target_product_name]], "oz", " oz")</f>
        <v>Starbucks Doubleshot Energy Mocha Fortified Energy Coffee Drink - 15 fl  oz Can</v>
      </c>
      <c r="E972" t="s">
        <v>70</v>
      </c>
      <c r="F972" t="str">
        <f>LEFT(Table1[[#This Row],[Target_product_quantity]], FIND("o", Table1[[#This Row],[Target_product_quantity]])-1)</f>
        <v>15</v>
      </c>
      <c r="G972" t="str" cm="1">
        <f t="array" ref="G972">_xlfn.TEXTJOIN("", TRUE, IF(ISNUMBER(SEARCH($K$1010:$K$1054, C972)), $K$1010:$K$1054, ""))</f>
        <v>Starbucks</v>
      </c>
      <c r="H972" t="str">
        <f t="shared" si="56"/>
        <v>Beverages</v>
      </c>
      <c r="I972" t="str">
        <f t="shared" si="57"/>
        <v>Beverages</v>
      </c>
      <c r="J972">
        <v>3.29</v>
      </c>
      <c r="K972">
        <f>Table1[[#This Row],[Target_product_price]]/Table1[[#This Row],[product_price_per_oz]]</f>
        <v>0.21933333333333332</v>
      </c>
    </row>
    <row r="973" spans="1:11" x14ac:dyDescent="0.2">
      <c r="A973" t="s">
        <v>2845</v>
      </c>
      <c r="B973" t="s">
        <v>2846</v>
      </c>
      <c r="C973" t="s">
        <v>2847</v>
      </c>
      <c r="D973" t="str">
        <f>SUBSTITUTE(Table1[[#This Row],[Target_product_name]], "oz", " oz")</f>
        <v>Starbucks Doubleshot Energy Vanilla Fortified Energy Coffee Drink - 15 fl  oz Can</v>
      </c>
      <c r="E973" t="s">
        <v>70</v>
      </c>
      <c r="F973" t="str">
        <f>LEFT(Table1[[#This Row],[Target_product_quantity]], FIND("o", Table1[[#This Row],[Target_product_quantity]])-1)</f>
        <v>15</v>
      </c>
      <c r="G973" t="str" cm="1">
        <f t="array" ref="G973">_xlfn.TEXTJOIN("", TRUE, IF(ISNUMBER(SEARCH($K$1010:$K$1054, C973)), $K$1010:$K$1054, ""))</f>
        <v>Starbucks</v>
      </c>
      <c r="H973" t="str">
        <f t="shared" si="56"/>
        <v>Beverages</v>
      </c>
      <c r="I973" t="str">
        <f t="shared" si="57"/>
        <v>Beverages</v>
      </c>
      <c r="J973">
        <v>3.29</v>
      </c>
      <c r="K973">
        <f>Table1[[#This Row],[Target_product_price]]/Table1[[#This Row],[product_price_per_oz]]</f>
        <v>0.21933333333333332</v>
      </c>
    </row>
    <row r="974" spans="1:11" x14ac:dyDescent="0.2">
      <c r="A974" t="s">
        <v>2848</v>
      </c>
      <c r="B974" t="s">
        <v>2849</v>
      </c>
      <c r="C974" t="s">
        <v>2850</v>
      </c>
      <c r="D974" t="str">
        <f>SUBSTITUTE(Table1[[#This Row],[Target_product_name]], "oz", " oz")</f>
        <v>Starbucks Doubleshot Espresso Light Premium Coffee Drink - 4pk/6.5 fl  oz Cans</v>
      </c>
      <c r="E974" t="s">
        <v>2838</v>
      </c>
      <c r="F974" t="str">
        <f>LEFT(Table1[[#This Row],[Target_product_quantity]], FIND("o", Table1[[#This Row],[Target_product_quantity]])-1)</f>
        <v>26</v>
      </c>
      <c r="G974" t="str" cm="1">
        <f t="array" ref="G974">_xlfn.TEXTJOIN("", TRUE, IF(ISNUMBER(SEARCH($K$1010:$K$1054, C974)), $K$1010:$K$1054, ""))</f>
        <v>Starbucks</v>
      </c>
      <c r="H974" t="str">
        <f t="shared" si="56"/>
        <v>Beverages</v>
      </c>
      <c r="I974" t="str">
        <f t="shared" si="57"/>
        <v>Beverages</v>
      </c>
      <c r="J974">
        <v>8.49</v>
      </c>
      <c r="K974">
        <f>Table1[[#This Row],[Target_product_price]]/Table1[[#This Row],[product_price_per_oz]]</f>
        <v>0.32653846153846156</v>
      </c>
    </row>
    <row r="975" spans="1:11" x14ac:dyDescent="0.2">
      <c r="A975" t="s">
        <v>2851</v>
      </c>
      <c r="B975" t="s">
        <v>2852</v>
      </c>
      <c r="C975" s="4" t="s">
        <v>2853</v>
      </c>
      <c r="D975" t="str">
        <f>SUBSTITUTE(Table1[[#This Row],[Target_product_name]], "oz", " oz")</f>
        <v>Starbucks Frappuccino Caramel Coffee Drink - 13.7 fl  oz Glass Bottle</v>
      </c>
      <c r="E975" t="s">
        <v>2854</v>
      </c>
      <c r="F975" t="str">
        <f>LEFT(Table1[[#This Row],[Target_product_quantity]], FIND("o", Table1[[#This Row],[Target_product_quantity]])-1)</f>
        <v>13.7</v>
      </c>
      <c r="G975" t="str" cm="1">
        <f t="array" ref="G975">_xlfn.TEXTJOIN("", TRUE, IF(ISNUMBER(SEARCH($K$1010:$K$1054, C975)), $K$1010:$K$1054, ""))</f>
        <v>Starbucks</v>
      </c>
      <c r="H975" t="str">
        <f t="shared" si="56"/>
        <v>Beverages</v>
      </c>
      <c r="I975" t="str">
        <f t="shared" si="57"/>
        <v>Beverages</v>
      </c>
      <c r="J975">
        <v>3.49</v>
      </c>
      <c r="K975">
        <f>Table1[[#This Row],[Target_product_price]]/Table1[[#This Row],[product_price_per_oz]]</f>
        <v>0.25474452554744531</v>
      </c>
    </row>
    <row r="976" spans="1:11" x14ac:dyDescent="0.2">
      <c r="A976" t="s">
        <v>2855</v>
      </c>
      <c r="B976" t="s">
        <v>2856</v>
      </c>
      <c r="C976" t="s">
        <v>2857</v>
      </c>
      <c r="D976" t="str">
        <f>SUBSTITUTE(Table1[[#This Row],[Target_product_name]], "oz", " oz")</f>
        <v>Starbucks Frappuccino Caramel Coffee Drink - 4pk/9.5 fl  oz Glass Bottles</v>
      </c>
      <c r="E976" t="s">
        <v>2858</v>
      </c>
      <c r="F976" t="str">
        <f>LEFT(Table1[[#This Row],[Target_product_quantity]], FIND("o", Table1[[#This Row],[Target_product_quantity]])-1)</f>
        <v>38</v>
      </c>
      <c r="G976" t="str" cm="1">
        <f t="array" ref="G976">_xlfn.TEXTJOIN("", TRUE, IF(ISNUMBER(SEARCH($K$1010:$K$1054, C976)), $K$1010:$K$1054, ""))</f>
        <v>Starbucks</v>
      </c>
      <c r="H976" t="str">
        <f t="shared" si="56"/>
        <v>Beverages</v>
      </c>
      <c r="I976" t="str">
        <f t="shared" si="57"/>
        <v>Beverages</v>
      </c>
      <c r="J976">
        <v>7.99</v>
      </c>
      <c r="K976">
        <f>Table1[[#This Row],[Target_product_price]]/Table1[[#This Row],[product_price_per_oz]]</f>
        <v>0.21026315789473685</v>
      </c>
    </row>
    <row r="977" spans="1:11" x14ac:dyDescent="0.2">
      <c r="A977" t="s">
        <v>2859</v>
      </c>
      <c r="B977" t="s">
        <v>2860</v>
      </c>
      <c r="C977" s="4" t="s">
        <v>2861</v>
      </c>
      <c r="D977" t="str">
        <f>SUBSTITUTE(Table1[[#This Row],[Target_product_name]], "oz", " oz")</f>
        <v>Starbucks Frappuccino Chilled Coffee Drink - 13.7 fl  oz Glass Bottle</v>
      </c>
      <c r="E977" t="s">
        <v>2854</v>
      </c>
      <c r="F977" t="str">
        <f>LEFT(Table1[[#This Row],[Target_product_quantity]], FIND("o", Table1[[#This Row],[Target_product_quantity]])-1)</f>
        <v>13.7</v>
      </c>
      <c r="G977" t="str" cm="1">
        <f t="array" ref="G977">_xlfn.TEXTJOIN("", TRUE, IF(ISNUMBER(SEARCH($K$1010:$K$1054, C977)), $K$1010:$K$1054, ""))</f>
        <v>Starbucks</v>
      </c>
      <c r="H977" t="str">
        <f t="shared" si="56"/>
        <v>Beverages</v>
      </c>
      <c r="I977" t="str">
        <f t="shared" si="57"/>
        <v>Beverages</v>
      </c>
      <c r="J977">
        <v>3.49</v>
      </c>
      <c r="K977">
        <f>Table1[[#This Row],[Target_product_price]]/Table1[[#This Row],[product_price_per_oz]]</f>
        <v>0.25474452554744531</v>
      </c>
    </row>
    <row r="978" spans="1:11" x14ac:dyDescent="0.2">
      <c r="A978" t="s">
        <v>2862</v>
      </c>
      <c r="B978" t="s">
        <v>2863</v>
      </c>
      <c r="C978" t="s">
        <v>2864</v>
      </c>
      <c r="D978" t="str">
        <f>SUBSTITUTE(Table1[[#This Row],[Target_product_name]], "oz", " oz")</f>
        <v>Starbucks Frappuccino Coffee Drink - 4pk/9.5 fl  oz Glass Bottles</v>
      </c>
      <c r="E978" t="s">
        <v>2858</v>
      </c>
      <c r="F978" t="str">
        <f>LEFT(Table1[[#This Row],[Target_product_quantity]], FIND("o", Table1[[#This Row],[Target_product_quantity]])-1)</f>
        <v>38</v>
      </c>
      <c r="G978" t="str" cm="1">
        <f t="array" ref="G978">_xlfn.TEXTJOIN("", TRUE, IF(ISNUMBER(SEARCH($K$1010:$K$1054, C978)), $K$1010:$K$1054, ""))</f>
        <v>Starbucks</v>
      </c>
      <c r="H978" t="str">
        <f t="shared" si="56"/>
        <v>Beverages</v>
      </c>
      <c r="I978" t="str">
        <f t="shared" si="57"/>
        <v>Beverages</v>
      </c>
      <c r="J978">
        <v>7.99</v>
      </c>
      <c r="K978">
        <f>Table1[[#This Row],[Target_product_price]]/Table1[[#This Row],[product_price_per_oz]]</f>
        <v>0.21026315789473685</v>
      </c>
    </row>
    <row r="979" spans="1:11" x14ac:dyDescent="0.2">
      <c r="A979" t="s">
        <v>2865</v>
      </c>
      <c r="B979" t="s">
        <v>2866</v>
      </c>
      <c r="C979" t="s">
        <v>2867</v>
      </c>
      <c r="D979" t="str">
        <f>SUBSTITUTE(Table1[[#This Row],[Target_product_name]], "oz", " oz")</f>
        <v>Starbucks Frappuccino Mocha Coffee Drink - 12pk/9.5 fl  oz Bottle</v>
      </c>
      <c r="E979" t="s">
        <v>2868</v>
      </c>
      <c r="F979" t="str">
        <f>LEFT(Table1[[#This Row],[Target_product_quantity]], FIND("o", Table1[[#This Row],[Target_product_quantity]])-1)</f>
        <v>28</v>
      </c>
      <c r="G979" t="str" cm="1">
        <f t="array" ref="G979">_xlfn.TEXTJOIN("", TRUE, IF(ISNUMBER(SEARCH($K$1010:$K$1054, C979)), $K$1010:$K$1054, ""))</f>
        <v>Starbucks</v>
      </c>
      <c r="H979" t="str">
        <f t="shared" si="56"/>
        <v>Beverages</v>
      </c>
      <c r="I979" t="str">
        <f t="shared" si="57"/>
        <v>Beverages</v>
      </c>
      <c r="J979">
        <v>22.99</v>
      </c>
      <c r="K979">
        <f>Table1[[#This Row],[Target_product_price]]/Table1[[#This Row],[product_price_per_oz]]</f>
        <v>0.82107142857142856</v>
      </c>
    </row>
    <row r="980" spans="1:11" x14ac:dyDescent="0.2">
      <c r="A980" t="s">
        <v>2869</v>
      </c>
      <c r="B980" t="s">
        <v>2870</v>
      </c>
      <c r="C980" s="4" t="s">
        <v>2871</v>
      </c>
      <c r="D980" t="str">
        <f>SUBSTITUTE(Table1[[#This Row],[Target_product_name]], "oz", " oz")</f>
        <v>Starbucks Frappuccino Mocha Coffee Drink - 13.7 fl  oz Glass Bottle</v>
      </c>
      <c r="E980" t="s">
        <v>2854</v>
      </c>
      <c r="F980" t="str">
        <f>LEFT(Table1[[#This Row],[Target_product_quantity]], FIND("o", Table1[[#This Row],[Target_product_quantity]])-1)</f>
        <v>13.7</v>
      </c>
      <c r="G980" t="str" cm="1">
        <f t="array" ref="G980">_xlfn.TEXTJOIN("", TRUE, IF(ISNUMBER(SEARCH($K$1010:$K$1054, C980)), $K$1010:$K$1054, ""))</f>
        <v>Starbucks</v>
      </c>
      <c r="H980" t="str">
        <f t="shared" si="56"/>
        <v>Beverages</v>
      </c>
      <c r="I980" t="str">
        <f t="shared" si="57"/>
        <v>Beverages</v>
      </c>
      <c r="J980">
        <v>3.49</v>
      </c>
      <c r="K980">
        <f>Table1[[#This Row],[Target_product_price]]/Table1[[#This Row],[product_price_per_oz]]</f>
        <v>0.25474452554744531</v>
      </c>
    </row>
    <row r="981" spans="1:11" x14ac:dyDescent="0.2">
      <c r="A981" t="s">
        <v>2872</v>
      </c>
      <c r="B981" t="s">
        <v>2873</v>
      </c>
      <c r="C981" t="s">
        <v>2874</v>
      </c>
      <c r="D981" t="str">
        <f>SUBSTITUTE(Table1[[#This Row],[Target_product_name]], "oz", " oz")</f>
        <v>Starbucks Frappuccino Mocha Coffee Drink - 4pk/9.5 fl  oz Glass Bottles</v>
      </c>
      <c r="E981" t="s">
        <v>2858</v>
      </c>
      <c r="F981" t="str">
        <f>LEFT(Table1[[#This Row],[Target_product_quantity]], FIND("o", Table1[[#This Row],[Target_product_quantity]])-1)</f>
        <v>38</v>
      </c>
      <c r="G981" t="str" cm="1">
        <f t="array" ref="G981">_xlfn.TEXTJOIN("", TRUE, IF(ISNUMBER(SEARCH($K$1010:$K$1054, C981)), $K$1010:$K$1054, ""))</f>
        <v>Starbucks</v>
      </c>
      <c r="H981" t="str">
        <f t="shared" si="56"/>
        <v>Beverages</v>
      </c>
      <c r="I981" t="str">
        <f t="shared" si="57"/>
        <v>Beverages</v>
      </c>
      <c r="J981">
        <v>7.99</v>
      </c>
      <c r="K981">
        <f>Table1[[#This Row],[Target_product_price]]/Table1[[#This Row],[product_price_per_oz]]</f>
        <v>0.21026315789473685</v>
      </c>
    </row>
    <row r="982" spans="1:11" x14ac:dyDescent="0.2">
      <c r="A982" t="s">
        <v>2875</v>
      </c>
      <c r="B982" t="s">
        <v>2876</v>
      </c>
      <c r="C982" s="4" t="s">
        <v>2877</v>
      </c>
      <c r="D982" t="str">
        <f>SUBSTITUTE(Table1[[#This Row],[Target_product_name]], "oz", " oz")</f>
        <v>Starbucks Frappuccino Oatmilk Caramel Waffle Cookie Coffee Drink - 13.7 fl  oz Bottle</v>
      </c>
      <c r="E982" t="s">
        <v>2854</v>
      </c>
      <c r="F982" t="str">
        <f>LEFT(Table1[[#This Row],[Target_product_quantity]], FIND("o", Table1[[#This Row],[Target_product_quantity]])-1)</f>
        <v>13.7</v>
      </c>
      <c r="G982" t="str" cm="1">
        <f t="array" ref="G982">_xlfn.TEXTJOIN("", TRUE, IF(ISNUMBER(SEARCH($K$1010:$K$1054, C982)), $K$1010:$K$1054, ""))</f>
        <v>Starbucks</v>
      </c>
      <c r="H982" t="str">
        <f t="shared" si="56"/>
        <v>Beverages</v>
      </c>
      <c r="I982" t="str">
        <f t="shared" si="57"/>
        <v>Beverages</v>
      </c>
      <c r="J982">
        <v>3.49</v>
      </c>
      <c r="K982">
        <f>Table1[[#This Row],[Target_product_price]]/Table1[[#This Row],[product_price_per_oz]]</f>
        <v>0.25474452554744531</v>
      </c>
    </row>
    <row r="983" spans="1:11" x14ac:dyDescent="0.2">
      <c r="A983" t="s">
        <v>2878</v>
      </c>
      <c r="B983" t="s">
        <v>2879</v>
      </c>
      <c r="C983" s="4" t="s">
        <v>2880</v>
      </c>
      <c r="D983" t="str">
        <f>SUBSTITUTE(Table1[[#This Row],[Target_product_name]], "oz", " oz")</f>
        <v>Starbucks Frappuccino Oatmilk Dark Chocolate Brownie Coffee Drink - 13.7 fl  oz Bottle</v>
      </c>
      <c r="E983" t="s">
        <v>2854</v>
      </c>
      <c r="F983" t="str">
        <f>LEFT(Table1[[#This Row],[Target_product_quantity]], FIND("o", Table1[[#This Row],[Target_product_quantity]])-1)</f>
        <v>13.7</v>
      </c>
      <c r="G983" t="str" cm="1">
        <f t="array" ref="G983">_xlfn.TEXTJOIN("", TRUE, IF(ISNUMBER(SEARCH($K$1010:$K$1054, C983)), $K$1010:$K$1054, ""))</f>
        <v>Starbucks</v>
      </c>
      <c r="H983" t="str">
        <f t="shared" si="56"/>
        <v>Beverages</v>
      </c>
      <c r="I983" t="str">
        <f t="shared" si="57"/>
        <v>Beverages</v>
      </c>
      <c r="J983">
        <v>3.49</v>
      </c>
      <c r="K983">
        <f>Table1[[#This Row],[Target_product_price]]/Table1[[#This Row],[product_price_per_oz]]</f>
        <v>0.25474452554744531</v>
      </c>
    </row>
    <row r="984" spans="1:11" x14ac:dyDescent="0.2">
      <c r="A984" t="s">
        <v>2881</v>
      </c>
      <c r="B984" t="s">
        <v>2882</v>
      </c>
      <c r="C984" s="4" t="s">
        <v>2883</v>
      </c>
      <c r="D984" t="str">
        <f>SUBSTITUTE(Table1[[#This Row],[Target_product_name]], "oz", " oz")</f>
        <v>Starbucks Frappuccino Vanilla Chilled Coffee Drink - 13.7 fl  oz Glass Bottle</v>
      </c>
      <c r="E984" t="s">
        <v>2854</v>
      </c>
      <c r="F984" t="str">
        <f>LEFT(Table1[[#This Row],[Target_product_quantity]], FIND("o", Table1[[#This Row],[Target_product_quantity]])-1)</f>
        <v>13.7</v>
      </c>
      <c r="G984" t="str" cm="1">
        <f t="array" ref="G984">_xlfn.TEXTJOIN("", TRUE, IF(ISNUMBER(SEARCH($K$1010:$K$1054, C984)), $K$1010:$K$1054, ""))</f>
        <v>Starbucks</v>
      </c>
      <c r="H984" t="str">
        <f t="shared" si="56"/>
        <v>Beverages</v>
      </c>
      <c r="I984" t="str">
        <f t="shared" si="57"/>
        <v>Beverages</v>
      </c>
      <c r="J984">
        <v>3.49</v>
      </c>
      <c r="K984">
        <f>Table1[[#This Row],[Target_product_price]]/Table1[[#This Row],[product_price_per_oz]]</f>
        <v>0.25474452554744531</v>
      </c>
    </row>
    <row r="985" spans="1:11" x14ac:dyDescent="0.2">
      <c r="A985" t="s">
        <v>2884</v>
      </c>
      <c r="B985" t="s">
        <v>2885</v>
      </c>
      <c r="C985" t="s">
        <v>2886</v>
      </c>
      <c r="D985" t="str">
        <f>SUBSTITUTE(Table1[[#This Row],[Target_product_name]], "oz", " oz")</f>
        <v>Starbucks Frappuccino Vanilla Coffee Drink - 12pk/9.5 fl  oz Bottle</v>
      </c>
      <c r="E985" t="s">
        <v>2858</v>
      </c>
      <c r="F985" t="str">
        <f>LEFT(Table1[[#This Row],[Target_product_quantity]], FIND("o", Table1[[#This Row],[Target_product_quantity]])-1)</f>
        <v>38</v>
      </c>
      <c r="G985" t="str" cm="1">
        <f t="array" ref="G985">_xlfn.TEXTJOIN("", TRUE, IF(ISNUMBER(SEARCH($K$1010:$K$1054, C985)), $K$1010:$K$1054, ""))</f>
        <v>Starbucks</v>
      </c>
      <c r="H985" t="str">
        <f t="shared" si="56"/>
        <v>Beverages</v>
      </c>
      <c r="I985" t="str">
        <f t="shared" si="57"/>
        <v>Beverages</v>
      </c>
      <c r="J985">
        <v>22.99</v>
      </c>
      <c r="K985">
        <f>Table1[[#This Row],[Target_product_price]]/Table1[[#This Row],[product_price_per_oz]]</f>
        <v>0.60499999999999998</v>
      </c>
    </row>
    <row r="986" spans="1:11" x14ac:dyDescent="0.2">
      <c r="A986" t="s">
        <v>2887</v>
      </c>
      <c r="B986" t="s">
        <v>2888</v>
      </c>
      <c r="C986" t="s">
        <v>2889</v>
      </c>
      <c r="D986" t="str">
        <f>SUBSTITUTE(Table1[[#This Row],[Target_product_name]], "oz", " oz")</f>
        <v>Starbucks Frappuccino Vanilla Coffee Drink - 4pk/9.5 fl  oz Glass Bottles</v>
      </c>
      <c r="E986" t="s">
        <v>2858</v>
      </c>
      <c r="F986" t="str">
        <f>LEFT(Table1[[#This Row],[Target_product_quantity]], FIND("o", Table1[[#This Row],[Target_product_quantity]])-1)</f>
        <v>38</v>
      </c>
      <c r="G986" t="str" cm="1">
        <f t="array" ref="G986">_xlfn.TEXTJOIN("", TRUE, IF(ISNUMBER(SEARCH($K$1010:$K$1054, C986)), $K$1010:$K$1054, ""))</f>
        <v>Starbucks</v>
      </c>
      <c r="H986" t="str">
        <f t="shared" si="56"/>
        <v>Beverages</v>
      </c>
      <c r="I986" t="str">
        <f t="shared" si="57"/>
        <v>Beverages</v>
      </c>
      <c r="J986">
        <v>7.99</v>
      </c>
      <c r="K986">
        <f>Table1[[#This Row],[Target_product_price]]/Table1[[#This Row],[product_price_per_oz]]</f>
        <v>0.21026315789473685</v>
      </c>
    </row>
    <row r="987" spans="1:11" x14ac:dyDescent="0.2">
      <c r="A987" t="s">
        <v>2890</v>
      </c>
      <c r="B987" t="s">
        <v>2891</v>
      </c>
      <c r="C987" s="4" t="s">
        <v>2892</v>
      </c>
      <c r="D987" t="str">
        <f>SUBSTITUTE(Table1[[#This Row],[Target_product_name]], "oz", " oz")</f>
        <v>Starbucks Keurig Mountain Blend Medium Roast Coffee Pods - 22 K-Cups</v>
      </c>
      <c r="E987" t="s">
        <v>1895</v>
      </c>
      <c r="F987" t="str">
        <f>LEFT(Table1[[#This Row],[Target_product_quantity]], FIND("o", Table1[[#This Row],[Target_product_quantity]])-1)</f>
        <v>22</v>
      </c>
      <c r="G987" t="str" cm="1">
        <f t="array" ref="G987">_xlfn.TEXTJOIN("", TRUE, IF(ISNUMBER(SEARCH($K$1010:$K$1054, C987)), $K$1010:$K$1054, ""))</f>
        <v>Starbucks</v>
      </c>
      <c r="H987" t="str">
        <f t="shared" si="56"/>
        <v>Beverages</v>
      </c>
      <c r="I987" t="str">
        <f t="shared" si="57"/>
        <v>Beverages</v>
      </c>
      <c r="J987">
        <v>16.989999999999998</v>
      </c>
      <c r="K987">
        <f>Table1[[#This Row],[Target_product_price]]/Table1[[#This Row],[product_price_per_oz]]</f>
        <v>0.77227272727272722</v>
      </c>
    </row>
    <row r="988" spans="1:11" x14ac:dyDescent="0.2">
      <c r="A988" t="s">
        <v>2893</v>
      </c>
      <c r="B988" t="s">
        <v>2894</v>
      </c>
      <c r="C988" t="s">
        <v>2895</v>
      </c>
      <c r="D988" t="str">
        <f>SUBSTITUTE(Table1[[#This Row],[Target_product_name]], "oz", " oz")</f>
        <v>Starbucks Nitro Cold Brew Black Unsweetened Premium Coffee Drink - 9.6 fl  oz Bottle</v>
      </c>
      <c r="E988" t="s">
        <v>2733</v>
      </c>
      <c r="F988" t="str">
        <f>LEFT(Table1[[#This Row],[Target_product_quantity]], FIND("o", Table1[[#This Row],[Target_product_quantity]])-1)</f>
        <v>9.6</v>
      </c>
      <c r="G988" t="str" cm="1">
        <f t="array" ref="G988">_xlfn.TEXTJOIN("", TRUE, IF(ISNUMBER(SEARCH($K$1010:$K$1054, C988)), $K$1010:$K$1054, ""))</f>
        <v>Starbucks</v>
      </c>
      <c r="H988" t="str">
        <f t="shared" si="56"/>
        <v>Beverages</v>
      </c>
      <c r="I988" t="str">
        <f t="shared" si="57"/>
        <v>Beverages</v>
      </c>
      <c r="J988">
        <v>3.99</v>
      </c>
      <c r="K988">
        <f>Table1[[#This Row],[Target_product_price]]/Table1[[#This Row],[product_price_per_oz]]</f>
        <v>0.41562500000000002</v>
      </c>
    </row>
    <row r="989" spans="1:11" x14ac:dyDescent="0.2">
      <c r="A989" t="s">
        <v>2896</v>
      </c>
      <c r="B989" t="s">
        <v>2897</v>
      </c>
      <c r="C989" t="s">
        <v>2898</v>
      </c>
      <c r="D989" t="str">
        <f>SUBSTITUTE(Table1[[#This Row],[Target_product_name]], "oz", " oz")</f>
        <v>Starbucks Nitro Cold Brew Vanilla Sweet Cream Premium Coffee Drink - 9.6 fl  oz Bottle</v>
      </c>
      <c r="E989" t="s">
        <v>2733</v>
      </c>
      <c r="F989" t="str">
        <f>LEFT(Table1[[#This Row],[Target_product_quantity]], FIND("o", Table1[[#This Row],[Target_product_quantity]])-1)</f>
        <v>9.6</v>
      </c>
      <c r="G989" t="str" cm="1">
        <f t="array" ref="G989">_xlfn.TEXTJOIN("", TRUE, IF(ISNUMBER(SEARCH($K$1010:$K$1054, C989)), $K$1010:$K$1054, ""))</f>
        <v>Starbucks</v>
      </c>
      <c r="H989" t="str">
        <f t="shared" si="56"/>
        <v>Beverages</v>
      </c>
      <c r="I989" t="str">
        <f t="shared" si="57"/>
        <v>Beverages</v>
      </c>
      <c r="J989">
        <v>3.99</v>
      </c>
      <c r="K989">
        <f>Table1[[#This Row],[Target_product_price]]/Table1[[#This Row],[product_price_per_oz]]</f>
        <v>0.41562500000000002</v>
      </c>
    </row>
    <row r="990" spans="1:11" x14ac:dyDescent="0.2">
      <c r="A990" t="s">
        <v>2899</v>
      </c>
      <c r="B990" t="s">
        <v>2900</v>
      </c>
      <c r="C990" t="s">
        <v>2901</v>
      </c>
      <c r="D990" t="str">
        <f>SUBSTITUTE(Table1[[#This Row],[Target_product_name]], "oz", " oz")</f>
        <v>Totino's Cheese Fr ozen Pizza Rolls - 24.8 oz</v>
      </c>
      <c r="E990" t="str">
        <f>TRIM(RIGHT(C990, LEN(C990) - FIND("-", C990)))</f>
        <v>24.8oz</v>
      </c>
      <c r="F990" t="str">
        <f>LEFT(Table1[[#This Row],[Target_product_quantity]], FIND("o", Table1[[#This Row],[Target_product_quantity]])-1)</f>
        <v>24.8</v>
      </c>
      <c r="G990" t="str" cm="1">
        <f t="array" ref="G990">_xlfn.TEXTJOIN("", TRUE, IF(ISNUMBER(SEARCH($K$1010:$K$1054, C990)), $K$1010:$K$1054, ""))</f>
        <v>Totino's</v>
      </c>
      <c r="H990" t="str">
        <f t="shared" si="56"/>
        <v>Prepared Food</v>
      </c>
      <c r="I990" t="str">
        <f t="shared" si="57"/>
        <v>Prepared Food</v>
      </c>
      <c r="J990">
        <v>5.99</v>
      </c>
      <c r="K990">
        <f>Table1[[#This Row],[Target_product_price]]/Table1[[#This Row],[product_price_per_oz]]</f>
        <v>0.24153225806451614</v>
      </c>
    </row>
    <row r="991" spans="1:11" x14ac:dyDescent="0.2">
      <c r="A991" t="s">
        <v>2902</v>
      </c>
      <c r="B991" t="s">
        <v>2903</v>
      </c>
      <c r="C991" t="s">
        <v>2904</v>
      </c>
      <c r="D991" t="str">
        <f>SUBSTITUTE(Table1[[#This Row],[Target_product_name]], "oz", " oz")</f>
        <v>Totino's Combination Fr ozen Pizza Rolls - 24.8 oz</v>
      </c>
      <c r="E991" t="str">
        <f>TRIM(RIGHT(C991, LEN(C991) - FIND("-", C991)))</f>
        <v>24.8oz</v>
      </c>
      <c r="F991" t="str">
        <f>LEFT(Table1[[#This Row],[Target_product_quantity]], FIND("o", Table1[[#This Row],[Target_product_quantity]])-1)</f>
        <v>24.8</v>
      </c>
      <c r="G991" t="str" cm="1">
        <f t="array" ref="G991">_xlfn.TEXTJOIN("", TRUE, IF(ISNUMBER(SEARCH($K$1010:$K$1054, C991)), $K$1010:$K$1054, ""))</f>
        <v>Totino's</v>
      </c>
      <c r="H991" t="str">
        <f t="shared" si="56"/>
        <v>Prepared Food</v>
      </c>
      <c r="I991" t="str">
        <f t="shared" si="57"/>
        <v>Prepared Food</v>
      </c>
      <c r="J991">
        <v>5.99</v>
      </c>
      <c r="K991">
        <f>Table1[[#This Row],[Target_product_price]]/Table1[[#This Row],[product_price_per_oz]]</f>
        <v>0.24153225806451614</v>
      </c>
    </row>
    <row r="992" spans="1:11" x14ac:dyDescent="0.2">
      <c r="A992" t="s">
        <v>2905</v>
      </c>
      <c r="B992" t="s">
        <v>2906</v>
      </c>
      <c r="C992" t="s">
        <v>2907</v>
      </c>
      <c r="D992" t="str">
        <f>SUBSTITUTE(Table1[[#This Row],[Target_product_name]], "oz", " oz")</f>
        <v>Totino's Combination Party Fr ozen Pizza - 10.4 oz</v>
      </c>
      <c r="E992" t="str">
        <f>TRIM(RIGHT(C992, LEN(C992) - FIND("-", C992)))</f>
        <v>10.4oz</v>
      </c>
      <c r="F992" t="str">
        <f>LEFT(Table1[[#This Row],[Target_product_quantity]], FIND("o", Table1[[#This Row],[Target_product_quantity]])-1)</f>
        <v>10.4</v>
      </c>
      <c r="G992" t="str" cm="1">
        <f t="array" ref="G992">_xlfn.TEXTJOIN("", TRUE, IF(ISNUMBER(SEARCH($K$1010:$K$1054, C992)), $K$1010:$K$1054, ""))</f>
        <v>Totino's</v>
      </c>
      <c r="H992" t="str">
        <f t="shared" si="56"/>
        <v>Prepared Food</v>
      </c>
      <c r="I992" t="str">
        <f t="shared" si="57"/>
        <v>Prepared Food</v>
      </c>
      <c r="J992">
        <v>2.19</v>
      </c>
      <c r="K992">
        <f>Table1[[#This Row],[Target_product_price]]/Table1[[#This Row],[product_price_per_oz]]</f>
        <v>0.21057692307692308</v>
      </c>
    </row>
    <row r="993" spans="1:11" x14ac:dyDescent="0.2">
      <c r="A993" t="s">
        <v>2905</v>
      </c>
      <c r="B993" t="s">
        <v>2906</v>
      </c>
      <c r="C993" t="s">
        <v>2907</v>
      </c>
      <c r="D993" t="str">
        <f>SUBSTITUTE(Table1[[#This Row],[Target_product_name]], "oz", " oz")</f>
        <v>Totino's Combination Party Fr ozen Pizza - 10.4 oz</v>
      </c>
      <c r="E993" t="str">
        <f>TRIM(RIGHT(C993, LEN(C993) - FIND("-", C993)))</f>
        <v>10.4oz</v>
      </c>
      <c r="F993" t="str">
        <f>LEFT(Table1[[#This Row],[Target_product_quantity]], FIND("o", Table1[[#This Row],[Target_product_quantity]])-1)</f>
        <v>10.4</v>
      </c>
      <c r="G993" t="str" cm="1">
        <f t="array" ref="G993">_xlfn.TEXTJOIN("", TRUE, IF(ISNUMBER(SEARCH($K$1010:$K$1054, C993)), $K$1010:$K$1054, ""))</f>
        <v>Totino's</v>
      </c>
      <c r="H993" t="str">
        <f t="shared" si="56"/>
        <v>Prepared Food</v>
      </c>
      <c r="I993" t="str">
        <f t="shared" si="57"/>
        <v>Prepared Food</v>
      </c>
      <c r="J993">
        <v>2.19</v>
      </c>
      <c r="K993">
        <f>Table1[[#This Row],[Target_product_price]]/Table1[[#This Row],[product_price_per_oz]]</f>
        <v>0.21057692307692308</v>
      </c>
    </row>
    <row r="994" spans="1:11" x14ac:dyDescent="0.2">
      <c r="A994" t="s">
        <v>2908</v>
      </c>
      <c r="B994" t="s">
        <v>2909</v>
      </c>
      <c r="C994" t="s">
        <v>2910</v>
      </c>
      <c r="D994" t="str">
        <f>SUBSTITUTE(Table1[[#This Row],[Target_product_name]], "oz", " oz")</f>
        <v>Totino's Combination Sausage &amp; Pepperoni Fr ozen Party Pizza - 41.6 oz/4pk</v>
      </c>
      <c r="E994" t="s">
        <v>2911</v>
      </c>
      <c r="F994" t="str">
        <f>LEFT(Table1[[#This Row],[Target_product_quantity]], FIND("o", Table1[[#This Row],[Target_product_quantity]])-1)</f>
        <v>166.4</v>
      </c>
      <c r="G994" t="str" cm="1">
        <f t="array" ref="G994">_xlfn.TEXTJOIN("", TRUE, IF(ISNUMBER(SEARCH($K$1010:$K$1054, C994)), $K$1010:$K$1054, ""))</f>
        <v>Totino's</v>
      </c>
      <c r="H994" t="str">
        <f t="shared" si="56"/>
        <v>Prepared Food</v>
      </c>
      <c r="I994" t="str">
        <f t="shared" si="57"/>
        <v>Prepared Food</v>
      </c>
      <c r="J994">
        <v>8.2899999999999991</v>
      </c>
      <c r="K994">
        <f>Table1[[#This Row],[Target_product_price]]/Table1[[#This Row],[product_price_per_oz]]</f>
        <v>4.9819711538461535E-2</v>
      </c>
    </row>
    <row r="995" spans="1:11" x14ac:dyDescent="0.2">
      <c r="A995" t="s">
        <v>2908</v>
      </c>
      <c r="B995" t="s">
        <v>2909</v>
      </c>
      <c r="C995" t="s">
        <v>2910</v>
      </c>
      <c r="D995" t="str">
        <f>SUBSTITUTE(Table1[[#This Row],[Target_product_name]], "oz", " oz")</f>
        <v>Totino's Combination Sausage &amp; Pepperoni Fr ozen Party Pizza - 41.6 oz/4pk</v>
      </c>
      <c r="E995" t="s">
        <v>2911</v>
      </c>
      <c r="F995" t="str">
        <f>LEFT(Table1[[#This Row],[Target_product_quantity]], FIND("o", Table1[[#This Row],[Target_product_quantity]])-1)</f>
        <v>166.4</v>
      </c>
      <c r="G995" t="str" cm="1">
        <f t="array" ref="G995">_xlfn.TEXTJOIN("", TRUE, IF(ISNUMBER(SEARCH($K$1010:$K$1054, C995)), $K$1010:$K$1054, ""))</f>
        <v>Totino's</v>
      </c>
      <c r="H995" t="str">
        <f t="shared" si="56"/>
        <v>Prepared Food</v>
      </c>
      <c r="I995" t="str">
        <f t="shared" si="57"/>
        <v>Prepared Food</v>
      </c>
      <c r="J995">
        <v>8.2899999999999991</v>
      </c>
      <c r="K995">
        <f>Table1[[#This Row],[Target_product_price]]/Table1[[#This Row],[product_price_per_oz]]</f>
        <v>4.9819711538461535E-2</v>
      </c>
    </row>
    <row r="996" spans="1:11" x14ac:dyDescent="0.2">
      <c r="A996" t="s">
        <v>2912</v>
      </c>
      <c r="B996" t="s">
        <v>2913</v>
      </c>
      <c r="C996" t="s">
        <v>2914</v>
      </c>
      <c r="D996" t="str">
        <f>SUBSTITUTE(Table1[[#This Row],[Target_product_name]], "oz", " oz")</f>
        <v>Totino's Fr ozen Pizza Rolls Combo - 63.5 oz/130ct</v>
      </c>
      <c r="E996" t="s">
        <v>2915</v>
      </c>
      <c r="F996" t="str">
        <f>LEFT(Table1[[#This Row],[Target_product_quantity]], FIND("o", Table1[[#This Row],[Target_product_quantity]])-1)</f>
        <v>63.5</v>
      </c>
      <c r="G996" t="str" cm="1">
        <f t="array" ref="G996">_xlfn.TEXTJOIN("", TRUE, IF(ISNUMBER(SEARCH($K$1010:$K$1054, C996)), $K$1010:$K$1054, ""))</f>
        <v>Totino's</v>
      </c>
      <c r="H996" t="str">
        <f t="shared" si="56"/>
        <v>Prepared Food</v>
      </c>
      <c r="I996" t="str">
        <f t="shared" si="57"/>
        <v>Prepared Food</v>
      </c>
      <c r="J996">
        <v>10.99</v>
      </c>
      <c r="K996">
        <f>Table1[[#This Row],[Target_product_price]]/Table1[[#This Row],[product_price_per_oz]]</f>
        <v>0.17307086614173228</v>
      </c>
    </row>
    <row r="997" spans="1:11" x14ac:dyDescent="0.2">
      <c r="A997" t="s">
        <v>2916</v>
      </c>
      <c r="B997" t="s">
        <v>2917</v>
      </c>
      <c r="C997" t="s">
        <v>2918</v>
      </c>
      <c r="D997" t="str">
        <f>SUBSTITUTE(Table1[[#This Row],[Target_product_name]], "oz", " oz")</f>
        <v>Totino's Fr ozen Pizza Rolls Pepperoni - 63.5 oz/130ct</v>
      </c>
      <c r="E997" t="s">
        <v>2915</v>
      </c>
      <c r="F997" t="str">
        <f>LEFT(Table1[[#This Row],[Target_product_quantity]], FIND("o", Table1[[#This Row],[Target_product_quantity]])-1)</f>
        <v>63.5</v>
      </c>
      <c r="G997" t="str" cm="1">
        <f t="array" ref="G997">_xlfn.TEXTJOIN("", TRUE, IF(ISNUMBER(SEARCH($K$1010:$K$1054, C997)), $K$1010:$K$1054, ""))</f>
        <v>Totino's</v>
      </c>
      <c r="H997" t="str">
        <f t="shared" si="56"/>
        <v>Prepared Food</v>
      </c>
      <c r="I997" t="str">
        <f t="shared" si="57"/>
        <v>Prepared Food</v>
      </c>
      <c r="J997">
        <v>10.99</v>
      </c>
      <c r="K997">
        <f>Table1[[#This Row],[Target_product_price]]/Table1[[#This Row],[product_price_per_oz]]</f>
        <v>0.17307086614173228</v>
      </c>
    </row>
    <row r="998" spans="1:11" x14ac:dyDescent="0.2">
      <c r="A998" t="s">
        <v>2919</v>
      </c>
      <c r="B998" t="s">
        <v>2920</v>
      </c>
      <c r="C998" t="s">
        <v>2921</v>
      </c>
      <c r="D998" t="str">
        <f>SUBSTITUTE(Table1[[#This Row],[Target_product_name]], "oz", " oz")</f>
        <v>Totino's Fr ozen Pizza Rolls Triple Cheese - 63.5 oz/130ct</v>
      </c>
      <c r="E998" t="s">
        <v>2915</v>
      </c>
      <c r="F998" t="str">
        <f>LEFT(Table1[[#This Row],[Target_product_quantity]], FIND("o", Table1[[#This Row],[Target_product_quantity]])-1)</f>
        <v>63.5</v>
      </c>
      <c r="G998" t="str" cm="1">
        <f t="array" ref="G998">_xlfn.TEXTJOIN("", TRUE, IF(ISNUMBER(SEARCH($K$1010:$K$1054, C998)), $K$1010:$K$1054, ""))</f>
        <v>Totino's</v>
      </c>
      <c r="H998" t="str">
        <f t="shared" si="56"/>
        <v>Prepared Food</v>
      </c>
      <c r="I998" t="str">
        <f t="shared" si="57"/>
        <v>Prepared Food</v>
      </c>
      <c r="J998">
        <v>10.99</v>
      </c>
      <c r="K998">
        <f>Table1[[#This Row],[Target_product_price]]/Table1[[#This Row],[product_price_per_oz]]</f>
        <v>0.17307086614173228</v>
      </c>
    </row>
    <row r="999" spans="1:11" x14ac:dyDescent="0.2">
      <c r="A999" t="s">
        <v>2922</v>
      </c>
      <c r="B999" t="s">
        <v>2923</v>
      </c>
      <c r="C999" t="s">
        <v>2924</v>
      </c>
      <c r="D999" t="str">
        <f>SUBSTITUTE(Table1[[#This Row],[Target_product_name]], "oz", " oz")</f>
        <v>Totino's Pepperoni Fr ozen Pizza Rolls - 24.8 oz</v>
      </c>
      <c r="E999" t="str">
        <f>TRIM(RIGHT(C999, LEN(C999) - FIND("-", C999)))</f>
        <v>24.8oz</v>
      </c>
      <c r="F999" t="str">
        <f>LEFT(Table1[[#This Row],[Target_product_quantity]], FIND("o", Table1[[#This Row],[Target_product_quantity]])-1)</f>
        <v>24.8</v>
      </c>
      <c r="G999" t="str" cm="1">
        <f t="array" ref="G999">_xlfn.TEXTJOIN("", TRUE, IF(ISNUMBER(SEARCH($K$1010:$K$1054, C999)), $K$1010:$K$1054, ""))</f>
        <v>Totino's</v>
      </c>
      <c r="H999" t="str">
        <f t="shared" si="56"/>
        <v>Prepared Food</v>
      </c>
      <c r="I999" t="str">
        <f t="shared" si="57"/>
        <v>Prepared Food</v>
      </c>
      <c r="J999">
        <v>5.99</v>
      </c>
      <c r="K999">
        <f>Table1[[#This Row],[Target_product_price]]/Table1[[#This Row],[product_price_per_oz]]</f>
        <v>0.24153225806451614</v>
      </c>
    </row>
    <row r="1000" spans="1:11" x14ac:dyDescent="0.2">
      <c r="A1000" t="s">
        <v>2925</v>
      </c>
      <c r="B1000" t="s">
        <v>2926</v>
      </c>
      <c r="C1000" t="s">
        <v>2927</v>
      </c>
      <c r="D1000" t="str">
        <f>SUBSTITUTE(Table1[[#This Row],[Target_product_name]], "oz", " oz")</f>
        <v>Totino's Pepperoni Party Fr ozen Pizza - 10.2 oz</v>
      </c>
      <c r="E1000" t="str">
        <f>TRIM(RIGHT(C1000, LEN(C1000) - FIND("-", C1000)))</f>
        <v>10.2oz</v>
      </c>
      <c r="F1000" t="str">
        <f>LEFT(Table1[[#This Row],[Target_product_quantity]], FIND("o", Table1[[#This Row],[Target_product_quantity]])-1)</f>
        <v>10.2</v>
      </c>
      <c r="G1000" t="str" cm="1">
        <f t="array" ref="G1000">_xlfn.TEXTJOIN("", TRUE, IF(ISNUMBER(SEARCH($K$1010:$K$1054, C1000)), $K$1010:$K$1054, ""))</f>
        <v>Totino's</v>
      </c>
      <c r="H1000" t="str">
        <f t="shared" si="56"/>
        <v>Prepared Food</v>
      </c>
      <c r="I1000" t="str">
        <f t="shared" si="57"/>
        <v>Prepared Food</v>
      </c>
      <c r="J1000">
        <v>2.19</v>
      </c>
      <c r="K1000">
        <f>Table1[[#This Row],[Target_product_price]]/Table1[[#This Row],[product_price_per_oz]]</f>
        <v>0.21470588235294119</v>
      </c>
    </row>
    <row r="1001" spans="1:11" x14ac:dyDescent="0.2">
      <c r="A1001" t="s">
        <v>2925</v>
      </c>
      <c r="B1001" t="s">
        <v>2926</v>
      </c>
      <c r="C1001" t="s">
        <v>2927</v>
      </c>
      <c r="D1001" t="str">
        <f>SUBSTITUTE(Table1[[#This Row],[Target_product_name]], "oz", " oz")</f>
        <v>Totino's Pepperoni Party Fr ozen Pizza - 10.2 oz</v>
      </c>
      <c r="E1001" t="str">
        <f>TRIM(RIGHT(C1001, LEN(C1001) - FIND("-", C1001)))</f>
        <v>10.2oz</v>
      </c>
      <c r="F1001" t="str">
        <f>LEFT(Table1[[#This Row],[Target_product_quantity]], FIND("o", Table1[[#This Row],[Target_product_quantity]])-1)</f>
        <v>10.2</v>
      </c>
      <c r="G1001" t="str" cm="1">
        <f t="array" ref="G1001">_xlfn.TEXTJOIN("", TRUE, IF(ISNUMBER(SEARCH($K$1010:$K$1054, C1001)), $K$1010:$K$1054, ""))</f>
        <v>Totino's</v>
      </c>
      <c r="H1001" t="str">
        <f t="shared" si="56"/>
        <v>Prepared Food</v>
      </c>
      <c r="I1001" t="str">
        <f t="shared" si="57"/>
        <v>Prepared Food</v>
      </c>
      <c r="J1001">
        <v>2.19</v>
      </c>
      <c r="K1001">
        <f>Table1[[#This Row],[Target_product_price]]/Table1[[#This Row],[product_price_per_oz]]</f>
        <v>0.21470588235294119</v>
      </c>
    </row>
    <row r="1002" spans="1:11" x14ac:dyDescent="0.2">
      <c r="A1002" t="s">
        <v>2928</v>
      </c>
      <c r="B1002" t="s">
        <v>2929</v>
      </c>
      <c r="C1002" t="s">
        <v>2930</v>
      </c>
      <c r="D1002" t="str">
        <f>SUBSTITUTE(Table1[[#This Row],[Target_product_name]], "oz", " oz")</f>
        <v>Totino's Triple Cheese Fr ozen Party Pizza - 39.2 oz/4pk</v>
      </c>
      <c r="E1002" t="s">
        <v>2931</v>
      </c>
      <c r="F1002" t="str">
        <f>LEFT(Table1[[#This Row],[Target_product_quantity]], FIND("o", Table1[[#This Row],[Target_product_quantity]])-1)</f>
        <v>156.8</v>
      </c>
      <c r="G1002" t="str" cm="1">
        <f t="array" ref="G1002">_xlfn.TEXTJOIN("", TRUE, IF(ISNUMBER(SEARCH($K$1010:$K$1054, C1002)), $K$1010:$K$1054, ""))</f>
        <v>Totino's</v>
      </c>
      <c r="H1002" t="str">
        <f t="shared" si="56"/>
        <v>Prepared Food</v>
      </c>
      <c r="I1002" t="str">
        <f t="shared" si="57"/>
        <v>Prepared Food</v>
      </c>
      <c r="J1002">
        <v>8.2899999999999991</v>
      </c>
      <c r="K1002">
        <f>Table1[[#This Row],[Target_product_price]]/Table1[[#This Row],[product_price_per_oz]]</f>
        <v>5.2869897959183662E-2</v>
      </c>
    </row>
    <row r="1003" spans="1:11" x14ac:dyDescent="0.2">
      <c r="A1003" t="s">
        <v>2928</v>
      </c>
      <c r="B1003" t="s">
        <v>2929</v>
      </c>
      <c r="C1003" t="s">
        <v>2930</v>
      </c>
      <c r="D1003" t="str">
        <f>SUBSTITUTE(Table1[[#This Row],[Target_product_name]], "oz", " oz")</f>
        <v>Totino's Triple Cheese Fr ozen Party Pizza - 39.2 oz/4pk</v>
      </c>
      <c r="E1003" t="s">
        <v>2931</v>
      </c>
      <c r="F1003" t="str">
        <f>LEFT(Table1[[#This Row],[Target_product_quantity]], FIND("o", Table1[[#This Row],[Target_product_quantity]])-1)</f>
        <v>156.8</v>
      </c>
      <c r="G1003" t="str" cm="1">
        <f t="array" ref="G1003">_xlfn.TEXTJOIN("", TRUE, IF(ISNUMBER(SEARCH($K$1010:$K$1054, C1003)), $K$1010:$K$1054, ""))</f>
        <v>Totino's</v>
      </c>
      <c r="H1003" t="str">
        <f t="shared" si="56"/>
        <v>Prepared Food</v>
      </c>
      <c r="I1003" t="str">
        <f t="shared" si="57"/>
        <v>Prepared Food</v>
      </c>
      <c r="J1003">
        <v>8.2899999999999991</v>
      </c>
      <c r="K1003">
        <f>Table1[[#This Row],[Target_product_price]]/Table1[[#This Row],[product_price_per_oz]]</f>
        <v>5.2869897959183662E-2</v>
      </c>
    </row>
    <row r="1004" spans="1:11" x14ac:dyDescent="0.2">
      <c r="J1004"/>
    </row>
    <row r="1005" spans="1:11" x14ac:dyDescent="0.2">
      <c r="J1005"/>
    </row>
    <row r="1006" spans="1:11" x14ac:dyDescent="0.2">
      <c r="J1006"/>
    </row>
    <row r="1007" spans="1:11" x14ac:dyDescent="0.2">
      <c r="J1007"/>
    </row>
    <row r="1008" spans="1:11" x14ac:dyDescent="0.2">
      <c r="J1008"/>
    </row>
    <row r="1009" spans="10:13" x14ac:dyDescent="0.2">
      <c r="J1009"/>
      <c r="K1009" t="s">
        <v>2932</v>
      </c>
      <c r="L1009" t="s">
        <v>2933</v>
      </c>
      <c r="M1009" t="s">
        <v>3044</v>
      </c>
    </row>
    <row r="1010" spans="10:13" x14ac:dyDescent="0.2">
      <c r="J1010"/>
      <c r="K1010" t="s">
        <v>2934</v>
      </c>
      <c r="L1010" t="s">
        <v>2935</v>
      </c>
      <c r="M1010" t="s">
        <v>3045</v>
      </c>
    </row>
    <row r="1011" spans="10:13" x14ac:dyDescent="0.2">
      <c r="J1011"/>
      <c r="K1011" t="s">
        <v>2936</v>
      </c>
      <c r="L1011" t="s">
        <v>3041</v>
      </c>
      <c r="M1011" t="s">
        <v>2937</v>
      </c>
    </row>
    <row r="1012" spans="10:13" x14ac:dyDescent="0.2">
      <c r="J1012"/>
      <c r="K1012" t="s">
        <v>2938</v>
      </c>
      <c r="L1012" t="s">
        <v>2939</v>
      </c>
      <c r="M1012" t="s">
        <v>3046</v>
      </c>
    </row>
    <row r="1013" spans="10:13" x14ac:dyDescent="0.2">
      <c r="J1013"/>
      <c r="K1013" t="s">
        <v>2940</v>
      </c>
      <c r="L1013" t="s">
        <v>2941</v>
      </c>
      <c r="M1013" t="s">
        <v>2939</v>
      </c>
    </row>
    <row r="1014" spans="10:13" x14ac:dyDescent="0.2">
      <c r="J1014"/>
      <c r="K1014" t="s">
        <v>2942</v>
      </c>
      <c r="L1014" t="s">
        <v>2943</v>
      </c>
      <c r="M1014" t="s">
        <v>2951</v>
      </c>
    </row>
    <row r="1015" spans="10:13" x14ac:dyDescent="0.2">
      <c r="J1015"/>
      <c r="K1015" t="s">
        <v>2944</v>
      </c>
      <c r="L1015" t="s">
        <v>2945</v>
      </c>
    </row>
    <row r="1016" spans="10:13" x14ac:dyDescent="0.2">
      <c r="J1016"/>
      <c r="K1016" t="s">
        <v>2946</v>
      </c>
      <c r="L1016" t="s">
        <v>2947</v>
      </c>
    </row>
    <row r="1017" spans="10:13" x14ac:dyDescent="0.2">
      <c r="J1017"/>
      <c r="K1017" t="s">
        <v>2948</v>
      </c>
      <c r="L1017" t="s">
        <v>2949</v>
      </c>
    </row>
    <row r="1018" spans="10:13" x14ac:dyDescent="0.2">
      <c r="J1018"/>
      <c r="K1018" t="s">
        <v>2950</v>
      </c>
      <c r="L1018" t="s">
        <v>2951</v>
      </c>
    </row>
    <row r="1019" spans="10:13" x14ac:dyDescent="0.2">
      <c r="J1019"/>
      <c r="K1019" t="s">
        <v>2952</v>
      </c>
      <c r="L1019" t="s">
        <v>3042</v>
      </c>
    </row>
    <row r="1020" spans="10:13" x14ac:dyDescent="0.2">
      <c r="J1020"/>
      <c r="K1020" t="s">
        <v>2953</v>
      </c>
      <c r="L1020" t="s">
        <v>3043</v>
      </c>
    </row>
    <row r="1021" spans="10:13" x14ac:dyDescent="0.2">
      <c r="J1021"/>
      <c r="K1021" t="s">
        <v>2954</v>
      </c>
    </row>
    <row r="1022" spans="10:13" x14ac:dyDescent="0.2">
      <c r="J1022"/>
      <c r="K1022" t="s">
        <v>2955</v>
      </c>
    </row>
    <row r="1023" spans="10:13" x14ac:dyDescent="0.2">
      <c r="J1023"/>
      <c r="K1023" t="s">
        <v>2956</v>
      </c>
    </row>
    <row r="1024" spans="10:13" x14ac:dyDescent="0.2">
      <c r="J1024"/>
      <c r="K1024" t="s">
        <v>2957</v>
      </c>
    </row>
    <row r="1025" spans="7:11" x14ac:dyDescent="0.2">
      <c r="J1025"/>
      <c r="K1025" t="s">
        <v>2958</v>
      </c>
    </row>
    <row r="1026" spans="7:11" x14ac:dyDescent="0.2">
      <c r="J1026"/>
      <c r="K1026" t="s">
        <v>2959</v>
      </c>
    </row>
    <row r="1027" spans="7:11" x14ac:dyDescent="0.2">
      <c r="J1027"/>
      <c r="K1027" t="s">
        <v>2960</v>
      </c>
    </row>
    <row r="1028" spans="7:11" x14ac:dyDescent="0.2">
      <c r="G1028" s="4"/>
      <c r="J1028"/>
      <c r="K1028" t="s">
        <v>2961</v>
      </c>
    </row>
    <row r="1029" spans="7:11" x14ac:dyDescent="0.2">
      <c r="G1029" s="4"/>
      <c r="J1029"/>
      <c r="K1029" t="s">
        <v>2962</v>
      </c>
    </row>
    <row r="1030" spans="7:11" x14ac:dyDescent="0.2">
      <c r="G1030" s="4"/>
      <c r="J1030"/>
      <c r="K1030" t="s">
        <v>2963</v>
      </c>
    </row>
    <row r="1031" spans="7:11" x14ac:dyDescent="0.2">
      <c r="G1031" s="4"/>
      <c r="J1031"/>
      <c r="K1031" t="s">
        <v>2964</v>
      </c>
    </row>
    <row r="1032" spans="7:11" x14ac:dyDescent="0.2">
      <c r="G1032" s="4"/>
      <c r="J1032"/>
      <c r="K1032" t="s">
        <v>2965</v>
      </c>
    </row>
    <row r="1033" spans="7:11" x14ac:dyDescent="0.2">
      <c r="G1033" s="4"/>
      <c r="J1033"/>
      <c r="K1033" t="s">
        <v>2966</v>
      </c>
    </row>
    <row r="1034" spans="7:11" x14ac:dyDescent="0.2">
      <c r="G1034" s="4"/>
      <c r="J1034"/>
      <c r="K1034" t="s">
        <v>2967</v>
      </c>
    </row>
    <row r="1035" spans="7:11" x14ac:dyDescent="0.2">
      <c r="G1035" s="4"/>
      <c r="J1035"/>
      <c r="K1035" t="s">
        <v>2968</v>
      </c>
    </row>
    <row r="1036" spans="7:11" x14ac:dyDescent="0.2">
      <c r="G1036" s="4"/>
      <c r="J1036"/>
      <c r="K1036" t="s">
        <v>2969</v>
      </c>
    </row>
    <row r="1037" spans="7:11" x14ac:dyDescent="0.2">
      <c r="G1037" s="4"/>
      <c r="J1037"/>
      <c r="K1037" t="s">
        <v>2970</v>
      </c>
    </row>
    <row r="1038" spans="7:11" x14ac:dyDescent="0.2">
      <c r="G1038" s="4"/>
      <c r="J1038"/>
      <c r="K1038" t="s">
        <v>2971</v>
      </c>
    </row>
    <row r="1039" spans="7:11" x14ac:dyDescent="0.2">
      <c r="G1039" s="4"/>
      <c r="J1039"/>
      <c r="K1039" t="s">
        <v>2972</v>
      </c>
    </row>
    <row r="1040" spans="7:11" x14ac:dyDescent="0.2">
      <c r="G1040" s="4"/>
      <c r="J1040"/>
      <c r="K1040" t="s">
        <v>2973</v>
      </c>
    </row>
    <row r="1041" spans="7:11" x14ac:dyDescent="0.2">
      <c r="G1041" s="4"/>
      <c r="J1041"/>
      <c r="K1041" t="s">
        <v>2974</v>
      </c>
    </row>
    <row r="1042" spans="7:11" x14ac:dyDescent="0.2">
      <c r="G1042" s="4"/>
      <c r="J1042"/>
      <c r="K1042" t="s">
        <v>2975</v>
      </c>
    </row>
    <row r="1043" spans="7:11" x14ac:dyDescent="0.2">
      <c r="G1043" s="4"/>
      <c r="J1043"/>
      <c r="K1043" t="s">
        <v>2976</v>
      </c>
    </row>
    <row r="1044" spans="7:11" x14ac:dyDescent="0.2">
      <c r="J1044"/>
      <c r="K1044" t="s">
        <v>2977</v>
      </c>
    </row>
    <row r="1045" spans="7:11" x14ac:dyDescent="0.2">
      <c r="J1045"/>
      <c r="K1045" t="s">
        <v>2978</v>
      </c>
    </row>
    <row r="1046" spans="7:11" x14ac:dyDescent="0.2">
      <c r="J1046"/>
      <c r="K1046" t="s">
        <v>2979</v>
      </c>
    </row>
    <row r="1047" spans="7:11" x14ac:dyDescent="0.2">
      <c r="J1047"/>
      <c r="K1047" t="s">
        <v>2980</v>
      </c>
    </row>
    <row r="1048" spans="7:11" x14ac:dyDescent="0.2">
      <c r="J1048"/>
      <c r="K1048" t="s">
        <v>2981</v>
      </c>
    </row>
    <row r="1049" spans="7:11" x14ac:dyDescent="0.2">
      <c r="J1049"/>
      <c r="K1049" t="s">
        <v>2982</v>
      </c>
    </row>
    <row r="1050" spans="7:11" x14ac:dyDescent="0.2">
      <c r="J1050"/>
      <c r="K1050" t="s">
        <v>2983</v>
      </c>
    </row>
    <row r="1051" spans="7:11" x14ac:dyDescent="0.2">
      <c r="J1051"/>
      <c r="K1051" t="s">
        <v>2984</v>
      </c>
    </row>
    <row r="1052" spans="7:11" x14ac:dyDescent="0.2">
      <c r="J1052"/>
      <c r="K1052" t="s">
        <v>2985</v>
      </c>
    </row>
    <row r="1053" spans="7:11" x14ac:dyDescent="0.2">
      <c r="J1053"/>
      <c r="K1053" t="s">
        <v>2986</v>
      </c>
    </row>
    <row r="1054" spans="7:11" x14ac:dyDescent="0.2">
      <c r="J1054"/>
      <c r="K1054" t="s">
        <v>2987</v>
      </c>
    </row>
    <row r="1055" spans="7:11" x14ac:dyDescent="0.2">
      <c r="J1055"/>
    </row>
    <row r="1056" spans="7:11" x14ac:dyDescent="0.2">
      <c r="J1056"/>
    </row>
    <row r="1057" spans="10:10" x14ac:dyDescent="0.2">
      <c r="J1057"/>
    </row>
    <row r="1058" spans="10:10" x14ac:dyDescent="0.2">
      <c r="J1058"/>
    </row>
    <row r="1059" spans="10:10" x14ac:dyDescent="0.2">
      <c r="J1059"/>
    </row>
    <row r="1060" spans="10:10" x14ac:dyDescent="0.2">
      <c r="J1060"/>
    </row>
    <row r="1061" spans="10:10" x14ac:dyDescent="0.2">
      <c r="J1061"/>
    </row>
    <row r="1062" spans="10:10" x14ac:dyDescent="0.2">
      <c r="J1062"/>
    </row>
    <row r="1063" spans="10:10" x14ac:dyDescent="0.2">
      <c r="J1063"/>
    </row>
    <row r="1064" spans="10:10" x14ac:dyDescent="0.2">
      <c r="J1064"/>
    </row>
    <row r="1065" spans="10:10" x14ac:dyDescent="0.2">
      <c r="J1065"/>
    </row>
    <row r="1066" spans="10:10" x14ac:dyDescent="0.2">
      <c r="J1066"/>
    </row>
    <row r="1067" spans="10:10" x14ac:dyDescent="0.2">
      <c r="J1067"/>
    </row>
    <row r="1068" spans="10:10" x14ac:dyDescent="0.2">
      <c r="J1068"/>
    </row>
    <row r="1069" spans="10:10" x14ac:dyDescent="0.2">
      <c r="J1069"/>
    </row>
    <row r="1070" spans="10:10" x14ac:dyDescent="0.2">
      <c r="J1070"/>
    </row>
    <row r="1071" spans="10:10" x14ac:dyDescent="0.2">
      <c r="J1071"/>
    </row>
    <row r="1072" spans="10:10" x14ac:dyDescent="0.2">
      <c r="J1072"/>
    </row>
    <row r="1073" spans="10:10" x14ac:dyDescent="0.2">
      <c r="J1073"/>
    </row>
    <row r="1074" spans="10:10" x14ac:dyDescent="0.2">
      <c r="J1074"/>
    </row>
    <row r="1075" spans="10:10" x14ac:dyDescent="0.2">
      <c r="J1075"/>
    </row>
    <row r="1076" spans="10:10" x14ac:dyDescent="0.2">
      <c r="J1076"/>
    </row>
    <row r="1077" spans="10:10" x14ac:dyDescent="0.2">
      <c r="J1077"/>
    </row>
    <row r="1078" spans="10:10" x14ac:dyDescent="0.2">
      <c r="J1078"/>
    </row>
    <row r="1079" spans="10:10" x14ac:dyDescent="0.2">
      <c r="J1079"/>
    </row>
    <row r="1080" spans="10:10" x14ac:dyDescent="0.2">
      <c r="J1080"/>
    </row>
    <row r="1081" spans="10:10" x14ac:dyDescent="0.2">
      <c r="J1081"/>
    </row>
    <row r="1082" spans="10:10" x14ac:dyDescent="0.2">
      <c r="J1082"/>
    </row>
    <row r="1083" spans="10:10" x14ac:dyDescent="0.2">
      <c r="J1083"/>
    </row>
    <row r="1084" spans="10:10" x14ac:dyDescent="0.2">
      <c r="J1084"/>
    </row>
    <row r="1085" spans="10:10" x14ac:dyDescent="0.2">
      <c r="J1085"/>
    </row>
    <row r="1086" spans="10:10" x14ac:dyDescent="0.2">
      <c r="J1086"/>
    </row>
    <row r="1087" spans="10:10" x14ac:dyDescent="0.2">
      <c r="J1087"/>
    </row>
    <row r="1088" spans="10:10" x14ac:dyDescent="0.2">
      <c r="J1088"/>
    </row>
    <row r="1089" spans="10:10" x14ac:dyDescent="0.2">
      <c r="J1089"/>
    </row>
    <row r="1090" spans="10:10" x14ac:dyDescent="0.2">
      <c r="J1090"/>
    </row>
    <row r="1091" spans="10:10" x14ac:dyDescent="0.2">
      <c r="J1091"/>
    </row>
    <row r="1092" spans="10:10" x14ac:dyDescent="0.2">
      <c r="J1092"/>
    </row>
    <row r="1093" spans="10:10" x14ac:dyDescent="0.2">
      <c r="J1093"/>
    </row>
    <row r="1094" spans="10:10" x14ac:dyDescent="0.2">
      <c r="J1094"/>
    </row>
    <row r="1095" spans="10:10" x14ac:dyDescent="0.2">
      <c r="J1095"/>
    </row>
    <row r="1096" spans="10:10" x14ac:dyDescent="0.2">
      <c r="J1096"/>
    </row>
    <row r="1097" spans="10:10" x14ac:dyDescent="0.2">
      <c r="J1097"/>
    </row>
    <row r="1098" spans="10:10" x14ac:dyDescent="0.2">
      <c r="J1098"/>
    </row>
    <row r="1099" spans="10:10" x14ac:dyDescent="0.2">
      <c r="J1099"/>
    </row>
    <row r="1100" spans="10:10" x14ac:dyDescent="0.2">
      <c r="J1100"/>
    </row>
    <row r="1101" spans="10:10" x14ac:dyDescent="0.2">
      <c r="J1101"/>
    </row>
    <row r="1102" spans="10:10" x14ac:dyDescent="0.2">
      <c r="J1102"/>
    </row>
    <row r="1103" spans="10:10" x14ac:dyDescent="0.2">
      <c r="J1103"/>
    </row>
    <row r="1104" spans="10:10" x14ac:dyDescent="0.2">
      <c r="J1104"/>
    </row>
    <row r="1105" spans="10:10" x14ac:dyDescent="0.2">
      <c r="J1105"/>
    </row>
    <row r="1106" spans="10:10" x14ac:dyDescent="0.2">
      <c r="J1106"/>
    </row>
    <row r="1107" spans="10:10" x14ac:dyDescent="0.2">
      <c r="J1107"/>
    </row>
    <row r="1108" spans="10:10" x14ac:dyDescent="0.2">
      <c r="J1108"/>
    </row>
    <row r="1109" spans="10:10" x14ac:dyDescent="0.2">
      <c r="J1109"/>
    </row>
    <row r="1110" spans="10:10" x14ac:dyDescent="0.2">
      <c r="J1110"/>
    </row>
    <row r="1111" spans="10:10" x14ac:dyDescent="0.2">
      <c r="J1111"/>
    </row>
    <row r="1112" spans="10:10" x14ac:dyDescent="0.2">
      <c r="J1112"/>
    </row>
    <row r="1113" spans="10:10" x14ac:dyDescent="0.2">
      <c r="J1113"/>
    </row>
    <row r="1114" spans="10:10" x14ac:dyDescent="0.2">
      <c r="J1114"/>
    </row>
    <row r="1115" spans="10:10" x14ac:dyDescent="0.2">
      <c r="J1115"/>
    </row>
    <row r="1116" spans="10:10" x14ac:dyDescent="0.2">
      <c r="J1116"/>
    </row>
    <row r="1117" spans="10:10" x14ac:dyDescent="0.2">
      <c r="J1117"/>
    </row>
    <row r="1118" spans="10:10" x14ac:dyDescent="0.2">
      <c r="J1118"/>
    </row>
    <row r="1119" spans="10:10" x14ac:dyDescent="0.2">
      <c r="J1119"/>
    </row>
    <row r="1120" spans="10:10" x14ac:dyDescent="0.2">
      <c r="J1120"/>
    </row>
    <row r="1121" spans="10:10" x14ac:dyDescent="0.2">
      <c r="J1121"/>
    </row>
    <row r="1122" spans="10:10" x14ac:dyDescent="0.2">
      <c r="J1122"/>
    </row>
    <row r="1123" spans="10:10" x14ac:dyDescent="0.2">
      <c r="J1123"/>
    </row>
    <row r="1124" spans="10:10" x14ac:dyDescent="0.2">
      <c r="J1124"/>
    </row>
    <row r="1125" spans="10:10" x14ac:dyDescent="0.2">
      <c r="J1125"/>
    </row>
    <row r="1126" spans="10:10" x14ac:dyDescent="0.2">
      <c r="J1126"/>
    </row>
    <row r="1127" spans="10:10" x14ac:dyDescent="0.2">
      <c r="J1127"/>
    </row>
    <row r="1128" spans="10:10" x14ac:dyDescent="0.2">
      <c r="J1128"/>
    </row>
    <row r="1129" spans="10:10" x14ac:dyDescent="0.2">
      <c r="J1129"/>
    </row>
    <row r="1130" spans="10:10" x14ac:dyDescent="0.2">
      <c r="J1130"/>
    </row>
    <row r="1131" spans="10:10" x14ac:dyDescent="0.2">
      <c r="J1131"/>
    </row>
    <row r="1132" spans="10:10" x14ac:dyDescent="0.2">
      <c r="J1132"/>
    </row>
    <row r="1133" spans="10:10" x14ac:dyDescent="0.2">
      <c r="J1133"/>
    </row>
    <row r="1134" spans="10:10" x14ac:dyDescent="0.2">
      <c r="J1134"/>
    </row>
    <row r="1135" spans="10:10" x14ac:dyDescent="0.2">
      <c r="J1135"/>
    </row>
    <row r="1136" spans="10:10" x14ac:dyDescent="0.2">
      <c r="J1136"/>
    </row>
    <row r="1137" spans="10:10" x14ac:dyDescent="0.2">
      <c r="J1137"/>
    </row>
    <row r="1138" spans="10:10" x14ac:dyDescent="0.2">
      <c r="J1138"/>
    </row>
    <row r="1139" spans="10:10" x14ac:dyDescent="0.2">
      <c r="J1139"/>
    </row>
    <row r="1140" spans="10:10" x14ac:dyDescent="0.2">
      <c r="J1140"/>
    </row>
    <row r="1141" spans="10:10" x14ac:dyDescent="0.2">
      <c r="J1141"/>
    </row>
    <row r="1142" spans="10:10" x14ac:dyDescent="0.2">
      <c r="J1142"/>
    </row>
    <row r="1143" spans="10:10" x14ac:dyDescent="0.2">
      <c r="J1143"/>
    </row>
    <row r="1144" spans="10:10" x14ac:dyDescent="0.2">
      <c r="J1144"/>
    </row>
    <row r="1145" spans="10:10" x14ac:dyDescent="0.2">
      <c r="J1145"/>
    </row>
    <row r="1146" spans="10:10" x14ac:dyDescent="0.2">
      <c r="J1146"/>
    </row>
    <row r="1147" spans="10:10" x14ac:dyDescent="0.2">
      <c r="J1147"/>
    </row>
    <row r="1148" spans="10:10" x14ac:dyDescent="0.2">
      <c r="J1148"/>
    </row>
    <row r="1149" spans="10:10" x14ac:dyDescent="0.2">
      <c r="J1149"/>
    </row>
    <row r="1150" spans="10:10" x14ac:dyDescent="0.2">
      <c r="J1150"/>
    </row>
    <row r="1151" spans="10:10" x14ac:dyDescent="0.2">
      <c r="J1151"/>
    </row>
    <row r="1152" spans="10:10" x14ac:dyDescent="0.2">
      <c r="J1152"/>
    </row>
    <row r="1153" spans="10:10" x14ac:dyDescent="0.2">
      <c r="J1153"/>
    </row>
    <row r="1154" spans="10:10" x14ac:dyDescent="0.2">
      <c r="J1154"/>
    </row>
    <row r="1155" spans="10:10" x14ac:dyDescent="0.2">
      <c r="J1155"/>
    </row>
    <row r="1156" spans="10:10" x14ac:dyDescent="0.2">
      <c r="J1156"/>
    </row>
    <row r="1157" spans="10:10" x14ac:dyDescent="0.2">
      <c r="J1157"/>
    </row>
    <row r="1158" spans="10:10" x14ac:dyDescent="0.2">
      <c r="J1158"/>
    </row>
    <row r="1159" spans="10:10" x14ac:dyDescent="0.2">
      <c r="J1159"/>
    </row>
    <row r="1160" spans="10:10" x14ac:dyDescent="0.2">
      <c r="J1160"/>
    </row>
    <row r="1161" spans="10:10" x14ac:dyDescent="0.2">
      <c r="J1161"/>
    </row>
    <row r="1162" spans="10:10" x14ac:dyDescent="0.2">
      <c r="J1162"/>
    </row>
    <row r="1163" spans="10:10" x14ac:dyDescent="0.2">
      <c r="J1163"/>
    </row>
    <row r="1164" spans="10:10" x14ac:dyDescent="0.2">
      <c r="J1164"/>
    </row>
    <row r="1165" spans="10:10" x14ac:dyDescent="0.2">
      <c r="J1165"/>
    </row>
    <row r="1166" spans="10:10" x14ac:dyDescent="0.2">
      <c r="J1166"/>
    </row>
    <row r="1167" spans="10:10" x14ac:dyDescent="0.2">
      <c r="J1167"/>
    </row>
    <row r="1168" spans="10:10" x14ac:dyDescent="0.2">
      <c r="J1168"/>
    </row>
    <row r="1169" spans="3:10" x14ac:dyDescent="0.2">
      <c r="J1169"/>
    </row>
    <row r="1170" spans="3:10" x14ac:dyDescent="0.2">
      <c r="J1170"/>
    </row>
    <row r="1171" spans="3:10" x14ac:dyDescent="0.2">
      <c r="J1171"/>
    </row>
    <row r="1172" spans="3:10" x14ac:dyDescent="0.2">
      <c r="J1172"/>
    </row>
    <row r="1173" spans="3:10" x14ac:dyDescent="0.2">
      <c r="J1173"/>
    </row>
    <row r="1174" spans="3:10" x14ac:dyDescent="0.2">
      <c r="J1174"/>
    </row>
    <row r="1175" spans="3:10" x14ac:dyDescent="0.2">
      <c r="J1175"/>
    </row>
    <row r="1176" spans="3:10" x14ac:dyDescent="0.2">
      <c r="J1176"/>
    </row>
    <row r="1177" spans="3:10" x14ac:dyDescent="0.2">
      <c r="J1177"/>
    </row>
    <row r="1178" spans="3:10" x14ac:dyDescent="0.2">
      <c r="J1178"/>
    </row>
    <row r="1179" spans="3:10" x14ac:dyDescent="0.2">
      <c r="J1179"/>
    </row>
    <row r="1180" spans="3:10" x14ac:dyDescent="0.2">
      <c r="J1180"/>
    </row>
    <row r="1181" spans="3:10" x14ac:dyDescent="0.2">
      <c r="J1181"/>
    </row>
    <row r="1182" spans="3:10" x14ac:dyDescent="0.2">
      <c r="C1182" s="4"/>
      <c r="J1182"/>
    </row>
    <row r="1183" spans="3:10" x14ac:dyDescent="0.2">
      <c r="C1183" s="4"/>
      <c r="J1183"/>
    </row>
    <row r="1184" spans="3:10" x14ac:dyDescent="0.2">
      <c r="C1184" s="4"/>
      <c r="J1184"/>
    </row>
    <row r="1185" spans="3:10" x14ac:dyDescent="0.2">
      <c r="C1185" s="4"/>
      <c r="J1185"/>
    </row>
    <row r="1186" spans="3:10" x14ac:dyDescent="0.2">
      <c r="C1186" s="4"/>
      <c r="J1186"/>
    </row>
    <row r="1187" spans="3:10" x14ac:dyDescent="0.2">
      <c r="C1187" s="4"/>
      <c r="J1187"/>
    </row>
    <row r="1188" spans="3:10" x14ac:dyDescent="0.2">
      <c r="C1188" s="4"/>
      <c r="J1188"/>
    </row>
    <row r="1189" spans="3:10" x14ac:dyDescent="0.2">
      <c r="C1189" s="4"/>
      <c r="J1189"/>
    </row>
    <row r="1190" spans="3:10" x14ac:dyDescent="0.2">
      <c r="C1190" s="4"/>
      <c r="J1190"/>
    </row>
    <row r="1191" spans="3:10" x14ac:dyDescent="0.2">
      <c r="C1191" s="4"/>
      <c r="J1191"/>
    </row>
    <row r="1192" spans="3:10" x14ac:dyDescent="0.2">
      <c r="C1192" s="4"/>
      <c r="J1192"/>
    </row>
    <row r="1193" spans="3:10" x14ac:dyDescent="0.2">
      <c r="C1193" s="4"/>
      <c r="J1193"/>
    </row>
    <row r="1194" spans="3:10" x14ac:dyDescent="0.2">
      <c r="C1194" s="4"/>
      <c r="J1194"/>
    </row>
    <row r="1195" spans="3:10" x14ac:dyDescent="0.2">
      <c r="C1195" s="4"/>
      <c r="J1195"/>
    </row>
    <row r="1196" spans="3:10" x14ac:dyDescent="0.2">
      <c r="C1196" s="4"/>
      <c r="J1196"/>
    </row>
    <row r="1197" spans="3:10" x14ac:dyDescent="0.2">
      <c r="C1197" s="4"/>
      <c r="J1197"/>
    </row>
    <row r="1198" spans="3:10" x14ac:dyDescent="0.2">
      <c r="C1198" s="4"/>
      <c r="J1198"/>
    </row>
    <row r="1199" spans="3:10" x14ac:dyDescent="0.2">
      <c r="C1199" s="4"/>
      <c r="J1199"/>
    </row>
    <row r="1200" spans="3:10" x14ac:dyDescent="0.2">
      <c r="C1200" s="4"/>
      <c r="J1200"/>
    </row>
    <row r="1201" spans="3:10" x14ac:dyDescent="0.2">
      <c r="C1201" s="4"/>
      <c r="J1201"/>
    </row>
    <row r="1202" spans="3:10" x14ac:dyDescent="0.2">
      <c r="C1202" s="4"/>
      <c r="J1202"/>
    </row>
    <row r="1203" spans="3:10" x14ac:dyDescent="0.2">
      <c r="C1203" s="4"/>
      <c r="J1203"/>
    </row>
    <row r="1204" spans="3:10" x14ac:dyDescent="0.2">
      <c r="J1204"/>
    </row>
    <row r="1205" spans="3:10" x14ac:dyDescent="0.2">
      <c r="J1205"/>
    </row>
    <row r="1206" spans="3:10" x14ac:dyDescent="0.2">
      <c r="J1206"/>
    </row>
    <row r="1207" spans="3:10" x14ac:dyDescent="0.2">
      <c r="J1207"/>
    </row>
    <row r="1208" spans="3:10" x14ac:dyDescent="0.2">
      <c r="J1208"/>
    </row>
    <row r="1209" spans="3:10" x14ac:dyDescent="0.2">
      <c r="J1209"/>
    </row>
    <row r="1210" spans="3:10" x14ac:dyDescent="0.2">
      <c r="J1210"/>
    </row>
    <row r="1211" spans="3:10" x14ac:dyDescent="0.2">
      <c r="J1211"/>
    </row>
    <row r="1212" spans="3:10" x14ac:dyDescent="0.2">
      <c r="J1212"/>
    </row>
    <row r="1213" spans="3:10" x14ac:dyDescent="0.2">
      <c r="J1213"/>
    </row>
    <row r="1214" spans="3:10" x14ac:dyDescent="0.2">
      <c r="J1214"/>
    </row>
    <row r="1215" spans="3:10" x14ac:dyDescent="0.2">
      <c r="J1215"/>
    </row>
    <row r="1216" spans="3:10" x14ac:dyDescent="0.2">
      <c r="J1216"/>
    </row>
    <row r="1217" spans="10:10" x14ac:dyDescent="0.2">
      <c r="J1217"/>
    </row>
    <row r="1218" spans="10:10" x14ac:dyDescent="0.2">
      <c r="J1218"/>
    </row>
    <row r="1219" spans="10:10" x14ac:dyDescent="0.2">
      <c r="J1219"/>
    </row>
    <row r="1220" spans="10:10" x14ac:dyDescent="0.2">
      <c r="J1220"/>
    </row>
    <row r="1221" spans="10:10" x14ac:dyDescent="0.2">
      <c r="J1221"/>
    </row>
    <row r="1222" spans="10:10" x14ac:dyDescent="0.2">
      <c r="J1222"/>
    </row>
    <row r="1223" spans="10:10" x14ac:dyDescent="0.2">
      <c r="J1223"/>
    </row>
    <row r="1224" spans="10:10" x14ac:dyDescent="0.2">
      <c r="J1224"/>
    </row>
    <row r="1225" spans="10:10" x14ac:dyDescent="0.2">
      <c r="J1225"/>
    </row>
    <row r="1226" spans="10:10" x14ac:dyDescent="0.2">
      <c r="J1226"/>
    </row>
    <row r="1227" spans="10:10" x14ac:dyDescent="0.2">
      <c r="J1227"/>
    </row>
    <row r="1228" spans="10:10" x14ac:dyDescent="0.2">
      <c r="J1228"/>
    </row>
    <row r="1229" spans="10:10" x14ac:dyDescent="0.2">
      <c r="J1229"/>
    </row>
    <row r="1230" spans="10:10" x14ac:dyDescent="0.2">
      <c r="J1230"/>
    </row>
    <row r="1231" spans="10:10" x14ac:dyDescent="0.2">
      <c r="J1231"/>
    </row>
    <row r="1232" spans="10:10" x14ac:dyDescent="0.2">
      <c r="J1232"/>
    </row>
    <row r="1233" spans="10:10" x14ac:dyDescent="0.2">
      <c r="J1233"/>
    </row>
    <row r="1234" spans="10:10" x14ac:dyDescent="0.2">
      <c r="J1234"/>
    </row>
    <row r="1235" spans="10:10" x14ac:dyDescent="0.2">
      <c r="J1235"/>
    </row>
    <row r="1236" spans="10:10" x14ac:dyDescent="0.2">
      <c r="J1236"/>
    </row>
    <row r="1237" spans="10:10" x14ac:dyDescent="0.2">
      <c r="J1237"/>
    </row>
    <row r="1238" spans="10:10" x14ac:dyDescent="0.2">
      <c r="J1238"/>
    </row>
    <row r="1239" spans="10:10" x14ac:dyDescent="0.2">
      <c r="J1239"/>
    </row>
    <row r="1240" spans="10:10" x14ac:dyDescent="0.2">
      <c r="J1240"/>
    </row>
    <row r="1241" spans="10:10" x14ac:dyDescent="0.2">
      <c r="J1241"/>
    </row>
    <row r="1242" spans="10:10" x14ac:dyDescent="0.2">
      <c r="J1242"/>
    </row>
    <row r="1243" spans="10:10" x14ac:dyDescent="0.2">
      <c r="J1243"/>
    </row>
    <row r="1244" spans="10:10" x14ac:dyDescent="0.2">
      <c r="J1244"/>
    </row>
    <row r="1245" spans="10:10" x14ac:dyDescent="0.2">
      <c r="J1245"/>
    </row>
    <row r="1246" spans="10:10" x14ac:dyDescent="0.2">
      <c r="J1246"/>
    </row>
    <row r="1247" spans="10:10" x14ac:dyDescent="0.2">
      <c r="J1247"/>
    </row>
    <row r="1248" spans="10:10" x14ac:dyDescent="0.2">
      <c r="J1248"/>
    </row>
    <row r="1249" spans="10:10" x14ac:dyDescent="0.2">
      <c r="J1249"/>
    </row>
    <row r="1250" spans="10:10" x14ac:dyDescent="0.2">
      <c r="J1250"/>
    </row>
    <row r="1251" spans="10:10" x14ac:dyDescent="0.2">
      <c r="J1251"/>
    </row>
    <row r="1252" spans="10:10" x14ac:dyDescent="0.2">
      <c r="J1252"/>
    </row>
    <row r="1253" spans="10:10" x14ac:dyDescent="0.2">
      <c r="J1253"/>
    </row>
    <row r="1254" spans="10:10" x14ac:dyDescent="0.2">
      <c r="J1254"/>
    </row>
    <row r="1255" spans="10:10" x14ac:dyDescent="0.2">
      <c r="J1255"/>
    </row>
    <row r="1256" spans="10:10" x14ac:dyDescent="0.2">
      <c r="J1256"/>
    </row>
    <row r="1257" spans="10:10" x14ac:dyDescent="0.2">
      <c r="J1257"/>
    </row>
    <row r="1258" spans="10:10" x14ac:dyDescent="0.2">
      <c r="J1258"/>
    </row>
    <row r="1259" spans="10:10" x14ac:dyDescent="0.2">
      <c r="J1259"/>
    </row>
    <row r="1260" spans="10:10" x14ac:dyDescent="0.2">
      <c r="J1260"/>
    </row>
    <row r="1261" spans="10:10" x14ac:dyDescent="0.2">
      <c r="J1261"/>
    </row>
    <row r="1262" spans="10:10" x14ac:dyDescent="0.2">
      <c r="J1262"/>
    </row>
    <row r="1263" spans="10:10" x14ac:dyDescent="0.2">
      <c r="J1263"/>
    </row>
    <row r="1264" spans="10:10" x14ac:dyDescent="0.2">
      <c r="J1264"/>
    </row>
    <row r="1265" spans="10:10" x14ac:dyDescent="0.2">
      <c r="J1265"/>
    </row>
    <row r="1266" spans="10:10" x14ac:dyDescent="0.2">
      <c r="J1266"/>
    </row>
    <row r="1267" spans="10:10" x14ac:dyDescent="0.2">
      <c r="J1267"/>
    </row>
    <row r="1268" spans="10:10" x14ac:dyDescent="0.2">
      <c r="J1268"/>
    </row>
    <row r="1269" spans="10:10" x14ac:dyDescent="0.2">
      <c r="J1269"/>
    </row>
    <row r="1270" spans="10:10" x14ac:dyDescent="0.2">
      <c r="J1270"/>
    </row>
    <row r="1271" spans="10:10" x14ac:dyDescent="0.2">
      <c r="J1271"/>
    </row>
    <row r="1272" spans="10:10" x14ac:dyDescent="0.2">
      <c r="J1272"/>
    </row>
    <row r="1273" spans="10:10" x14ac:dyDescent="0.2">
      <c r="J1273"/>
    </row>
    <row r="1274" spans="10:10" x14ac:dyDescent="0.2">
      <c r="J1274"/>
    </row>
    <row r="1275" spans="10:10" x14ac:dyDescent="0.2">
      <c r="J1275"/>
    </row>
    <row r="1276" spans="10:10" x14ac:dyDescent="0.2">
      <c r="J1276"/>
    </row>
    <row r="1277" spans="10:10" x14ac:dyDescent="0.2">
      <c r="J1277"/>
    </row>
    <row r="1278" spans="10:10" x14ac:dyDescent="0.2">
      <c r="J1278"/>
    </row>
    <row r="1279" spans="10:10" x14ac:dyDescent="0.2">
      <c r="J1279"/>
    </row>
    <row r="1280" spans="10:10" x14ac:dyDescent="0.2">
      <c r="J1280"/>
    </row>
    <row r="1281" spans="10:10" x14ac:dyDescent="0.2">
      <c r="J1281"/>
    </row>
    <row r="1282" spans="10:10" x14ac:dyDescent="0.2">
      <c r="J1282"/>
    </row>
    <row r="1283" spans="10:10" x14ac:dyDescent="0.2">
      <c r="J1283"/>
    </row>
    <row r="1284" spans="10:10" x14ac:dyDescent="0.2">
      <c r="J1284"/>
    </row>
    <row r="1285" spans="10:10" x14ac:dyDescent="0.2">
      <c r="J1285"/>
    </row>
    <row r="1286" spans="10:10" x14ac:dyDescent="0.2">
      <c r="J1286"/>
    </row>
    <row r="1287" spans="10:10" x14ac:dyDescent="0.2">
      <c r="J1287"/>
    </row>
    <row r="1288" spans="10:10" x14ac:dyDescent="0.2">
      <c r="J1288"/>
    </row>
    <row r="1289" spans="10:10" x14ac:dyDescent="0.2">
      <c r="J1289"/>
    </row>
    <row r="1290" spans="10:10" x14ac:dyDescent="0.2">
      <c r="J1290"/>
    </row>
    <row r="1291" spans="10:10" x14ac:dyDescent="0.2">
      <c r="J1291"/>
    </row>
    <row r="1292" spans="10:10" x14ac:dyDescent="0.2">
      <c r="J1292"/>
    </row>
    <row r="1293" spans="10:10" x14ac:dyDescent="0.2">
      <c r="J1293"/>
    </row>
    <row r="1294" spans="10:10" x14ac:dyDescent="0.2">
      <c r="J1294"/>
    </row>
    <row r="1295" spans="10:10" x14ac:dyDescent="0.2">
      <c r="J1295"/>
    </row>
    <row r="1296" spans="10:10" x14ac:dyDescent="0.2">
      <c r="J1296"/>
    </row>
    <row r="1297" spans="10:10" x14ac:dyDescent="0.2">
      <c r="J1297"/>
    </row>
    <row r="1298" spans="10:10" x14ac:dyDescent="0.2">
      <c r="J1298"/>
    </row>
    <row r="1299" spans="10:10" x14ac:dyDescent="0.2">
      <c r="J1299"/>
    </row>
    <row r="1300" spans="10:10" x14ac:dyDescent="0.2">
      <c r="J1300"/>
    </row>
    <row r="1301" spans="10:10" x14ac:dyDescent="0.2">
      <c r="J1301"/>
    </row>
    <row r="1302" spans="10:10" x14ac:dyDescent="0.2">
      <c r="J1302"/>
    </row>
    <row r="1303" spans="10:10" x14ac:dyDescent="0.2">
      <c r="J1303"/>
    </row>
    <row r="1304" spans="10:10" x14ac:dyDescent="0.2">
      <c r="J1304"/>
    </row>
    <row r="1305" spans="10:10" x14ac:dyDescent="0.2">
      <c r="J1305"/>
    </row>
    <row r="1306" spans="10:10" x14ac:dyDescent="0.2">
      <c r="J1306"/>
    </row>
    <row r="1307" spans="10:10" x14ac:dyDescent="0.2">
      <c r="J1307"/>
    </row>
    <row r="1308" spans="10:10" x14ac:dyDescent="0.2">
      <c r="J1308"/>
    </row>
    <row r="1309" spans="10:10" x14ac:dyDescent="0.2">
      <c r="J1309"/>
    </row>
    <row r="1310" spans="10:10" x14ac:dyDescent="0.2">
      <c r="J1310"/>
    </row>
    <row r="1311" spans="10:10" x14ac:dyDescent="0.2">
      <c r="J1311"/>
    </row>
    <row r="1312" spans="10:10" x14ac:dyDescent="0.2">
      <c r="J1312"/>
    </row>
    <row r="1313" spans="10:10" x14ac:dyDescent="0.2">
      <c r="J1313"/>
    </row>
    <row r="1314" spans="10:10" x14ac:dyDescent="0.2">
      <c r="J1314"/>
    </row>
    <row r="1315" spans="10:10" x14ac:dyDescent="0.2">
      <c r="J1315"/>
    </row>
    <row r="1316" spans="10:10" x14ac:dyDescent="0.2">
      <c r="J1316"/>
    </row>
    <row r="1317" spans="10:10" x14ac:dyDescent="0.2">
      <c r="J1317"/>
    </row>
    <row r="1318" spans="10:10" x14ac:dyDescent="0.2">
      <c r="J1318"/>
    </row>
    <row r="1319" spans="10:10" x14ac:dyDescent="0.2">
      <c r="J1319"/>
    </row>
    <row r="1320" spans="10:10" x14ac:dyDescent="0.2">
      <c r="J1320"/>
    </row>
    <row r="1321" spans="10:10" x14ac:dyDescent="0.2">
      <c r="J1321"/>
    </row>
    <row r="1322" spans="10:10" x14ac:dyDescent="0.2">
      <c r="J1322"/>
    </row>
    <row r="1323" spans="10:10" x14ac:dyDescent="0.2">
      <c r="J1323"/>
    </row>
    <row r="1324" spans="10:10" x14ac:dyDescent="0.2">
      <c r="J1324"/>
    </row>
    <row r="1325" spans="10:10" x14ac:dyDescent="0.2">
      <c r="J1325"/>
    </row>
    <row r="1326" spans="10:10" x14ac:dyDescent="0.2">
      <c r="J1326"/>
    </row>
    <row r="1327" spans="10:10" x14ac:dyDescent="0.2">
      <c r="J1327"/>
    </row>
    <row r="1328" spans="10:10" x14ac:dyDescent="0.2">
      <c r="J1328"/>
    </row>
    <row r="1329" spans="10:10" x14ac:dyDescent="0.2">
      <c r="J1329"/>
    </row>
    <row r="1330" spans="10:10" x14ac:dyDescent="0.2">
      <c r="J1330"/>
    </row>
    <row r="1331" spans="10:10" x14ac:dyDescent="0.2">
      <c r="J1331"/>
    </row>
    <row r="1332" spans="10:10" x14ac:dyDescent="0.2">
      <c r="J1332"/>
    </row>
    <row r="1333" spans="10:10" x14ac:dyDescent="0.2">
      <c r="J1333"/>
    </row>
    <row r="1334" spans="10:10" x14ac:dyDescent="0.2">
      <c r="J1334"/>
    </row>
    <row r="1335" spans="10:10" x14ac:dyDescent="0.2">
      <c r="J1335"/>
    </row>
    <row r="1336" spans="10:10" x14ac:dyDescent="0.2">
      <c r="J1336"/>
    </row>
    <row r="1337" spans="10:10" x14ac:dyDescent="0.2">
      <c r="J1337"/>
    </row>
    <row r="1338" spans="10:10" x14ac:dyDescent="0.2">
      <c r="J1338"/>
    </row>
    <row r="1339" spans="10:10" x14ac:dyDescent="0.2">
      <c r="J1339"/>
    </row>
    <row r="1340" spans="10:10" x14ac:dyDescent="0.2">
      <c r="J1340"/>
    </row>
    <row r="1341" spans="10:10" x14ac:dyDescent="0.2">
      <c r="J1341"/>
    </row>
    <row r="1342" spans="10:10" x14ac:dyDescent="0.2">
      <c r="J1342"/>
    </row>
    <row r="1343" spans="10:10" x14ac:dyDescent="0.2">
      <c r="J1343"/>
    </row>
    <row r="1344" spans="10:10" x14ac:dyDescent="0.2">
      <c r="J1344"/>
    </row>
    <row r="1345" spans="3:10" x14ac:dyDescent="0.2">
      <c r="J1345"/>
    </row>
    <row r="1346" spans="3:10" x14ac:dyDescent="0.2">
      <c r="J1346"/>
    </row>
    <row r="1347" spans="3:10" x14ac:dyDescent="0.2">
      <c r="J1347"/>
    </row>
    <row r="1348" spans="3:10" x14ac:dyDescent="0.2">
      <c r="J1348"/>
    </row>
    <row r="1349" spans="3:10" x14ac:dyDescent="0.2">
      <c r="J1349"/>
    </row>
    <row r="1350" spans="3:10" x14ac:dyDescent="0.2">
      <c r="J1350"/>
    </row>
    <row r="1351" spans="3:10" x14ac:dyDescent="0.2">
      <c r="E1351" s="1"/>
      <c r="F1351" s="1"/>
      <c r="J1351"/>
    </row>
    <row r="1352" spans="3:10" x14ac:dyDescent="0.2">
      <c r="C1352" s="4"/>
      <c r="E1352" s="1"/>
      <c r="F1352" s="1"/>
      <c r="J1352"/>
    </row>
    <row r="1353" spans="3:10" x14ac:dyDescent="0.2">
      <c r="E1353" s="1"/>
      <c r="F1353" s="1"/>
      <c r="J1353"/>
    </row>
    <row r="1354" spans="3:10" x14ac:dyDescent="0.2">
      <c r="E1354" s="1"/>
      <c r="F1354" s="1"/>
      <c r="J1354"/>
    </row>
    <row r="1355" spans="3:10" x14ac:dyDescent="0.2">
      <c r="E1355" s="1"/>
      <c r="F1355" s="1"/>
      <c r="J1355"/>
    </row>
    <row r="1356" spans="3:10" x14ac:dyDescent="0.2">
      <c r="C1356" s="4"/>
      <c r="E1356" s="1"/>
      <c r="F1356" s="1"/>
      <c r="J1356"/>
    </row>
    <row r="1357" spans="3:10" x14ac:dyDescent="0.2">
      <c r="E1357" s="1"/>
      <c r="F1357" s="1"/>
      <c r="J1357"/>
    </row>
    <row r="1358" spans="3:10" x14ac:dyDescent="0.2">
      <c r="E1358" s="1"/>
      <c r="F1358" s="1"/>
      <c r="J1358"/>
    </row>
    <row r="1359" spans="3:10" x14ac:dyDescent="0.2">
      <c r="C1359" s="4"/>
      <c r="E1359" s="1"/>
      <c r="F1359" s="1"/>
      <c r="J1359"/>
    </row>
    <row r="1360" spans="3:10" x14ac:dyDescent="0.2">
      <c r="C1360" s="4"/>
      <c r="E1360" s="1"/>
      <c r="F1360" s="1"/>
      <c r="J1360"/>
    </row>
    <row r="1361" spans="3:10" x14ac:dyDescent="0.2">
      <c r="C1361" s="4"/>
      <c r="E1361" s="1"/>
      <c r="F1361" s="1"/>
      <c r="J1361"/>
    </row>
    <row r="1362" spans="3:10" x14ac:dyDescent="0.2">
      <c r="E1362" s="1"/>
      <c r="F1362" s="1"/>
      <c r="J1362"/>
    </row>
    <row r="1363" spans="3:10" x14ac:dyDescent="0.2">
      <c r="C1363" s="4"/>
      <c r="E1363" s="1"/>
      <c r="F1363" s="1"/>
      <c r="J1363"/>
    </row>
    <row r="1364" spans="3:10" x14ac:dyDescent="0.2">
      <c r="C1364" s="4"/>
      <c r="E1364" s="1"/>
      <c r="F1364" s="1"/>
      <c r="J1364"/>
    </row>
    <row r="1365" spans="3:10" x14ac:dyDescent="0.2">
      <c r="J1365"/>
    </row>
    <row r="1366" spans="3:10" x14ac:dyDescent="0.2">
      <c r="J1366"/>
    </row>
    <row r="1367" spans="3:10" x14ac:dyDescent="0.2">
      <c r="J1367"/>
    </row>
    <row r="1368" spans="3:10" x14ac:dyDescent="0.2">
      <c r="J1368"/>
    </row>
    <row r="1369" spans="3:10" x14ac:dyDescent="0.2">
      <c r="J1369"/>
    </row>
    <row r="1370" spans="3:10" x14ac:dyDescent="0.2">
      <c r="J1370"/>
    </row>
    <row r="1371" spans="3:10" x14ac:dyDescent="0.2">
      <c r="J1371"/>
    </row>
    <row r="1372" spans="3:10" x14ac:dyDescent="0.2">
      <c r="J1372"/>
    </row>
    <row r="1373" spans="3:10" x14ac:dyDescent="0.2">
      <c r="J1373"/>
    </row>
    <row r="1374" spans="3:10" x14ac:dyDescent="0.2">
      <c r="J1374"/>
    </row>
    <row r="1375" spans="3:10" x14ac:dyDescent="0.2">
      <c r="J1375"/>
    </row>
    <row r="1376" spans="3:10" x14ac:dyDescent="0.2">
      <c r="J1376"/>
    </row>
    <row r="1377" spans="10:10" x14ac:dyDescent="0.2">
      <c r="J1377"/>
    </row>
    <row r="1378" spans="10:10" x14ac:dyDescent="0.2">
      <c r="J1378"/>
    </row>
    <row r="1379" spans="10:10" x14ac:dyDescent="0.2">
      <c r="J1379"/>
    </row>
    <row r="1380" spans="10:10" x14ac:dyDescent="0.2">
      <c r="J1380"/>
    </row>
    <row r="1381" spans="10:10" x14ac:dyDescent="0.2">
      <c r="J1381"/>
    </row>
    <row r="1382" spans="10:10" x14ac:dyDescent="0.2">
      <c r="J1382"/>
    </row>
    <row r="1383" spans="10:10" x14ac:dyDescent="0.2">
      <c r="J1383"/>
    </row>
    <row r="1384" spans="10:10" x14ac:dyDescent="0.2">
      <c r="J1384"/>
    </row>
    <row r="1385" spans="10:10" x14ac:dyDescent="0.2">
      <c r="J1385"/>
    </row>
    <row r="1386" spans="10:10" x14ac:dyDescent="0.2">
      <c r="J1386"/>
    </row>
    <row r="1387" spans="10:10" x14ac:dyDescent="0.2">
      <c r="J1387"/>
    </row>
    <row r="1388" spans="10:10" x14ac:dyDescent="0.2">
      <c r="J1388"/>
    </row>
    <row r="1389" spans="10:10" x14ac:dyDescent="0.2">
      <c r="J1389"/>
    </row>
    <row r="1390" spans="10:10" x14ac:dyDescent="0.2">
      <c r="J1390"/>
    </row>
    <row r="1391" spans="10:10" x14ac:dyDescent="0.2">
      <c r="J1391"/>
    </row>
    <row r="1392" spans="10:10" x14ac:dyDescent="0.2">
      <c r="J1392"/>
    </row>
    <row r="1393" spans="3:10" x14ac:dyDescent="0.2">
      <c r="J1393"/>
    </row>
    <row r="1394" spans="3:10" x14ac:dyDescent="0.2">
      <c r="J1394"/>
    </row>
    <row r="1395" spans="3:10" x14ac:dyDescent="0.2">
      <c r="J1395"/>
    </row>
    <row r="1396" spans="3:10" x14ac:dyDescent="0.2">
      <c r="J1396"/>
    </row>
    <row r="1397" spans="3:10" x14ac:dyDescent="0.2">
      <c r="J1397"/>
    </row>
    <row r="1398" spans="3:10" x14ac:dyDescent="0.2">
      <c r="J1398"/>
    </row>
    <row r="1399" spans="3:10" x14ac:dyDescent="0.2">
      <c r="J1399"/>
    </row>
    <row r="1400" spans="3:10" x14ac:dyDescent="0.2">
      <c r="J1400"/>
    </row>
    <row r="1401" spans="3:10" x14ac:dyDescent="0.2">
      <c r="J1401"/>
    </row>
    <row r="1402" spans="3:10" x14ac:dyDescent="0.2">
      <c r="J1402"/>
    </row>
    <row r="1403" spans="3:10" x14ac:dyDescent="0.2">
      <c r="C1403" s="4"/>
      <c r="E1403" s="1"/>
      <c r="F1403" s="1"/>
      <c r="J1403"/>
    </row>
    <row r="1404" spans="3:10" x14ac:dyDescent="0.2">
      <c r="C1404" s="4"/>
      <c r="E1404" s="1"/>
      <c r="F1404" s="1"/>
      <c r="J1404"/>
    </row>
    <row r="1405" spans="3:10" x14ac:dyDescent="0.2">
      <c r="C1405" s="4"/>
      <c r="E1405" s="1"/>
      <c r="F1405" s="1"/>
      <c r="J1405"/>
    </row>
    <row r="1406" spans="3:10" x14ac:dyDescent="0.2">
      <c r="C1406" s="4"/>
      <c r="E1406" s="1"/>
      <c r="F1406" s="1"/>
      <c r="J1406"/>
    </row>
    <row r="1407" spans="3:10" x14ac:dyDescent="0.2">
      <c r="C1407" s="4"/>
      <c r="E1407" s="1"/>
      <c r="F1407" s="1"/>
      <c r="J1407"/>
    </row>
    <row r="1408" spans="3:10" x14ac:dyDescent="0.2">
      <c r="C1408" s="4"/>
      <c r="E1408" s="1"/>
      <c r="F1408" s="1"/>
      <c r="J1408"/>
    </row>
    <row r="1409" spans="3:10" x14ac:dyDescent="0.2">
      <c r="C1409" s="4"/>
      <c r="E1409" s="1"/>
      <c r="F1409" s="1"/>
      <c r="J1409"/>
    </row>
    <row r="1410" spans="3:10" x14ac:dyDescent="0.2">
      <c r="C1410" s="4"/>
      <c r="E1410" s="1"/>
      <c r="F1410" s="1"/>
      <c r="J1410"/>
    </row>
    <row r="1411" spans="3:10" x14ac:dyDescent="0.2">
      <c r="C1411" s="4"/>
      <c r="E1411" s="1"/>
      <c r="F1411" s="1"/>
      <c r="J1411"/>
    </row>
    <row r="1412" spans="3:10" x14ac:dyDescent="0.2">
      <c r="C1412" s="4"/>
      <c r="E1412" s="1"/>
      <c r="F1412" s="1"/>
      <c r="J1412"/>
    </row>
    <row r="1413" spans="3:10" x14ac:dyDescent="0.2">
      <c r="C1413" s="4"/>
      <c r="E1413" s="1"/>
      <c r="F1413" s="1"/>
      <c r="J1413"/>
    </row>
    <row r="1414" spans="3:10" x14ac:dyDescent="0.2">
      <c r="C1414" s="4"/>
      <c r="E1414" s="1"/>
      <c r="F1414" s="1"/>
      <c r="J1414"/>
    </row>
    <row r="1415" spans="3:10" x14ac:dyDescent="0.2">
      <c r="C1415" s="4"/>
      <c r="E1415" s="1"/>
      <c r="F1415" s="1"/>
      <c r="J1415"/>
    </row>
    <row r="1416" spans="3:10" x14ac:dyDescent="0.2">
      <c r="C1416" s="4"/>
      <c r="E1416" s="1"/>
      <c r="F1416" s="1"/>
      <c r="J1416"/>
    </row>
    <row r="1417" spans="3:10" x14ac:dyDescent="0.2">
      <c r="C1417" s="4"/>
      <c r="E1417" s="1"/>
      <c r="F1417" s="1"/>
      <c r="J1417"/>
    </row>
    <row r="1418" spans="3:10" x14ac:dyDescent="0.2">
      <c r="C1418" s="4"/>
      <c r="E1418" s="1"/>
      <c r="F1418" s="1"/>
      <c r="J1418"/>
    </row>
    <row r="1419" spans="3:10" x14ac:dyDescent="0.2">
      <c r="C1419" s="4"/>
      <c r="E1419" s="1"/>
      <c r="F1419" s="1"/>
      <c r="J1419"/>
    </row>
    <row r="1420" spans="3:10" x14ac:dyDescent="0.2">
      <c r="C1420" s="4"/>
      <c r="E1420" s="1"/>
      <c r="F1420" s="1"/>
      <c r="J1420"/>
    </row>
    <row r="1421" spans="3:10" x14ac:dyDescent="0.2">
      <c r="C1421" s="4"/>
      <c r="E1421" s="1"/>
      <c r="F1421" s="1"/>
      <c r="J1421"/>
    </row>
    <row r="1422" spans="3:10" x14ac:dyDescent="0.2">
      <c r="C1422" s="4"/>
      <c r="E1422" s="1"/>
      <c r="F1422" s="1"/>
      <c r="J1422"/>
    </row>
    <row r="1423" spans="3:10" x14ac:dyDescent="0.2">
      <c r="C1423" s="4"/>
      <c r="E1423" s="1"/>
      <c r="F1423" s="1"/>
      <c r="J1423"/>
    </row>
    <row r="1424" spans="3:10" x14ac:dyDescent="0.2">
      <c r="J1424"/>
    </row>
    <row r="1425" spans="8:10" x14ac:dyDescent="0.2">
      <c r="J1425"/>
    </row>
    <row r="1426" spans="8:10" x14ac:dyDescent="0.2">
      <c r="J1426"/>
    </row>
    <row r="1427" spans="8:10" x14ac:dyDescent="0.2">
      <c r="J1427"/>
    </row>
    <row r="1428" spans="8:10" x14ac:dyDescent="0.2">
      <c r="J1428"/>
    </row>
    <row r="1429" spans="8:10" x14ac:dyDescent="0.2">
      <c r="J1429"/>
    </row>
    <row r="1430" spans="8:10" x14ac:dyDescent="0.2">
      <c r="J1430"/>
    </row>
    <row r="1431" spans="8:10" x14ac:dyDescent="0.2">
      <c r="J1431"/>
    </row>
    <row r="1432" spans="8:10" x14ac:dyDescent="0.2">
      <c r="J1432"/>
    </row>
    <row r="1433" spans="8:10" x14ac:dyDescent="0.2">
      <c r="J1433"/>
    </row>
    <row r="1434" spans="8:10" x14ac:dyDescent="0.2">
      <c r="J1434"/>
    </row>
    <row r="1435" spans="8:10" x14ac:dyDescent="0.2">
      <c r="J1435"/>
    </row>
    <row r="1436" spans="8:10" x14ac:dyDescent="0.2">
      <c r="J1436"/>
    </row>
    <row r="1437" spans="8:10" x14ac:dyDescent="0.2">
      <c r="J1437"/>
    </row>
    <row r="1438" spans="8:10" x14ac:dyDescent="0.2">
      <c r="J1438"/>
    </row>
    <row r="1439" spans="8:10" x14ac:dyDescent="0.2">
      <c r="J1439"/>
    </row>
    <row r="1440" spans="8:10" x14ac:dyDescent="0.2">
      <c r="H1440" s="1"/>
      <c r="I1440" s="1"/>
      <c r="J1440"/>
    </row>
    <row r="1441" spans="8:10" x14ac:dyDescent="0.2">
      <c r="H1441" s="1"/>
      <c r="I1441" s="1"/>
      <c r="J1441"/>
    </row>
    <row r="1442" spans="8:10" x14ac:dyDescent="0.2">
      <c r="H1442" s="1"/>
      <c r="I1442" s="1"/>
      <c r="J1442"/>
    </row>
    <row r="1443" spans="8:10" x14ac:dyDescent="0.2">
      <c r="H1443" s="1"/>
      <c r="I1443" s="1"/>
      <c r="J1443"/>
    </row>
    <row r="1444" spans="8:10" x14ac:dyDescent="0.2">
      <c r="H1444" s="1"/>
      <c r="I1444" s="1"/>
      <c r="J1444"/>
    </row>
    <row r="1445" spans="8:10" x14ac:dyDescent="0.2">
      <c r="J1445"/>
    </row>
    <row r="1446" spans="8:10" x14ac:dyDescent="0.2">
      <c r="H1446" s="1"/>
      <c r="I1446" s="1"/>
      <c r="J1446"/>
    </row>
    <row r="1447" spans="8:10" x14ac:dyDescent="0.2">
      <c r="H1447" s="1"/>
      <c r="I1447" s="1"/>
      <c r="J1447"/>
    </row>
    <row r="1448" spans="8:10" x14ac:dyDescent="0.2">
      <c r="J1448"/>
    </row>
    <row r="1449" spans="8:10" x14ac:dyDescent="0.2">
      <c r="H1449" s="1"/>
      <c r="I1449" s="1"/>
      <c r="J1449"/>
    </row>
    <row r="1450" spans="8:10" x14ac:dyDescent="0.2">
      <c r="J1450"/>
    </row>
    <row r="1451" spans="8:10" x14ac:dyDescent="0.2">
      <c r="H1451" s="1"/>
      <c r="I1451" s="1"/>
      <c r="J1451"/>
    </row>
    <row r="1452" spans="8:10" x14ac:dyDescent="0.2">
      <c r="J1452"/>
    </row>
    <row r="1453" spans="8:10" x14ac:dyDescent="0.2">
      <c r="H1453" s="1"/>
      <c r="I1453" s="1"/>
      <c r="J1453"/>
    </row>
    <row r="1454" spans="8:10" x14ac:dyDescent="0.2">
      <c r="J1454"/>
    </row>
    <row r="1455" spans="8:10" x14ac:dyDescent="0.2">
      <c r="J1455"/>
    </row>
    <row r="1456" spans="8:10" x14ac:dyDescent="0.2">
      <c r="J1456"/>
    </row>
    <row r="1457" spans="8:10" x14ac:dyDescent="0.2">
      <c r="H1457" s="1"/>
      <c r="I1457" s="1"/>
      <c r="J1457"/>
    </row>
    <row r="1458" spans="8:10" x14ac:dyDescent="0.2">
      <c r="J1458"/>
    </row>
    <row r="1459" spans="8:10" x14ac:dyDescent="0.2">
      <c r="J1459"/>
    </row>
    <row r="1460" spans="8:10" x14ac:dyDescent="0.2">
      <c r="J1460"/>
    </row>
    <row r="1461" spans="8:10" x14ac:dyDescent="0.2">
      <c r="J1461"/>
    </row>
    <row r="1462" spans="8:10" x14ac:dyDescent="0.2">
      <c r="J1462"/>
    </row>
    <row r="1463" spans="8:10" x14ac:dyDescent="0.2">
      <c r="J1463"/>
    </row>
    <row r="1464" spans="8:10" x14ac:dyDescent="0.2">
      <c r="J1464"/>
    </row>
    <row r="1465" spans="8:10" x14ac:dyDescent="0.2">
      <c r="J1465"/>
    </row>
    <row r="1466" spans="8:10" x14ac:dyDescent="0.2">
      <c r="J1466"/>
    </row>
    <row r="1467" spans="8:10" x14ac:dyDescent="0.2">
      <c r="J1467"/>
    </row>
    <row r="1468" spans="8:10" x14ac:dyDescent="0.2">
      <c r="J1468"/>
    </row>
    <row r="1469" spans="8:10" x14ac:dyDescent="0.2">
      <c r="J1469"/>
    </row>
    <row r="1470" spans="8:10" x14ac:dyDescent="0.2">
      <c r="J1470"/>
    </row>
    <row r="1471" spans="8:10" x14ac:dyDescent="0.2">
      <c r="J1471"/>
    </row>
    <row r="1472" spans="8:10" x14ac:dyDescent="0.2">
      <c r="J1472"/>
    </row>
    <row r="1473" spans="5:10" x14ac:dyDescent="0.2">
      <c r="J1473"/>
    </row>
    <row r="1474" spans="5:10" x14ac:dyDescent="0.2">
      <c r="J1474"/>
    </row>
    <row r="1475" spans="5:10" x14ac:dyDescent="0.2">
      <c r="J1475"/>
    </row>
    <row r="1476" spans="5:10" x14ac:dyDescent="0.2">
      <c r="J1476"/>
    </row>
    <row r="1477" spans="5:10" x14ac:dyDescent="0.2">
      <c r="J1477"/>
    </row>
    <row r="1478" spans="5:10" x14ac:dyDescent="0.2">
      <c r="J1478"/>
    </row>
    <row r="1479" spans="5:10" x14ac:dyDescent="0.2">
      <c r="J1479"/>
    </row>
    <row r="1480" spans="5:10" x14ac:dyDescent="0.2">
      <c r="J1480"/>
    </row>
    <row r="1481" spans="5:10" x14ac:dyDescent="0.2">
      <c r="J1481"/>
    </row>
    <row r="1482" spans="5:10" x14ac:dyDescent="0.2">
      <c r="J1482"/>
    </row>
    <row r="1483" spans="5:10" x14ac:dyDescent="0.2">
      <c r="J1483"/>
    </row>
    <row r="1484" spans="5:10" x14ac:dyDescent="0.2">
      <c r="J1484"/>
    </row>
    <row r="1485" spans="5:10" x14ac:dyDescent="0.2">
      <c r="J1485"/>
    </row>
    <row r="1486" spans="5:10" x14ac:dyDescent="0.2">
      <c r="J1486"/>
    </row>
    <row r="1487" spans="5:10" x14ac:dyDescent="0.2">
      <c r="E1487" s="1"/>
      <c r="F1487" s="1"/>
      <c r="J1487"/>
    </row>
    <row r="1488" spans="5:10" x14ac:dyDescent="0.2">
      <c r="E1488" s="1"/>
      <c r="F1488" s="1"/>
      <c r="J1488"/>
    </row>
    <row r="1489" spans="5:10" x14ac:dyDescent="0.2">
      <c r="E1489" s="1"/>
      <c r="F1489" s="1"/>
      <c r="J1489"/>
    </row>
    <row r="1490" spans="5:10" x14ac:dyDescent="0.2">
      <c r="E1490" s="1"/>
      <c r="F1490" s="1"/>
      <c r="J1490"/>
    </row>
    <row r="1491" spans="5:10" x14ac:dyDescent="0.2">
      <c r="E1491" s="1"/>
      <c r="F1491" s="1"/>
      <c r="J1491"/>
    </row>
    <row r="1492" spans="5:10" x14ac:dyDescent="0.2">
      <c r="E1492" s="1"/>
      <c r="F1492" s="1"/>
      <c r="J1492"/>
    </row>
    <row r="1493" spans="5:10" x14ac:dyDescent="0.2">
      <c r="E1493" s="1"/>
      <c r="F1493" s="1"/>
      <c r="J1493"/>
    </row>
    <row r="1494" spans="5:10" x14ac:dyDescent="0.2">
      <c r="E1494" s="1"/>
      <c r="F1494" s="1"/>
      <c r="J1494"/>
    </row>
    <row r="1495" spans="5:10" x14ac:dyDescent="0.2">
      <c r="E1495" s="1"/>
      <c r="F1495" s="1"/>
      <c r="J1495"/>
    </row>
    <row r="1496" spans="5:10" x14ac:dyDescent="0.2">
      <c r="E1496" s="1"/>
      <c r="F1496" s="1"/>
      <c r="J1496"/>
    </row>
    <row r="1497" spans="5:10" x14ac:dyDescent="0.2">
      <c r="E1497" s="1"/>
      <c r="F1497" s="1"/>
      <c r="J1497"/>
    </row>
    <row r="1498" spans="5:10" x14ac:dyDescent="0.2">
      <c r="E1498" s="1"/>
      <c r="F1498" s="1"/>
      <c r="J1498"/>
    </row>
    <row r="1499" spans="5:10" x14ac:dyDescent="0.2">
      <c r="E1499" s="1"/>
      <c r="F1499" s="1"/>
      <c r="J1499"/>
    </row>
    <row r="1500" spans="5:10" x14ac:dyDescent="0.2">
      <c r="E1500" s="1"/>
      <c r="F1500" s="1"/>
      <c r="J1500"/>
    </row>
    <row r="1501" spans="5:10" x14ac:dyDescent="0.2">
      <c r="E1501" s="1"/>
      <c r="F1501" s="1"/>
      <c r="J1501"/>
    </row>
    <row r="1502" spans="5:10" x14ac:dyDescent="0.2">
      <c r="E1502" s="1"/>
      <c r="F1502" s="1"/>
      <c r="J1502"/>
    </row>
    <row r="1503" spans="5:10" x14ac:dyDescent="0.2">
      <c r="E1503" s="1"/>
      <c r="F1503" s="1"/>
      <c r="J1503"/>
    </row>
    <row r="1504" spans="5:10" x14ac:dyDescent="0.2">
      <c r="E1504" s="1"/>
      <c r="F1504" s="1"/>
      <c r="J1504"/>
    </row>
    <row r="1505" spans="5:10" x14ac:dyDescent="0.2">
      <c r="E1505" s="1"/>
      <c r="F1505" s="1"/>
      <c r="J1505"/>
    </row>
    <row r="1506" spans="5:10" x14ac:dyDescent="0.2">
      <c r="E1506" s="1"/>
      <c r="F1506" s="1"/>
      <c r="J1506"/>
    </row>
    <row r="1507" spans="5:10" x14ac:dyDescent="0.2">
      <c r="E1507" s="1"/>
      <c r="F1507" s="1"/>
      <c r="J1507"/>
    </row>
    <row r="1508" spans="5:10" x14ac:dyDescent="0.2">
      <c r="E1508" s="1"/>
      <c r="F1508" s="1"/>
      <c r="J1508"/>
    </row>
    <row r="1509" spans="5:10" x14ac:dyDescent="0.2">
      <c r="E1509" s="1"/>
      <c r="F1509" s="1"/>
      <c r="J1509"/>
    </row>
    <row r="1510" spans="5:10" x14ac:dyDescent="0.2">
      <c r="E1510" s="1"/>
      <c r="F1510" s="1"/>
      <c r="J1510"/>
    </row>
    <row r="1511" spans="5:10" x14ac:dyDescent="0.2">
      <c r="E1511" s="1"/>
      <c r="F1511" s="1"/>
      <c r="J1511"/>
    </row>
    <row r="1512" spans="5:10" x14ac:dyDescent="0.2">
      <c r="E1512" s="1"/>
      <c r="F1512" s="1"/>
      <c r="J1512"/>
    </row>
    <row r="1513" spans="5:10" x14ac:dyDescent="0.2">
      <c r="E1513" s="1"/>
      <c r="F1513" s="1"/>
      <c r="J1513"/>
    </row>
    <row r="1514" spans="5:10" x14ac:dyDescent="0.2">
      <c r="E1514" s="1"/>
      <c r="F1514" s="1"/>
      <c r="J1514"/>
    </row>
    <row r="1515" spans="5:10" x14ac:dyDescent="0.2">
      <c r="E1515" s="1"/>
      <c r="F1515" s="1"/>
      <c r="J1515"/>
    </row>
    <row r="1516" spans="5:10" x14ac:dyDescent="0.2">
      <c r="E1516" s="1"/>
      <c r="F1516" s="1"/>
      <c r="J1516"/>
    </row>
    <row r="1517" spans="5:10" x14ac:dyDescent="0.2">
      <c r="E1517" s="1"/>
      <c r="F1517" s="1"/>
      <c r="J1517"/>
    </row>
    <row r="1518" spans="5:10" x14ac:dyDescent="0.2">
      <c r="E1518" s="1"/>
      <c r="F1518" s="1"/>
      <c r="J1518"/>
    </row>
    <row r="1519" spans="5:10" x14ac:dyDescent="0.2">
      <c r="E1519" s="1"/>
      <c r="F1519" s="1"/>
      <c r="J1519"/>
    </row>
    <row r="1520" spans="5:10" x14ac:dyDescent="0.2">
      <c r="J1520"/>
    </row>
    <row r="1521" spans="10:10" x14ac:dyDescent="0.2">
      <c r="J1521"/>
    </row>
    <row r="1522" spans="10:10" x14ac:dyDescent="0.2">
      <c r="J1522"/>
    </row>
    <row r="1523" spans="10:10" x14ac:dyDescent="0.2">
      <c r="J1523"/>
    </row>
    <row r="1524" spans="10:10" x14ac:dyDescent="0.2">
      <c r="J1524"/>
    </row>
    <row r="1525" spans="10:10" x14ac:dyDescent="0.2">
      <c r="J1525"/>
    </row>
    <row r="1526" spans="10:10" x14ac:dyDescent="0.2">
      <c r="J1526"/>
    </row>
    <row r="1527" spans="10:10" x14ac:dyDescent="0.2">
      <c r="J1527"/>
    </row>
    <row r="1528" spans="10:10" x14ac:dyDescent="0.2">
      <c r="J1528"/>
    </row>
    <row r="1529" spans="10:10" x14ac:dyDescent="0.2">
      <c r="J1529"/>
    </row>
    <row r="1530" spans="10:10" x14ac:dyDescent="0.2">
      <c r="J1530"/>
    </row>
    <row r="1531" spans="10:10" x14ac:dyDescent="0.2">
      <c r="J1531"/>
    </row>
    <row r="1532" spans="10:10" x14ac:dyDescent="0.2">
      <c r="J1532"/>
    </row>
    <row r="1533" spans="10:10" x14ac:dyDescent="0.2">
      <c r="J1533"/>
    </row>
    <row r="1534" spans="10:10" x14ac:dyDescent="0.2">
      <c r="J1534"/>
    </row>
    <row r="1535" spans="10:10" x14ac:dyDescent="0.2">
      <c r="J1535"/>
    </row>
    <row r="1536" spans="10:10" x14ac:dyDescent="0.2">
      <c r="J1536"/>
    </row>
    <row r="1537" spans="10:10" x14ac:dyDescent="0.2">
      <c r="J1537"/>
    </row>
    <row r="1538" spans="10:10" x14ac:dyDescent="0.2">
      <c r="J1538"/>
    </row>
    <row r="1539" spans="10:10" x14ac:dyDescent="0.2">
      <c r="J1539"/>
    </row>
    <row r="1540" spans="10:10" x14ac:dyDescent="0.2">
      <c r="J1540"/>
    </row>
    <row r="1541" spans="10:10" x14ac:dyDescent="0.2">
      <c r="J1541"/>
    </row>
    <row r="1542" spans="10:10" x14ac:dyDescent="0.2">
      <c r="J1542"/>
    </row>
    <row r="1543" spans="10:10" x14ac:dyDescent="0.2">
      <c r="J1543"/>
    </row>
    <row r="1544" spans="10:10" x14ac:dyDescent="0.2">
      <c r="J1544"/>
    </row>
    <row r="1545" spans="10:10" x14ac:dyDescent="0.2">
      <c r="J1545"/>
    </row>
    <row r="1546" spans="10:10" x14ac:dyDescent="0.2">
      <c r="J1546"/>
    </row>
    <row r="1547" spans="10:10" x14ac:dyDescent="0.2">
      <c r="J1547"/>
    </row>
    <row r="1548" spans="10:10" x14ac:dyDescent="0.2">
      <c r="J1548"/>
    </row>
    <row r="1549" spans="10:10" x14ac:dyDescent="0.2">
      <c r="J1549"/>
    </row>
    <row r="1550" spans="10:10" x14ac:dyDescent="0.2">
      <c r="J1550"/>
    </row>
    <row r="1551" spans="10:10" x14ac:dyDescent="0.2">
      <c r="J1551"/>
    </row>
    <row r="1552" spans="10:10" x14ac:dyDescent="0.2">
      <c r="J1552"/>
    </row>
    <row r="1553" spans="10:10" x14ac:dyDescent="0.2">
      <c r="J1553"/>
    </row>
    <row r="1554" spans="10:10" x14ac:dyDescent="0.2">
      <c r="J1554"/>
    </row>
    <row r="1555" spans="10:10" x14ac:dyDescent="0.2">
      <c r="J1555"/>
    </row>
    <row r="1556" spans="10:10" x14ac:dyDescent="0.2">
      <c r="J1556"/>
    </row>
    <row r="1557" spans="10:10" x14ac:dyDescent="0.2">
      <c r="J1557"/>
    </row>
    <row r="1558" spans="10:10" x14ac:dyDescent="0.2">
      <c r="J1558"/>
    </row>
    <row r="1559" spans="10:10" x14ac:dyDescent="0.2">
      <c r="J1559"/>
    </row>
    <row r="1560" spans="10:10" x14ac:dyDescent="0.2">
      <c r="J1560"/>
    </row>
    <row r="1561" spans="10:10" x14ac:dyDescent="0.2">
      <c r="J1561"/>
    </row>
    <row r="1562" spans="10:10" x14ac:dyDescent="0.2">
      <c r="J1562"/>
    </row>
    <row r="1563" spans="10:10" x14ac:dyDescent="0.2">
      <c r="J1563"/>
    </row>
    <row r="1564" spans="10:10" x14ac:dyDescent="0.2">
      <c r="J1564"/>
    </row>
    <row r="1565" spans="10:10" x14ac:dyDescent="0.2">
      <c r="J1565"/>
    </row>
    <row r="1566" spans="10:10" x14ac:dyDescent="0.2">
      <c r="J1566"/>
    </row>
    <row r="1567" spans="10:10" x14ac:dyDescent="0.2">
      <c r="J1567"/>
    </row>
    <row r="1568" spans="10:10" x14ac:dyDescent="0.2">
      <c r="J1568"/>
    </row>
    <row r="1569" spans="3:10" x14ac:dyDescent="0.2">
      <c r="J1569"/>
    </row>
    <row r="1570" spans="3:10" x14ac:dyDescent="0.2">
      <c r="J1570"/>
    </row>
    <row r="1571" spans="3:10" x14ac:dyDescent="0.2">
      <c r="J1571"/>
    </row>
    <row r="1572" spans="3:10" x14ac:dyDescent="0.2">
      <c r="J1572"/>
    </row>
    <row r="1573" spans="3:10" x14ac:dyDescent="0.2">
      <c r="J1573"/>
    </row>
    <row r="1574" spans="3:10" x14ac:dyDescent="0.2">
      <c r="E1574" s="1"/>
      <c r="F1574" s="1"/>
      <c r="J1574"/>
    </row>
    <row r="1575" spans="3:10" x14ac:dyDescent="0.2">
      <c r="E1575" s="1"/>
      <c r="F1575" s="1"/>
      <c r="J1575"/>
    </row>
    <row r="1576" spans="3:10" x14ac:dyDescent="0.2">
      <c r="C1576" s="4"/>
      <c r="E1576" s="1"/>
      <c r="F1576" s="1"/>
      <c r="J1576"/>
    </row>
    <row r="1577" spans="3:10" x14ac:dyDescent="0.2">
      <c r="E1577" s="1"/>
      <c r="F1577" s="1"/>
      <c r="J1577"/>
    </row>
    <row r="1578" spans="3:10" x14ac:dyDescent="0.2">
      <c r="E1578" s="1"/>
      <c r="F1578" s="1"/>
      <c r="J1578"/>
    </row>
    <row r="1579" spans="3:10" x14ac:dyDescent="0.2">
      <c r="E1579" s="1"/>
      <c r="F1579" s="1"/>
      <c r="J1579"/>
    </row>
    <row r="1580" spans="3:10" x14ac:dyDescent="0.2">
      <c r="C1580" s="4"/>
      <c r="E1580" s="1"/>
      <c r="F1580" s="1"/>
      <c r="J1580"/>
    </row>
    <row r="1581" spans="3:10" x14ac:dyDescent="0.2">
      <c r="E1581" s="1"/>
      <c r="F1581" s="1"/>
      <c r="J1581"/>
    </row>
    <row r="1582" spans="3:10" x14ac:dyDescent="0.2">
      <c r="C1582" s="4"/>
      <c r="E1582" s="1"/>
      <c r="F1582" s="1"/>
      <c r="J1582"/>
    </row>
    <row r="1583" spans="3:10" x14ac:dyDescent="0.2">
      <c r="C1583" s="4"/>
      <c r="E1583" s="1"/>
      <c r="F1583" s="1"/>
      <c r="J1583"/>
    </row>
    <row r="1584" spans="3:10" x14ac:dyDescent="0.2">
      <c r="C1584" s="4"/>
      <c r="E1584" s="1"/>
      <c r="F1584" s="1"/>
      <c r="J1584"/>
    </row>
    <row r="1585" spans="3:10" x14ac:dyDescent="0.2">
      <c r="E1585" s="1"/>
      <c r="F1585" s="1"/>
      <c r="J1585"/>
    </row>
    <row r="1586" spans="3:10" x14ac:dyDescent="0.2">
      <c r="C1586" s="4"/>
      <c r="E1586" s="1"/>
      <c r="F1586" s="1"/>
      <c r="J1586"/>
    </row>
    <row r="1587" spans="3:10" x14ac:dyDescent="0.2">
      <c r="C1587" s="4"/>
      <c r="E1587" s="1"/>
      <c r="F1587" s="1"/>
      <c r="J1587"/>
    </row>
    <row r="1588" spans="3:10" x14ac:dyDescent="0.2">
      <c r="E1588" s="1"/>
      <c r="F1588" s="1"/>
      <c r="J1588"/>
    </row>
    <row r="1589" spans="3:10" x14ac:dyDescent="0.2">
      <c r="E1589" s="1"/>
      <c r="F1589" s="1"/>
      <c r="J1589"/>
    </row>
    <row r="1590" spans="3:10" x14ac:dyDescent="0.2">
      <c r="C1590" s="4"/>
      <c r="E1590" s="1"/>
      <c r="F1590" s="1"/>
      <c r="J1590"/>
    </row>
    <row r="1591" spans="3:10" x14ac:dyDescent="0.2">
      <c r="C1591" s="4"/>
      <c r="E1591" s="1"/>
      <c r="F1591" s="1"/>
      <c r="J1591"/>
    </row>
    <row r="1592" spans="3:10" x14ac:dyDescent="0.2">
      <c r="C1592" s="4"/>
      <c r="E1592" s="1"/>
      <c r="F1592" s="1"/>
      <c r="J1592"/>
    </row>
    <row r="1593" spans="3:10" x14ac:dyDescent="0.2">
      <c r="C1593" s="4"/>
      <c r="E1593" s="1"/>
      <c r="F1593" s="1"/>
      <c r="J1593"/>
    </row>
    <row r="1594" spans="3:10" x14ac:dyDescent="0.2">
      <c r="C1594" s="4"/>
      <c r="E1594" s="1"/>
      <c r="F1594" s="1"/>
      <c r="J1594"/>
    </row>
    <row r="1595" spans="3:10" x14ac:dyDescent="0.2">
      <c r="E1595" s="1"/>
      <c r="F1595" s="1"/>
      <c r="J1595"/>
    </row>
    <row r="1596" spans="3:10" x14ac:dyDescent="0.2">
      <c r="E1596" s="1"/>
      <c r="F1596" s="1"/>
      <c r="J1596"/>
    </row>
    <row r="1597" spans="3:10" x14ac:dyDescent="0.2">
      <c r="C1597" s="4"/>
      <c r="E1597" s="1"/>
      <c r="F1597" s="1"/>
      <c r="J1597"/>
    </row>
    <row r="1598" spans="3:10" x14ac:dyDescent="0.2">
      <c r="C1598" s="4"/>
      <c r="J1598"/>
    </row>
    <row r="1599" spans="3:10" x14ac:dyDescent="0.2">
      <c r="C1599" s="4"/>
      <c r="J1599"/>
    </row>
    <row r="1600" spans="3:10" x14ac:dyDescent="0.2">
      <c r="J1600"/>
    </row>
    <row r="1601" spans="3:10" x14ac:dyDescent="0.2">
      <c r="J1601"/>
    </row>
    <row r="1602" spans="3:10" x14ac:dyDescent="0.2">
      <c r="J1602"/>
    </row>
    <row r="1603" spans="3:10" x14ac:dyDescent="0.2">
      <c r="C1603" s="4"/>
      <c r="J1603"/>
    </row>
    <row r="1604" spans="3:10" x14ac:dyDescent="0.2">
      <c r="J1604"/>
    </row>
    <row r="1605" spans="3:10" x14ac:dyDescent="0.2">
      <c r="J1605"/>
    </row>
    <row r="1606" spans="3:10" x14ac:dyDescent="0.2">
      <c r="J1606"/>
    </row>
    <row r="1607" spans="3:10" x14ac:dyDescent="0.2">
      <c r="C1607" s="4"/>
      <c r="J1607"/>
    </row>
    <row r="1608" spans="3:10" x14ac:dyDescent="0.2">
      <c r="J1608"/>
    </row>
    <row r="1609" spans="3:10" x14ac:dyDescent="0.2">
      <c r="J1609"/>
    </row>
    <row r="1610" spans="3:10" x14ac:dyDescent="0.2">
      <c r="C1610" s="4"/>
      <c r="J1610"/>
    </row>
    <row r="1611" spans="3:10" x14ac:dyDescent="0.2">
      <c r="J1611"/>
    </row>
    <row r="1612" spans="3:10" x14ac:dyDescent="0.2">
      <c r="C1612" s="4"/>
      <c r="J1612"/>
    </row>
    <row r="1613" spans="3:10" x14ac:dyDescent="0.2">
      <c r="C1613" s="4"/>
      <c r="J1613"/>
    </row>
    <row r="1614" spans="3:10" x14ac:dyDescent="0.2">
      <c r="J1614"/>
    </row>
    <row r="1615" spans="3:10" x14ac:dyDescent="0.2">
      <c r="J1615"/>
    </row>
    <row r="1616" spans="3:10" x14ac:dyDescent="0.2">
      <c r="J1616"/>
    </row>
    <row r="1617" spans="10:10" x14ac:dyDescent="0.2">
      <c r="J1617"/>
    </row>
    <row r="1618" spans="10:10" x14ac:dyDescent="0.2">
      <c r="J1618"/>
    </row>
    <row r="1619" spans="10:10" x14ac:dyDescent="0.2">
      <c r="J1619"/>
    </row>
    <row r="1620" spans="10:10" x14ac:dyDescent="0.2">
      <c r="J1620"/>
    </row>
    <row r="1621" spans="10:10" x14ac:dyDescent="0.2">
      <c r="J1621"/>
    </row>
    <row r="1622" spans="10:10" x14ac:dyDescent="0.2">
      <c r="J1622"/>
    </row>
    <row r="1623" spans="10:10" x14ac:dyDescent="0.2">
      <c r="J1623"/>
    </row>
    <row r="1624" spans="10:10" x14ac:dyDescent="0.2">
      <c r="J1624"/>
    </row>
    <row r="1625" spans="10:10" x14ac:dyDescent="0.2">
      <c r="J1625"/>
    </row>
    <row r="1626" spans="10:10" x14ac:dyDescent="0.2">
      <c r="J1626"/>
    </row>
    <row r="1627" spans="10:10" x14ac:dyDescent="0.2">
      <c r="J1627"/>
    </row>
    <row r="1628" spans="10:10" x14ac:dyDescent="0.2">
      <c r="J1628"/>
    </row>
    <row r="1629" spans="10:10" x14ac:dyDescent="0.2">
      <c r="J1629"/>
    </row>
    <row r="1630" spans="10:10" x14ac:dyDescent="0.2">
      <c r="J1630"/>
    </row>
    <row r="1631" spans="10:10" x14ac:dyDescent="0.2">
      <c r="J1631"/>
    </row>
    <row r="1632" spans="10:10" x14ac:dyDescent="0.2">
      <c r="J1632"/>
    </row>
    <row r="1633" spans="3:10" x14ac:dyDescent="0.2">
      <c r="J1633"/>
    </row>
    <row r="1634" spans="3:10" x14ac:dyDescent="0.2">
      <c r="J1634"/>
    </row>
    <row r="1635" spans="3:10" x14ac:dyDescent="0.2">
      <c r="J1635"/>
    </row>
    <row r="1636" spans="3:10" x14ac:dyDescent="0.2">
      <c r="J1636"/>
    </row>
    <row r="1637" spans="3:10" x14ac:dyDescent="0.2">
      <c r="C1637" s="4"/>
      <c r="E1637" s="1"/>
      <c r="F1637" s="1"/>
      <c r="J1637"/>
    </row>
    <row r="1638" spans="3:10" x14ac:dyDescent="0.2">
      <c r="C1638" s="4"/>
      <c r="E1638" s="1"/>
      <c r="F1638" s="1"/>
      <c r="J1638"/>
    </row>
    <row r="1639" spans="3:10" x14ac:dyDescent="0.2">
      <c r="C1639" s="4"/>
      <c r="E1639" s="1"/>
      <c r="F1639" s="1"/>
      <c r="J1639"/>
    </row>
    <row r="1640" spans="3:10" x14ac:dyDescent="0.2">
      <c r="C1640" s="4"/>
      <c r="E1640" s="1"/>
      <c r="F1640" s="1"/>
      <c r="J1640"/>
    </row>
    <row r="1641" spans="3:10" x14ac:dyDescent="0.2">
      <c r="C1641" s="4"/>
      <c r="E1641" s="1"/>
      <c r="F1641" s="1"/>
      <c r="J1641"/>
    </row>
    <row r="1642" spans="3:10" x14ac:dyDescent="0.2">
      <c r="C1642" s="4"/>
      <c r="E1642" s="1"/>
      <c r="F1642" s="1"/>
      <c r="J1642"/>
    </row>
    <row r="1643" spans="3:10" x14ac:dyDescent="0.2">
      <c r="C1643" s="4"/>
      <c r="E1643" s="1"/>
      <c r="F1643" s="1"/>
      <c r="J1643"/>
    </row>
    <row r="1644" spans="3:10" x14ac:dyDescent="0.2">
      <c r="C1644" s="4"/>
      <c r="E1644" s="1"/>
      <c r="F1644" s="1"/>
      <c r="J1644"/>
    </row>
    <row r="1645" spans="3:10" x14ac:dyDescent="0.2">
      <c r="C1645" s="4"/>
      <c r="E1645" s="1"/>
      <c r="F1645" s="1"/>
      <c r="J1645"/>
    </row>
    <row r="1646" spans="3:10" x14ac:dyDescent="0.2">
      <c r="C1646" s="4"/>
      <c r="E1646" s="1"/>
      <c r="F1646" s="1"/>
      <c r="J1646"/>
    </row>
    <row r="1647" spans="3:10" x14ac:dyDescent="0.2">
      <c r="C1647" s="4"/>
      <c r="E1647" s="1"/>
      <c r="F1647" s="1"/>
      <c r="J1647"/>
    </row>
    <row r="1648" spans="3:10" x14ac:dyDescent="0.2">
      <c r="C1648" s="4"/>
      <c r="E1648" s="1"/>
      <c r="F1648" s="1"/>
      <c r="J1648"/>
    </row>
    <row r="1649" spans="3:10" x14ac:dyDescent="0.2">
      <c r="C1649" s="4"/>
      <c r="E1649" s="1"/>
      <c r="F1649" s="1"/>
      <c r="J1649"/>
    </row>
    <row r="1650" spans="3:10" x14ac:dyDescent="0.2">
      <c r="C1650" s="4"/>
      <c r="E1650" s="1"/>
      <c r="F1650" s="1"/>
      <c r="J1650"/>
    </row>
    <row r="1651" spans="3:10" x14ac:dyDescent="0.2">
      <c r="C1651" s="4"/>
      <c r="E1651" s="1"/>
      <c r="F1651" s="1"/>
      <c r="J1651"/>
    </row>
    <row r="1652" spans="3:10" x14ac:dyDescent="0.2">
      <c r="C1652" s="4"/>
      <c r="E1652" s="1"/>
      <c r="F1652" s="1"/>
      <c r="J1652"/>
    </row>
    <row r="1653" spans="3:10" x14ac:dyDescent="0.2">
      <c r="C1653" s="4"/>
      <c r="E1653" s="1"/>
      <c r="F1653" s="1"/>
      <c r="J1653"/>
    </row>
    <row r="1654" spans="3:10" x14ac:dyDescent="0.2">
      <c r="C1654" s="4"/>
      <c r="E1654" s="1"/>
      <c r="F1654" s="1"/>
      <c r="J1654"/>
    </row>
    <row r="1655" spans="3:10" x14ac:dyDescent="0.2">
      <c r="C1655" s="4"/>
      <c r="E1655" s="1"/>
      <c r="F1655" s="1"/>
      <c r="J1655"/>
    </row>
    <row r="1656" spans="3:10" x14ac:dyDescent="0.2">
      <c r="C1656" s="4"/>
      <c r="E1656" s="1"/>
      <c r="F1656" s="1"/>
      <c r="J1656"/>
    </row>
    <row r="1657" spans="3:10" x14ac:dyDescent="0.2">
      <c r="C1657" s="4"/>
      <c r="E1657" s="1"/>
      <c r="F1657" s="1"/>
      <c r="J1657"/>
    </row>
    <row r="1658" spans="3:10" x14ac:dyDescent="0.2">
      <c r="C1658" s="4"/>
      <c r="E1658" s="1"/>
      <c r="F1658" s="1"/>
      <c r="J1658"/>
    </row>
    <row r="1659" spans="3:10" x14ac:dyDescent="0.2">
      <c r="E1659" s="1"/>
      <c r="F1659" s="1"/>
      <c r="J1659"/>
    </row>
    <row r="1660" spans="3:10" x14ac:dyDescent="0.2">
      <c r="E1660" s="1"/>
      <c r="F1660" s="1"/>
      <c r="J1660"/>
    </row>
    <row r="1661" spans="3:10" x14ac:dyDescent="0.2">
      <c r="E1661" s="1"/>
      <c r="F1661" s="1"/>
      <c r="J1661"/>
    </row>
    <row r="1662" spans="3:10" x14ac:dyDescent="0.2">
      <c r="E1662" s="1"/>
      <c r="F1662" s="1"/>
      <c r="J1662"/>
    </row>
    <row r="1663" spans="3:10" x14ac:dyDescent="0.2">
      <c r="E1663" s="1"/>
      <c r="F1663" s="1"/>
      <c r="J1663"/>
    </row>
    <row r="1664" spans="3:10" x14ac:dyDescent="0.2">
      <c r="E1664" s="1"/>
      <c r="F1664" s="1"/>
      <c r="J1664"/>
    </row>
    <row r="1665" spans="5:10" x14ac:dyDescent="0.2">
      <c r="E1665" s="1"/>
      <c r="F1665" s="1"/>
      <c r="J1665"/>
    </row>
    <row r="1666" spans="5:10" x14ac:dyDescent="0.2">
      <c r="E1666" s="1"/>
      <c r="F1666" s="1"/>
      <c r="J1666"/>
    </row>
    <row r="1667" spans="5:10" x14ac:dyDescent="0.2">
      <c r="E1667" s="1"/>
      <c r="F1667" s="1"/>
      <c r="J1667"/>
    </row>
    <row r="1668" spans="5:10" x14ac:dyDescent="0.2">
      <c r="E1668" s="1"/>
      <c r="F1668" s="1"/>
      <c r="J1668"/>
    </row>
    <row r="1669" spans="5:10" x14ac:dyDescent="0.2">
      <c r="E1669" s="1"/>
      <c r="F1669" s="1"/>
      <c r="J1669"/>
    </row>
    <row r="1670" spans="5:10" x14ac:dyDescent="0.2">
      <c r="E1670" s="1"/>
      <c r="F1670" s="1"/>
      <c r="J1670"/>
    </row>
    <row r="1671" spans="5:10" x14ac:dyDescent="0.2">
      <c r="E1671" s="1"/>
      <c r="F1671" s="1"/>
      <c r="J1671"/>
    </row>
    <row r="1672" spans="5:10" x14ac:dyDescent="0.2">
      <c r="E1672" s="1"/>
      <c r="F1672" s="1"/>
      <c r="J1672"/>
    </row>
    <row r="1673" spans="5:10" x14ac:dyDescent="0.2">
      <c r="E1673" s="1"/>
      <c r="F1673" s="1"/>
      <c r="J1673"/>
    </row>
    <row r="1674" spans="5:10" x14ac:dyDescent="0.2">
      <c r="E1674" s="1"/>
      <c r="F1674" s="1"/>
      <c r="J1674"/>
    </row>
    <row r="1675" spans="5:10" x14ac:dyDescent="0.2">
      <c r="E1675" s="1"/>
      <c r="F1675" s="1"/>
      <c r="J1675"/>
    </row>
    <row r="1676" spans="5:10" x14ac:dyDescent="0.2">
      <c r="E1676" s="1"/>
      <c r="F1676" s="1"/>
      <c r="J1676"/>
    </row>
    <row r="1677" spans="5:10" x14ac:dyDescent="0.2">
      <c r="E1677" s="1"/>
      <c r="F1677" s="1"/>
      <c r="J1677"/>
    </row>
    <row r="1678" spans="5:10" x14ac:dyDescent="0.2">
      <c r="E1678" s="1"/>
      <c r="F1678" s="1"/>
      <c r="J1678"/>
    </row>
    <row r="1679" spans="5:10" x14ac:dyDescent="0.2">
      <c r="E1679" s="1"/>
      <c r="F1679" s="1"/>
      <c r="J1679"/>
    </row>
    <row r="1680" spans="5:10" x14ac:dyDescent="0.2">
      <c r="E1680" s="1"/>
      <c r="F1680" s="1"/>
      <c r="J1680"/>
    </row>
    <row r="1681" spans="5:10" x14ac:dyDescent="0.2">
      <c r="E1681" s="1"/>
      <c r="F1681" s="1"/>
      <c r="J1681"/>
    </row>
    <row r="1682" spans="5:10" x14ac:dyDescent="0.2">
      <c r="E1682" s="1"/>
      <c r="F1682" s="1"/>
      <c r="J1682"/>
    </row>
    <row r="1683" spans="5:10" x14ac:dyDescent="0.2">
      <c r="E1683" s="1"/>
      <c r="F1683" s="1"/>
      <c r="J1683"/>
    </row>
    <row r="1684" spans="5:10" x14ac:dyDescent="0.2">
      <c r="E1684" s="1"/>
      <c r="F1684" s="1"/>
      <c r="J1684"/>
    </row>
    <row r="1685" spans="5:10" x14ac:dyDescent="0.2">
      <c r="E1685" s="1"/>
      <c r="F1685" s="1"/>
      <c r="J1685"/>
    </row>
    <row r="1686" spans="5:10" x14ac:dyDescent="0.2">
      <c r="E1686" s="1"/>
      <c r="F1686" s="1"/>
      <c r="J1686"/>
    </row>
  </sheetData>
  <phoneticPr fontId="3" type="noConversion"/>
  <hyperlinks>
    <hyperlink ref="B559" r:id="rId1" xr:uid="{9EB1B396-1BF6-F648-9175-B6382B5A9E71}"/>
    <hyperlink ref="B250" r:id="rId2" xr:uid="{E5EEA081-D911-CD4C-8F6B-358026538758}"/>
  </hyperlinks>
  <pageMargins left="0.7" right="0.7" top="0.75" bottom="0.75" header="0.3" footer="0.3"/>
  <pageSetup orientation="portrait" horizontalDpi="0" verticalDpi="0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Target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Nguyen, Binh</dc:creator>
  <cp:keywords/>
  <dc:description/>
  <cp:lastModifiedBy>Nguyen, Binh</cp:lastModifiedBy>
  <cp:revision/>
  <dcterms:created xsi:type="dcterms:W3CDTF">2025-04-09T13:38:42Z</dcterms:created>
  <dcterms:modified xsi:type="dcterms:W3CDTF">2025-05-05T16:11:45Z</dcterms:modified>
  <cp:category/>
  <cp:contentStatus/>
</cp:coreProperties>
</file>
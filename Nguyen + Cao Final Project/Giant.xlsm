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Users\caom\Downloads\Re_\"/>
    </mc:Choice>
  </mc:AlternateContent>
  <xr:revisionPtr revIDLastSave="0" documentId="13_ncr:1_{9622D541-D39C-44CB-A841-EB728E461E77}" xr6:coauthVersionLast="47" xr6:coauthVersionMax="47" xr10:uidLastSave="{00000000-0000-0000-0000-000000000000}"/>
  <bookViews>
    <workbookView xWindow="-120" yWindow="-120" windowWidth="29040" windowHeight="15840" xr2:uid="{938ED770-2ED8-E34B-B579-4615B087AFAD}"/>
  </bookViews>
  <sheets>
    <sheet name="Sheet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D2" i="2" a="1"/>
  <c r="D2" i="2" s="1"/>
  <c r="E2" i="2" s="1"/>
  <c r="D3" i="2" a="1"/>
  <c r="D3" i="2" s="1"/>
  <c r="E3" i="2" s="1"/>
  <c r="D4" i="2" a="1"/>
  <c r="D4" i="2" s="1"/>
  <c r="E4" i="2" s="1"/>
  <c r="D5" i="2" a="1"/>
  <c r="D5" i="2" s="1"/>
  <c r="E5" i="2" s="1"/>
  <c r="D6" i="2" a="1"/>
  <c r="D6" i="2" s="1"/>
  <c r="E6" i="2" s="1"/>
  <c r="D7" i="2" a="1"/>
  <c r="D7" i="2" s="1"/>
  <c r="E7" i="2" s="1"/>
  <c r="D8" i="2" a="1"/>
  <c r="D8" i="2" s="1"/>
  <c r="E8" i="2" s="1"/>
  <c r="D9" i="2" a="1"/>
  <c r="D9" i="2" s="1"/>
  <c r="E9" i="2" s="1"/>
  <c r="D10" i="2" a="1"/>
  <c r="D10" i="2" s="1"/>
  <c r="E10" i="2" s="1"/>
  <c r="D11" i="2" a="1"/>
  <c r="D11" i="2" s="1"/>
  <c r="E11" i="2" s="1"/>
  <c r="D12" i="2" a="1"/>
  <c r="D12" i="2" s="1"/>
  <c r="E12" i="2" s="1"/>
  <c r="D13" i="2" a="1"/>
  <c r="D13" i="2" s="1"/>
  <c r="E13" i="2" s="1"/>
  <c r="D14" i="2" a="1"/>
  <c r="D14" i="2" s="1"/>
  <c r="E14" i="2" s="1"/>
  <c r="D15" i="2" a="1"/>
  <c r="D15" i="2" s="1"/>
  <c r="E15" i="2" s="1"/>
  <c r="D16" i="2" a="1"/>
  <c r="D16" i="2" s="1"/>
  <c r="E16" i="2" s="1"/>
  <c r="D17" i="2" a="1"/>
  <c r="D17" i="2" s="1"/>
  <c r="E17" i="2" s="1"/>
  <c r="D18" i="2" a="1"/>
  <c r="D18" i="2" s="1"/>
  <c r="E18" i="2" s="1"/>
  <c r="D19" i="2" a="1"/>
  <c r="D19" i="2" s="1"/>
  <c r="E19" i="2" s="1"/>
  <c r="D20" i="2" a="1"/>
  <c r="D20" i="2" s="1"/>
  <c r="E20" i="2" s="1"/>
  <c r="D21" i="2" a="1"/>
  <c r="D21" i="2" s="1"/>
  <c r="E21" i="2" s="1"/>
  <c r="D22" i="2" a="1"/>
  <c r="D22" i="2" s="1"/>
  <c r="E22" i="2" s="1"/>
  <c r="D23" i="2" a="1"/>
  <c r="D23" i="2" s="1"/>
  <c r="E23" i="2" s="1"/>
  <c r="D24" i="2" a="1"/>
  <c r="D24" i="2" s="1"/>
  <c r="E24" i="2" s="1"/>
  <c r="D25" i="2" a="1"/>
  <c r="D25" i="2" s="1"/>
  <c r="E25" i="2" s="1"/>
  <c r="D26" i="2" a="1"/>
  <c r="D26" i="2" s="1"/>
  <c r="E26" i="2" s="1"/>
  <c r="D27" i="2" a="1"/>
  <c r="D27" i="2" s="1"/>
  <c r="E27" i="2" s="1"/>
  <c r="D28" i="2" a="1"/>
  <c r="D28" i="2" s="1"/>
  <c r="E28" i="2" s="1"/>
  <c r="D29" i="2" a="1"/>
  <c r="D29" i="2" s="1"/>
  <c r="E29" i="2" s="1"/>
  <c r="D30" i="2" a="1"/>
  <c r="D30" i="2" s="1"/>
  <c r="E30" i="2" s="1"/>
  <c r="D31" i="2" a="1"/>
  <c r="D31" i="2" s="1"/>
  <c r="E31" i="2" s="1"/>
  <c r="D32" i="2" a="1"/>
  <c r="D32" i="2" s="1"/>
  <c r="E32" i="2" s="1"/>
  <c r="D33" i="2" a="1"/>
  <c r="D33" i="2" s="1"/>
  <c r="E33" i="2" s="1"/>
  <c r="D34" i="2" a="1"/>
  <c r="D34" i="2" s="1"/>
  <c r="E34" i="2" s="1"/>
  <c r="D35" i="2" a="1"/>
  <c r="D35" i="2" s="1"/>
  <c r="E35" i="2" s="1"/>
  <c r="D36" i="2" a="1"/>
  <c r="D36" i="2" s="1"/>
  <c r="E36" i="2" s="1"/>
  <c r="D37" i="2" a="1"/>
  <c r="D37" i="2" s="1"/>
  <c r="E37" i="2" s="1"/>
  <c r="D38" i="2" a="1"/>
  <c r="D38" i="2" s="1"/>
  <c r="E38" i="2" s="1"/>
  <c r="D39" i="2" a="1"/>
  <c r="D39" i="2" s="1"/>
  <c r="E39" i="2" s="1"/>
  <c r="D40" i="2" a="1"/>
  <c r="D40" i="2" s="1"/>
  <c r="E40" i="2" s="1"/>
  <c r="D41" i="2" a="1"/>
  <c r="D41" i="2" s="1"/>
  <c r="E41" i="2" s="1"/>
  <c r="D42" i="2" a="1"/>
  <c r="D42" i="2" s="1"/>
  <c r="E42" i="2" s="1"/>
  <c r="D43" i="2" a="1"/>
  <c r="D43" i="2" s="1"/>
  <c r="E43" i="2" s="1"/>
  <c r="D44" i="2" a="1"/>
  <c r="D44" i="2" s="1"/>
  <c r="E44" i="2" s="1"/>
  <c r="D45" i="2" a="1"/>
  <c r="D45" i="2" s="1"/>
  <c r="E45" i="2" s="1"/>
  <c r="D46" i="2" a="1"/>
  <c r="D46" i="2" s="1"/>
  <c r="E46" i="2" s="1"/>
  <c r="D47" i="2" a="1"/>
  <c r="D47" i="2" s="1"/>
  <c r="E47" i="2" s="1"/>
  <c r="D48" i="2" a="1"/>
  <c r="D48" i="2" s="1"/>
  <c r="E48" i="2" s="1"/>
  <c r="D49" i="2" a="1"/>
  <c r="D49" i="2" s="1"/>
  <c r="E49" i="2" s="1"/>
  <c r="D50" i="2" a="1"/>
  <c r="D50" i="2" s="1"/>
  <c r="E50" i="2" s="1"/>
  <c r="D51" i="2" a="1"/>
  <c r="D51" i="2" s="1"/>
  <c r="E51" i="2" s="1"/>
  <c r="D52" i="2" a="1"/>
  <c r="D52" i="2" s="1"/>
  <c r="E52" i="2" s="1"/>
  <c r="D53" i="2" a="1"/>
  <c r="D53" i="2" s="1"/>
  <c r="E53" i="2" s="1"/>
  <c r="D54" i="2" a="1"/>
  <c r="D54" i="2" s="1"/>
  <c r="E54" i="2" s="1"/>
  <c r="D55" i="2" a="1"/>
  <c r="D55" i="2" s="1"/>
  <c r="E55" i="2" s="1"/>
  <c r="D56" i="2" a="1"/>
  <c r="D56" i="2" s="1"/>
  <c r="E56" i="2" s="1"/>
  <c r="D57" i="2" a="1"/>
  <c r="D57" i="2" s="1"/>
  <c r="E57" i="2" s="1"/>
  <c r="D58" i="2" a="1"/>
  <c r="D58" i="2" s="1"/>
  <c r="E58" i="2" s="1"/>
  <c r="D59" i="2" a="1"/>
  <c r="D59" i="2" s="1"/>
  <c r="E59" i="2" s="1"/>
  <c r="D60" i="2" a="1"/>
  <c r="D60" i="2" s="1"/>
  <c r="E60" i="2" s="1"/>
  <c r="D61" i="2" a="1"/>
  <c r="D61" i="2" s="1"/>
  <c r="E61" i="2" s="1"/>
  <c r="D62" i="2" a="1"/>
  <c r="D62" i="2" s="1"/>
  <c r="E62" i="2" s="1"/>
  <c r="D63" i="2" a="1"/>
  <c r="D63" i="2" s="1"/>
  <c r="E63" i="2" s="1"/>
  <c r="D64" i="2" a="1"/>
  <c r="D64" i="2" s="1"/>
  <c r="E64" i="2" s="1"/>
  <c r="D65" i="2" a="1"/>
  <c r="D65" i="2" s="1"/>
  <c r="E65" i="2" s="1"/>
  <c r="D66" i="2" a="1"/>
  <c r="D66" i="2" s="1"/>
  <c r="E66" i="2" s="1"/>
  <c r="D67" i="2" a="1"/>
  <c r="D67" i="2" s="1"/>
  <c r="E67" i="2" s="1"/>
  <c r="D68" i="2" a="1"/>
  <c r="D68" i="2" s="1"/>
  <c r="E68" i="2" s="1"/>
  <c r="D69" i="2" a="1"/>
  <c r="D69" i="2" s="1"/>
  <c r="E69" i="2" s="1"/>
  <c r="D70" i="2" a="1"/>
  <c r="D70" i="2" s="1"/>
  <c r="E70" i="2" s="1"/>
  <c r="D71" i="2" a="1"/>
  <c r="D71" i="2" s="1"/>
  <c r="E71" i="2" s="1"/>
  <c r="D72" i="2" a="1"/>
  <c r="D72" i="2" s="1"/>
  <c r="E72" i="2" s="1"/>
  <c r="D73" i="2" a="1"/>
  <c r="D73" i="2" s="1"/>
  <c r="E73" i="2" s="1"/>
  <c r="D74" i="2" a="1"/>
  <c r="D74" i="2" s="1"/>
  <c r="E74" i="2" s="1"/>
  <c r="D75" i="2" a="1"/>
  <c r="D75" i="2" s="1"/>
  <c r="E75" i="2" s="1"/>
  <c r="D76" i="2" a="1"/>
  <c r="D76" i="2" s="1"/>
  <c r="E76" i="2" s="1"/>
  <c r="D77" i="2" a="1"/>
  <c r="D77" i="2" s="1"/>
  <c r="E77" i="2" s="1"/>
  <c r="D78" i="2" a="1"/>
  <c r="D78" i="2" s="1"/>
  <c r="E78" i="2" s="1"/>
  <c r="D79" i="2" a="1"/>
  <c r="D79" i="2" s="1"/>
  <c r="E79" i="2" s="1"/>
  <c r="D80" i="2" a="1"/>
  <c r="D80" i="2" s="1"/>
  <c r="E80" i="2" s="1"/>
  <c r="D81" i="2" a="1"/>
  <c r="D81" i="2" s="1"/>
  <c r="E81" i="2" s="1"/>
  <c r="D82" i="2" a="1"/>
  <c r="D82" i="2" s="1"/>
  <c r="E82" i="2" s="1"/>
  <c r="D83" i="2" a="1"/>
  <c r="D83" i="2" s="1"/>
  <c r="E83" i="2" s="1"/>
  <c r="D84" i="2" a="1"/>
  <c r="D84" i="2" s="1"/>
  <c r="E84" i="2" s="1"/>
  <c r="D85" i="2" a="1"/>
  <c r="D85" i="2" s="1"/>
  <c r="E85" i="2" s="1"/>
  <c r="D86" i="2" a="1"/>
  <c r="D86" i="2" s="1"/>
  <c r="E86" i="2" s="1"/>
  <c r="D87" i="2" a="1"/>
  <c r="D87" i="2" s="1"/>
  <c r="E87" i="2" s="1"/>
  <c r="D88" i="2" a="1"/>
  <c r="D88" i="2" s="1"/>
  <c r="E88" i="2" s="1"/>
  <c r="D89" i="2" a="1"/>
  <c r="D89" i="2" s="1"/>
  <c r="E89" i="2" s="1"/>
  <c r="D90" i="2" a="1"/>
  <c r="D90" i="2" s="1"/>
  <c r="E90" i="2" s="1"/>
  <c r="D91" i="2" a="1"/>
  <c r="D91" i="2" s="1"/>
  <c r="E91" i="2" s="1"/>
  <c r="D92" i="2" a="1"/>
  <c r="D92" i="2" s="1"/>
  <c r="E92" i="2" s="1"/>
  <c r="D93" i="2" a="1"/>
  <c r="D93" i="2" s="1"/>
  <c r="E93" i="2" s="1"/>
  <c r="D94" i="2" a="1"/>
  <c r="D94" i="2" s="1"/>
  <c r="E94" i="2" s="1"/>
  <c r="D95" i="2" a="1"/>
  <c r="D95" i="2" s="1"/>
  <c r="E95" i="2" s="1"/>
  <c r="D96" i="2" a="1"/>
  <c r="D96" i="2" s="1"/>
  <c r="E96" i="2" s="1"/>
  <c r="D97" i="2" a="1"/>
  <c r="D97" i="2" s="1"/>
  <c r="E97" i="2" s="1"/>
  <c r="D98" i="2" a="1"/>
  <c r="D98" i="2" s="1"/>
  <c r="E98" i="2" s="1"/>
  <c r="D99" i="2" a="1"/>
  <c r="D99" i="2" s="1"/>
  <c r="E99" i="2" s="1"/>
  <c r="D100" i="2" a="1"/>
  <c r="D100" i="2" s="1"/>
  <c r="E100" i="2" s="1"/>
  <c r="D101" i="2" a="1"/>
  <c r="D101" i="2" s="1"/>
  <c r="E101" i="2" s="1"/>
  <c r="D102" i="2" a="1"/>
  <c r="D102" i="2" s="1"/>
  <c r="E102" i="2" s="1"/>
  <c r="D103" i="2" a="1"/>
  <c r="D103" i="2" s="1"/>
  <c r="E103" i="2" s="1"/>
  <c r="D104" i="2" a="1"/>
  <c r="D104" i="2" s="1"/>
  <c r="E104" i="2" s="1"/>
  <c r="D105" i="2" a="1"/>
  <c r="D105" i="2" s="1"/>
  <c r="E105" i="2" s="1"/>
  <c r="D106" i="2" a="1"/>
  <c r="D106" i="2" s="1"/>
  <c r="E106" i="2" s="1"/>
  <c r="D107" i="2" a="1"/>
  <c r="D107" i="2" s="1"/>
  <c r="E107" i="2" s="1"/>
  <c r="D108" i="2" a="1"/>
  <c r="D108" i="2" s="1"/>
  <c r="E108" i="2" s="1"/>
  <c r="D109" i="2" a="1"/>
  <c r="D109" i="2" s="1"/>
  <c r="E109" i="2" s="1"/>
  <c r="D110" i="2" a="1"/>
  <c r="D110" i="2" s="1"/>
  <c r="E110" i="2" s="1"/>
  <c r="D111" i="2" a="1"/>
  <c r="D111" i="2" s="1"/>
  <c r="E111" i="2" s="1"/>
  <c r="D112" i="2" a="1"/>
  <c r="D112" i="2" s="1"/>
  <c r="E112" i="2" s="1"/>
  <c r="D113" i="2" a="1"/>
  <c r="D113" i="2" s="1"/>
  <c r="E113" i="2" s="1"/>
  <c r="D114" i="2" a="1"/>
  <c r="D114" i="2" s="1"/>
  <c r="E114" i="2" s="1"/>
  <c r="D115" i="2" a="1"/>
  <c r="D115" i="2" s="1"/>
  <c r="E115" i="2" s="1"/>
  <c r="D116" i="2" a="1"/>
  <c r="D116" i="2" s="1"/>
  <c r="E116" i="2" s="1"/>
  <c r="D117" i="2" a="1"/>
  <c r="D117" i="2" s="1"/>
  <c r="E117" i="2" s="1"/>
  <c r="D118" i="2" a="1"/>
  <c r="D118" i="2" s="1"/>
  <c r="E118" i="2" s="1"/>
  <c r="D119" i="2" a="1"/>
  <c r="D119" i="2" s="1"/>
  <c r="E119" i="2" s="1"/>
  <c r="D120" i="2" a="1"/>
  <c r="D120" i="2" s="1"/>
  <c r="E120" i="2" s="1"/>
  <c r="D121" i="2" a="1"/>
  <c r="D121" i="2" s="1"/>
  <c r="E121" i="2" s="1"/>
  <c r="D122" i="2" a="1"/>
  <c r="D122" i="2" s="1"/>
  <c r="E122" i="2" s="1"/>
  <c r="D123" i="2" a="1"/>
  <c r="D123" i="2" s="1"/>
  <c r="E123" i="2" s="1"/>
  <c r="D124" i="2" a="1"/>
  <c r="D124" i="2" s="1"/>
  <c r="E124" i="2" s="1"/>
  <c r="D125" i="2" a="1"/>
  <c r="D125" i="2" s="1"/>
  <c r="E125" i="2" s="1"/>
  <c r="D126" i="2" a="1"/>
  <c r="D126" i="2" s="1"/>
  <c r="E126" i="2" s="1"/>
  <c r="D127" i="2" a="1"/>
  <c r="D127" i="2" s="1"/>
  <c r="E127" i="2" s="1"/>
  <c r="D128" i="2" a="1"/>
  <c r="D128" i="2" s="1"/>
  <c r="E128" i="2" s="1"/>
  <c r="D129" i="2" a="1"/>
  <c r="D129" i="2" s="1"/>
  <c r="E129" i="2" s="1"/>
  <c r="D130" i="2" a="1"/>
  <c r="D130" i="2" s="1"/>
  <c r="E130" i="2" s="1"/>
  <c r="D131" i="2" a="1"/>
  <c r="D131" i="2" s="1"/>
  <c r="E131" i="2" s="1"/>
  <c r="D132" i="2" a="1"/>
  <c r="D132" i="2" s="1"/>
  <c r="E132" i="2" s="1"/>
  <c r="D133" i="2" a="1"/>
  <c r="D133" i="2" s="1"/>
  <c r="E133" i="2" s="1"/>
  <c r="D134" i="2" a="1"/>
  <c r="D134" i="2" s="1"/>
  <c r="E134" i="2" s="1"/>
  <c r="D135" i="2" a="1"/>
  <c r="D135" i="2" s="1"/>
  <c r="E135" i="2" s="1"/>
  <c r="D136" i="2" a="1"/>
  <c r="D136" i="2" s="1"/>
  <c r="E136" i="2" s="1"/>
  <c r="D137" i="2" a="1"/>
  <c r="D137" i="2" s="1"/>
  <c r="E137" i="2" s="1"/>
  <c r="D138" i="2" a="1"/>
  <c r="D138" i="2" s="1"/>
  <c r="E138" i="2" s="1"/>
  <c r="D139" i="2" a="1"/>
  <c r="D139" i="2" s="1"/>
  <c r="E139" i="2" s="1"/>
  <c r="D140" i="2" a="1"/>
  <c r="D140" i="2" s="1"/>
  <c r="E140" i="2" s="1"/>
  <c r="D141" i="2" a="1"/>
  <c r="D141" i="2" s="1"/>
  <c r="E141" i="2" s="1"/>
  <c r="D142" i="2" a="1"/>
  <c r="D142" i="2" s="1"/>
  <c r="E142" i="2" s="1"/>
  <c r="D143" i="2" a="1"/>
  <c r="D143" i="2" s="1"/>
  <c r="E143" i="2" s="1"/>
  <c r="D144" i="2" a="1"/>
  <c r="D144" i="2" s="1"/>
  <c r="E144" i="2" s="1"/>
  <c r="D145" i="2" a="1"/>
  <c r="D145" i="2" s="1"/>
  <c r="E145" i="2" s="1"/>
  <c r="D146" i="2" a="1"/>
  <c r="D146" i="2" s="1"/>
  <c r="E146" i="2" s="1"/>
  <c r="D147" i="2" a="1"/>
  <c r="D147" i="2" s="1"/>
  <c r="E147" i="2" s="1"/>
  <c r="D148" i="2" a="1"/>
  <c r="D148" i="2" s="1"/>
  <c r="E148" i="2" s="1"/>
  <c r="D149" i="2" a="1"/>
  <c r="D149" i="2" s="1"/>
  <c r="E149" i="2" s="1"/>
  <c r="D150" i="2" a="1"/>
  <c r="D150" i="2" s="1"/>
  <c r="E150" i="2" s="1"/>
  <c r="D151" i="2" a="1"/>
  <c r="D151" i="2" s="1"/>
  <c r="E151" i="2" s="1"/>
  <c r="D152" i="2" a="1"/>
  <c r="D152" i="2" s="1"/>
  <c r="E152" i="2" s="1"/>
  <c r="D153" i="2" a="1"/>
  <c r="D153" i="2" s="1"/>
  <c r="E153" i="2" s="1"/>
  <c r="D154" i="2" a="1"/>
  <c r="D154" i="2" s="1"/>
  <c r="E154" i="2" s="1"/>
  <c r="D155" i="2" a="1"/>
  <c r="D155" i="2" s="1"/>
  <c r="E155" i="2" s="1"/>
  <c r="D156" i="2" a="1"/>
  <c r="D156" i="2" s="1"/>
  <c r="E156" i="2" s="1"/>
  <c r="D157" i="2" a="1"/>
  <c r="D157" i="2" s="1"/>
  <c r="E157" i="2" s="1"/>
  <c r="D158" i="2" a="1"/>
  <c r="D158" i="2" s="1"/>
  <c r="E158" i="2" s="1"/>
  <c r="D159" i="2" a="1"/>
  <c r="D159" i="2" s="1"/>
  <c r="E159" i="2" s="1"/>
  <c r="D160" i="2" a="1"/>
  <c r="D160" i="2" s="1"/>
  <c r="E160" i="2" s="1"/>
  <c r="D161" i="2" a="1"/>
  <c r="D161" i="2" s="1"/>
  <c r="E161" i="2" s="1"/>
  <c r="D162" i="2" a="1"/>
  <c r="D162" i="2" s="1"/>
  <c r="E162" i="2" s="1"/>
  <c r="D163" i="2" a="1"/>
  <c r="D163" i="2" s="1"/>
  <c r="E163" i="2" s="1"/>
  <c r="D164" i="2" a="1"/>
  <c r="D164" i="2" s="1"/>
  <c r="E164" i="2" s="1"/>
  <c r="D165" i="2" a="1"/>
  <c r="D165" i="2" s="1"/>
  <c r="E165" i="2" s="1"/>
  <c r="D166" i="2" a="1"/>
  <c r="D166" i="2" s="1"/>
  <c r="E166" i="2" s="1"/>
  <c r="D167" i="2" a="1"/>
  <c r="D167" i="2" s="1"/>
  <c r="E167" i="2" s="1"/>
  <c r="D168" i="2" a="1"/>
  <c r="D168" i="2" s="1"/>
  <c r="E168" i="2" s="1"/>
  <c r="D169" i="2" a="1"/>
  <c r="D169" i="2" s="1"/>
  <c r="E169" i="2" s="1"/>
  <c r="D170" i="2" a="1"/>
  <c r="D170" i="2" s="1"/>
  <c r="E170" i="2" s="1"/>
  <c r="D171" i="2" a="1"/>
  <c r="D171" i="2" s="1"/>
  <c r="E171" i="2" s="1"/>
  <c r="D172" i="2" a="1"/>
  <c r="D172" i="2" s="1"/>
  <c r="E172" i="2" s="1"/>
  <c r="D173" i="2" a="1"/>
  <c r="D173" i="2" s="1"/>
  <c r="E173" i="2" s="1"/>
  <c r="D174" i="2" a="1"/>
  <c r="D174" i="2" s="1"/>
  <c r="E174" i="2" s="1"/>
  <c r="D175" i="2" a="1"/>
  <c r="D175" i="2" s="1"/>
  <c r="E175" i="2" s="1"/>
  <c r="D176" i="2" a="1"/>
  <c r="D176" i="2" s="1"/>
  <c r="E176" i="2" s="1"/>
  <c r="D177" i="2" a="1"/>
  <c r="D177" i="2" s="1"/>
  <c r="E177" i="2" s="1"/>
  <c r="D178" i="2" a="1"/>
  <c r="D178" i="2" s="1"/>
  <c r="E178" i="2" s="1"/>
  <c r="D179" i="2" a="1"/>
  <c r="D179" i="2" s="1"/>
  <c r="E179" i="2" s="1"/>
  <c r="D180" i="2" a="1"/>
  <c r="D180" i="2" s="1"/>
  <c r="E180" i="2" s="1"/>
  <c r="D181" i="2" a="1"/>
  <c r="D181" i="2" s="1"/>
  <c r="E181" i="2" s="1"/>
  <c r="D182" i="2" a="1"/>
  <c r="D182" i="2" s="1"/>
  <c r="E182" i="2" s="1"/>
  <c r="D183" i="2" a="1"/>
  <c r="D183" i="2" s="1"/>
  <c r="E183" i="2" s="1"/>
  <c r="D184" i="2" a="1"/>
  <c r="D184" i="2" s="1"/>
  <c r="E184" i="2" s="1"/>
  <c r="D185" i="2" a="1"/>
  <c r="D185" i="2" s="1"/>
  <c r="E185" i="2" s="1"/>
  <c r="D186" i="2" a="1"/>
  <c r="D186" i="2" s="1"/>
  <c r="E186" i="2" s="1"/>
  <c r="D187" i="2" a="1"/>
  <c r="D187" i="2" s="1"/>
  <c r="E187" i="2" s="1"/>
  <c r="D188" i="2" a="1"/>
  <c r="D188" i="2" s="1"/>
  <c r="E188" i="2" s="1"/>
  <c r="D189" i="2" a="1"/>
  <c r="D189" i="2" s="1"/>
  <c r="E189" i="2" s="1"/>
  <c r="D190" i="2" a="1"/>
  <c r="D190" i="2" s="1"/>
  <c r="E190" i="2" s="1"/>
  <c r="D191" i="2" a="1"/>
  <c r="D191" i="2" s="1"/>
  <c r="E191" i="2" s="1"/>
  <c r="D192" i="2" a="1"/>
  <c r="D192" i="2" s="1"/>
  <c r="E192" i="2" s="1"/>
  <c r="D193" i="2" a="1"/>
  <c r="D193" i="2" s="1"/>
  <c r="E193" i="2" s="1"/>
  <c r="D194" i="2" a="1"/>
  <c r="D194" i="2" s="1"/>
  <c r="E194" i="2" s="1"/>
  <c r="D195" i="2" a="1"/>
  <c r="D195" i="2" s="1"/>
  <c r="E195" i="2" s="1"/>
  <c r="D196" i="2" a="1"/>
  <c r="D196" i="2" s="1"/>
  <c r="E196" i="2" s="1"/>
  <c r="D197" i="2" a="1"/>
  <c r="D197" i="2" s="1"/>
  <c r="E197" i="2" s="1"/>
  <c r="D198" i="2" a="1"/>
  <c r="D198" i="2" s="1"/>
  <c r="E198" i="2" s="1"/>
  <c r="D199" i="2" a="1"/>
  <c r="D199" i="2" s="1"/>
  <c r="E199" i="2" s="1"/>
  <c r="D200" i="2" a="1"/>
  <c r="D200" i="2" s="1"/>
  <c r="E200" i="2" s="1"/>
  <c r="D201" i="2" a="1"/>
  <c r="D201" i="2" s="1"/>
  <c r="E201" i="2" s="1"/>
  <c r="D202" i="2" a="1"/>
  <c r="D202" i="2" s="1"/>
  <c r="E202" i="2" s="1"/>
  <c r="D203" i="2" a="1"/>
  <c r="D203" i="2" s="1"/>
  <c r="E203" i="2" s="1"/>
  <c r="D204" i="2" a="1"/>
  <c r="D204" i="2" s="1"/>
  <c r="E204" i="2" s="1"/>
  <c r="D205" i="2" a="1"/>
  <c r="D205" i="2" s="1"/>
  <c r="E205" i="2" s="1"/>
  <c r="D206" i="2" a="1"/>
  <c r="D206" i="2" s="1"/>
  <c r="E206" i="2" s="1"/>
  <c r="D207" i="2" a="1"/>
  <c r="D207" i="2" s="1"/>
  <c r="E207" i="2" s="1"/>
  <c r="D208" i="2" a="1"/>
  <c r="D208" i="2" s="1"/>
  <c r="E208" i="2" s="1"/>
  <c r="D209" i="2" a="1"/>
  <c r="D209" i="2" s="1"/>
  <c r="E209" i="2" s="1"/>
  <c r="D210" i="2" a="1"/>
  <c r="D210" i="2" s="1"/>
  <c r="E210" i="2" s="1"/>
  <c r="D211" i="2" a="1"/>
  <c r="D211" i="2" s="1"/>
  <c r="E211" i="2" s="1"/>
  <c r="D212" i="2" a="1"/>
  <c r="D212" i="2" s="1"/>
  <c r="E212" i="2" s="1"/>
  <c r="D213" i="2" a="1"/>
  <c r="D213" i="2" s="1"/>
  <c r="E213" i="2" s="1"/>
  <c r="D214" i="2" a="1"/>
  <c r="D214" i="2" s="1"/>
  <c r="E214" i="2" s="1"/>
  <c r="D215" i="2" a="1"/>
  <c r="D215" i="2" s="1"/>
  <c r="E215" i="2" s="1"/>
  <c r="D216" i="2" a="1"/>
  <c r="D216" i="2" s="1"/>
  <c r="E216" i="2" s="1"/>
  <c r="D217" i="2" a="1"/>
  <c r="D217" i="2" s="1"/>
  <c r="E217" i="2" s="1"/>
  <c r="D218" i="2" a="1"/>
  <c r="D218" i="2" s="1"/>
  <c r="E218" i="2" s="1"/>
  <c r="D219" i="2" a="1"/>
  <c r="D219" i="2" s="1"/>
  <c r="E219" i="2" s="1"/>
  <c r="D220" i="2" a="1"/>
  <c r="D220" i="2" s="1"/>
  <c r="E220" i="2" s="1"/>
  <c r="D221" i="2" a="1"/>
  <c r="D221" i="2" s="1"/>
  <c r="E221" i="2" s="1"/>
  <c r="D222" i="2" a="1"/>
  <c r="D222" i="2" s="1"/>
  <c r="E222" i="2" s="1"/>
  <c r="D223" i="2" a="1"/>
  <c r="D223" i="2" s="1"/>
  <c r="E223" i="2" s="1"/>
  <c r="D224" i="2" a="1"/>
  <c r="D224" i="2" s="1"/>
  <c r="E224" i="2" s="1"/>
  <c r="D225" i="2" a="1"/>
  <c r="D225" i="2" s="1"/>
  <c r="E225" i="2" s="1"/>
  <c r="D226" i="2" a="1"/>
  <c r="D226" i="2" s="1"/>
  <c r="E226" i="2" s="1"/>
  <c r="D227" i="2" a="1"/>
  <c r="D227" i="2" s="1"/>
  <c r="E227" i="2" s="1"/>
  <c r="D228" i="2" a="1"/>
  <c r="D228" i="2" s="1"/>
  <c r="E228" i="2" s="1"/>
  <c r="D229" i="2" a="1"/>
  <c r="D229" i="2" s="1"/>
  <c r="E229" i="2" s="1"/>
  <c r="D230" i="2" a="1"/>
  <c r="D230" i="2" s="1"/>
  <c r="E230" i="2" s="1"/>
  <c r="D231" i="2" a="1"/>
  <c r="D231" i="2" s="1"/>
  <c r="E231" i="2" s="1"/>
  <c r="D232" i="2" a="1"/>
  <c r="D232" i="2" s="1"/>
  <c r="E232" i="2" s="1"/>
  <c r="D233" i="2" a="1"/>
  <c r="D233" i="2" s="1"/>
  <c r="E233" i="2" s="1"/>
  <c r="D234" i="2" a="1"/>
  <c r="D234" i="2" s="1"/>
  <c r="E234" i="2" s="1"/>
  <c r="D235" i="2" a="1"/>
  <c r="D235" i="2" s="1"/>
  <c r="E235" i="2" s="1"/>
  <c r="D236" i="2" a="1"/>
  <c r="D236" i="2" s="1"/>
  <c r="E236" i="2" s="1"/>
  <c r="D237" i="2" a="1"/>
  <c r="D237" i="2" s="1"/>
  <c r="E237" i="2" s="1"/>
  <c r="D238" i="2" a="1"/>
  <c r="D238" i="2" s="1"/>
  <c r="E238" i="2" s="1"/>
  <c r="D239" i="2" a="1"/>
  <c r="D239" i="2" s="1"/>
  <c r="E239" i="2" s="1"/>
  <c r="D240" i="2" a="1"/>
  <c r="D240" i="2" s="1"/>
  <c r="E240" i="2" s="1"/>
  <c r="D241" i="2" a="1"/>
  <c r="D241" i="2" s="1"/>
  <c r="E241" i="2" s="1"/>
  <c r="D242" i="2" a="1"/>
  <c r="D242" i="2" s="1"/>
  <c r="E242" i="2" s="1"/>
  <c r="D243" i="2" a="1"/>
  <c r="D243" i="2" s="1"/>
  <c r="E243" i="2" s="1"/>
  <c r="D244" i="2" a="1"/>
  <c r="D244" i="2" s="1"/>
  <c r="E244" i="2" s="1"/>
  <c r="D245" i="2" a="1"/>
  <c r="D245" i="2" s="1"/>
  <c r="E245" i="2" s="1"/>
  <c r="D246" i="2" a="1"/>
  <c r="D246" i="2" s="1"/>
  <c r="E246" i="2" s="1"/>
  <c r="D247" i="2" a="1"/>
  <c r="D247" i="2" s="1"/>
  <c r="E247" i="2" s="1"/>
  <c r="D248" i="2" a="1"/>
  <c r="D248" i="2" s="1"/>
  <c r="E248" i="2" s="1"/>
  <c r="D249" i="2" a="1"/>
  <c r="D249" i="2" s="1"/>
  <c r="E249" i="2" s="1"/>
  <c r="D250" i="2" a="1"/>
  <c r="D250" i="2" s="1"/>
  <c r="E250" i="2" s="1"/>
  <c r="D251" i="2" a="1"/>
  <c r="D251" i="2" s="1"/>
  <c r="E251" i="2" s="1"/>
  <c r="D252" i="2" a="1"/>
  <c r="D252" i="2" s="1"/>
  <c r="E252" i="2" s="1"/>
  <c r="D253" i="2" a="1"/>
  <c r="D253" i="2" s="1"/>
  <c r="E253" i="2" s="1"/>
  <c r="D254" i="2" a="1"/>
  <c r="D254" i="2" s="1"/>
  <c r="E254" i="2" s="1"/>
  <c r="D255" i="2" a="1"/>
  <c r="D255" i="2" s="1"/>
  <c r="E255" i="2" s="1"/>
  <c r="D256" i="2" a="1"/>
  <c r="D256" i="2" s="1"/>
  <c r="E256" i="2" s="1"/>
  <c r="D257" i="2" a="1"/>
  <c r="D257" i="2" s="1"/>
  <c r="E257" i="2" s="1"/>
  <c r="D258" i="2" a="1"/>
  <c r="D258" i="2" s="1"/>
  <c r="E258" i="2" s="1"/>
  <c r="D259" i="2" a="1"/>
  <c r="D259" i="2" s="1"/>
  <c r="E259" i="2" s="1"/>
  <c r="D260" i="2" a="1"/>
  <c r="D260" i="2" s="1"/>
  <c r="E260" i="2" s="1"/>
  <c r="D261" i="2" a="1"/>
  <c r="D261" i="2" s="1"/>
  <c r="E261" i="2" s="1"/>
  <c r="D262" i="2" a="1"/>
  <c r="D262" i="2" s="1"/>
  <c r="E262" i="2" s="1"/>
  <c r="D263" i="2" a="1"/>
  <c r="D263" i="2" s="1"/>
  <c r="E263" i="2" s="1"/>
  <c r="D264" i="2" a="1"/>
  <c r="D264" i="2" s="1"/>
  <c r="E264" i="2" s="1"/>
  <c r="D265" i="2" a="1"/>
  <c r="D265" i="2" s="1"/>
  <c r="E265" i="2" s="1"/>
  <c r="D266" i="2" a="1"/>
  <c r="D266" i="2" s="1"/>
  <c r="E266" i="2" s="1"/>
  <c r="D267" i="2" a="1"/>
  <c r="D267" i="2" s="1"/>
  <c r="E267" i="2" s="1"/>
  <c r="D268" i="2" a="1"/>
  <c r="D268" i="2" s="1"/>
  <c r="E268" i="2" s="1"/>
  <c r="D269" i="2" a="1"/>
  <c r="D269" i="2" s="1"/>
  <c r="E269" i="2" s="1"/>
  <c r="D270" i="2" a="1"/>
  <c r="D270" i="2" s="1"/>
  <c r="E270" i="2" s="1"/>
  <c r="D271" i="2" a="1"/>
  <c r="D271" i="2" s="1"/>
  <c r="E271" i="2" s="1"/>
  <c r="D272" i="2" a="1"/>
  <c r="D272" i="2" s="1"/>
  <c r="E272" i="2" s="1"/>
  <c r="D273" i="2" a="1"/>
  <c r="D273" i="2" s="1"/>
  <c r="E273" i="2" s="1"/>
  <c r="D274" i="2" a="1"/>
  <c r="D274" i="2" s="1"/>
  <c r="E274" i="2" s="1"/>
  <c r="D275" i="2" a="1"/>
  <c r="D275" i="2" s="1"/>
  <c r="E275" i="2" s="1"/>
  <c r="D276" i="2" a="1"/>
  <c r="D276" i="2" s="1"/>
  <c r="E276" i="2" s="1"/>
  <c r="D277" i="2" a="1"/>
  <c r="D277" i="2" s="1"/>
  <c r="E277" i="2" s="1"/>
  <c r="D278" i="2" a="1"/>
  <c r="D278" i="2" s="1"/>
  <c r="E278" i="2" s="1"/>
  <c r="D279" i="2" a="1"/>
  <c r="D279" i="2" s="1"/>
  <c r="E279" i="2" s="1"/>
  <c r="D280" i="2" a="1"/>
  <c r="D280" i="2" s="1"/>
  <c r="E280" i="2" s="1"/>
  <c r="D281" i="2" a="1"/>
  <c r="D281" i="2" s="1"/>
  <c r="E281" i="2" s="1"/>
  <c r="D282" i="2" a="1"/>
  <c r="D282" i="2" s="1"/>
  <c r="E282" i="2" s="1"/>
  <c r="D283" i="2" a="1"/>
  <c r="D283" i="2" s="1"/>
  <c r="E283" i="2" s="1"/>
  <c r="D284" i="2" a="1"/>
  <c r="D284" i="2"/>
  <c r="E284" i="2" s="1"/>
  <c r="D285" i="2" a="1"/>
  <c r="D285" i="2" s="1"/>
  <c r="E285" i="2" s="1"/>
  <c r="D286" i="2" a="1"/>
  <c r="D286" i="2" s="1"/>
  <c r="E286" i="2" s="1"/>
  <c r="D287" i="2" a="1"/>
  <c r="D287" i="2" s="1"/>
  <c r="E287" i="2" s="1"/>
  <c r="D288" i="2" a="1"/>
  <c r="D288" i="2" s="1"/>
  <c r="E288" i="2" s="1"/>
  <c r="D289" i="2" a="1"/>
  <c r="D289" i="2" s="1"/>
  <c r="E289" i="2" s="1"/>
  <c r="D290" i="2" a="1"/>
  <c r="D290" i="2" s="1"/>
  <c r="E290" i="2" s="1"/>
  <c r="D291" i="2" a="1"/>
  <c r="D291" i="2" s="1"/>
  <c r="E291" i="2" s="1"/>
  <c r="D292" i="2" a="1"/>
  <c r="D292" i="2" s="1"/>
  <c r="E292" i="2" s="1"/>
  <c r="D293" i="2" a="1"/>
  <c r="D293" i="2" s="1"/>
  <c r="E293" i="2" s="1"/>
  <c r="D294" i="2" a="1"/>
  <c r="D294" i="2" s="1"/>
  <c r="E294" i="2" s="1"/>
  <c r="D295" i="2" a="1"/>
  <c r="D295" i="2" s="1"/>
  <c r="E295" i="2" s="1"/>
  <c r="D296" i="2" a="1"/>
  <c r="D296" i="2" s="1"/>
  <c r="E296" i="2" s="1"/>
  <c r="D297" i="2" a="1"/>
  <c r="D297" i="2" s="1"/>
  <c r="E297" i="2" s="1"/>
  <c r="D298" i="2" a="1"/>
  <c r="D298" i="2" s="1"/>
  <c r="E298" i="2" s="1"/>
  <c r="D299" i="2" a="1"/>
  <c r="D299" i="2" s="1"/>
  <c r="E299" i="2" s="1"/>
  <c r="D300" i="2" a="1"/>
  <c r="D300" i="2" s="1"/>
  <c r="E300" i="2" s="1"/>
  <c r="D301" i="2" a="1"/>
  <c r="D301" i="2" s="1"/>
  <c r="E301" i="2" s="1"/>
  <c r="D302" i="2" a="1"/>
  <c r="D302" i="2" s="1"/>
  <c r="E302" i="2" s="1"/>
  <c r="D303" i="2" a="1"/>
  <c r="D303" i="2" s="1"/>
  <c r="E303" i="2" s="1"/>
  <c r="D304" i="2" a="1"/>
  <c r="D304" i="2" s="1"/>
  <c r="E304" i="2" s="1"/>
  <c r="D305" i="2" a="1"/>
  <c r="D305" i="2" s="1"/>
  <c r="E305" i="2" s="1"/>
  <c r="D306" i="2" a="1"/>
  <c r="D306" i="2" s="1"/>
  <c r="E306" i="2" s="1"/>
  <c r="D307" i="2" a="1"/>
  <c r="D307" i="2"/>
  <c r="E307" i="2" s="1"/>
  <c r="D308" i="2" a="1"/>
  <c r="D308" i="2" s="1"/>
  <c r="E308" i="2" s="1"/>
  <c r="D309" i="2" a="1"/>
  <c r="D309" i="2" s="1"/>
  <c r="E309" i="2" s="1"/>
  <c r="D310" i="2" a="1"/>
  <c r="D310" i="2" s="1"/>
  <c r="E310" i="2" s="1"/>
  <c r="D311" i="2" a="1"/>
  <c r="D311" i="2" s="1"/>
  <c r="E311" i="2" s="1"/>
  <c r="D312" i="2" a="1"/>
  <c r="D312" i="2" s="1"/>
  <c r="E312" i="2" s="1"/>
  <c r="D313" i="2" a="1"/>
  <c r="D313" i="2" s="1"/>
  <c r="E313" i="2" s="1"/>
  <c r="D314" i="2" a="1"/>
  <c r="D314" i="2" s="1"/>
  <c r="E314" i="2" s="1"/>
  <c r="D315" i="2" a="1"/>
  <c r="D315" i="2" s="1"/>
  <c r="E315" i="2" s="1"/>
  <c r="D316" i="2" a="1"/>
  <c r="D316" i="2" s="1"/>
  <c r="E316" i="2" s="1"/>
  <c r="D317" i="2" a="1"/>
  <c r="D317" i="2" s="1"/>
  <c r="E317" i="2" s="1"/>
  <c r="D318" i="2" a="1"/>
  <c r="D318" i="2" s="1"/>
  <c r="E318" i="2" s="1"/>
  <c r="D319" i="2" a="1"/>
  <c r="D319" i="2" s="1"/>
  <c r="E319" i="2" s="1"/>
  <c r="D320" i="2" a="1"/>
  <c r="D320" i="2" s="1"/>
  <c r="E320" i="2" s="1"/>
  <c r="D321" i="2" a="1"/>
  <c r="D321" i="2" s="1"/>
  <c r="E321" i="2" s="1"/>
  <c r="D322" i="2" a="1"/>
  <c r="D322" i="2" s="1"/>
  <c r="E322" i="2" s="1"/>
  <c r="D323" i="2" a="1"/>
  <c r="D323" i="2" s="1"/>
  <c r="E323" i="2" s="1"/>
  <c r="D324" i="2" a="1"/>
  <c r="D324" i="2" s="1"/>
  <c r="E324" i="2" s="1"/>
  <c r="D325" i="2" a="1"/>
  <c r="D325" i="2" s="1"/>
  <c r="E325" i="2" s="1"/>
  <c r="D326" i="2" a="1"/>
  <c r="D326" i="2" s="1"/>
  <c r="E326" i="2" s="1"/>
  <c r="D327" i="2" a="1"/>
  <c r="D327" i="2" s="1"/>
  <c r="E327" i="2" s="1"/>
  <c r="D328" i="2" a="1"/>
  <c r="D328" i="2" s="1"/>
  <c r="E328" i="2" s="1"/>
  <c r="D329" i="2" a="1"/>
  <c r="D329" i="2" s="1"/>
  <c r="E329" i="2" s="1"/>
  <c r="D330" i="2" a="1"/>
  <c r="D330" i="2" s="1"/>
  <c r="E330" i="2" s="1"/>
  <c r="D331" i="2" a="1"/>
  <c r="D331" i="2" s="1"/>
  <c r="E331" i="2" s="1"/>
  <c r="D332" i="2" a="1"/>
  <c r="D332" i="2" s="1"/>
  <c r="E332" i="2" s="1"/>
  <c r="D333" i="2" a="1"/>
  <c r="D333" i="2" s="1"/>
  <c r="E333" i="2" s="1"/>
  <c r="D334" i="2" a="1"/>
  <c r="D334" i="2" s="1"/>
  <c r="E334" i="2" s="1"/>
  <c r="D335" i="2" a="1"/>
  <c r="D335" i="2" s="1"/>
  <c r="E335" i="2" s="1"/>
  <c r="D336" i="2" a="1"/>
  <c r="D336" i="2" s="1"/>
  <c r="E336" i="2" s="1"/>
  <c r="D337" i="2" a="1"/>
  <c r="D337" i="2" s="1"/>
  <c r="E337" i="2" s="1"/>
  <c r="D338" i="2" a="1"/>
  <c r="D338" i="2" s="1"/>
  <c r="E338" i="2" s="1"/>
  <c r="D339" i="2" a="1"/>
  <c r="D339" i="2" s="1"/>
  <c r="E339" i="2" s="1"/>
  <c r="D340" i="2" a="1"/>
  <c r="D340" i="2" s="1"/>
  <c r="E340" i="2" s="1"/>
  <c r="D341" i="2" a="1"/>
  <c r="D341" i="2" s="1"/>
  <c r="E341" i="2" s="1"/>
  <c r="D342" i="2" a="1"/>
  <c r="D342" i="2" s="1"/>
  <c r="E342" i="2" s="1"/>
  <c r="D343" i="2" a="1"/>
  <c r="D343" i="2" s="1"/>
  <c r="E343" i="2" s="1"/>
  <c r="D344" i="2" a="1"/>
  <c r="D344" i="2" s="1"/>
  <c r="E344" i="2" s="1"/>
  <c r="D345" i="2" a="1"/>
  <c r="D345" i="2" s="1"/>
  <c r="E345" i="2" s="1"/>
  <c r="D346" i="2" a="1"/>
  <c r="D346" i="2" s="1"/>
  <c r="E346" i="2" s="1"/>
  <c r="D347" i="2" a="1"/>
  <c r="D347" i="2" s="1"/>
  <c r="E347" i="2" s="1"/>
  <c r="D348" i="2" a="1"/>
  <c r="D348" i="2" s="1"/>
  <c r="E348" i="2" s="1"/>
  <c r="D349" i="2" a="1"/>
  <c r="D349" i="2" s="1"/>
  <c r="E349" i="2" s="1"/>
  <c r="D350" i="2" a="1"/>
  <c r="D350" i="2" s="1"/>
  <c r="E350" i="2" s="1"/>
  <c r="D351" i="2" a="1"/>
  <c r="D351" i="2"/>
  <c r="E351" i="2" s="1"/>
  <c r="D352" i="2" a="1"/>
  <c r="D352" i="2" s="1"/>
  <c r="E352" i="2" s="1"/>
  <c r="D353" i="2" a="1"/>
  <c r="D353" i="2" s="1"/>
  <c r="E353" i="2" s="1"/>
  <c r="D354" i="2" a="1"/>
  <c r="D354" i="2" s="1"/>
  <c r="E354" i="2" s="1"/>
  <c r="D355" i="2" a="1"/>
  <c r="D355" i="2" s="1"/>
  <c r="E355" i="2" s="1"/>
  <c r="D356" i="2" a="1"/>
  <c r="D356" i="2" s="1"/>
  <c r="E356" i="2" s="1"/>
  <c r="D357" i="2" a="1"/>
  <c r="D357" i="2" s="1"/>
  <c r="E357" i="2" s="1"/>
  <c r="D358" i="2" a="1"/>
  <c r="D358" i="2" s="1"/>
  <c r="E358" i="2" s="1"/>
  <c r="D359" i="2" a="1"/>
  <c r="D359" i="2" s="1"/>
  <c r="E359" i="2" s="1"/>
  <c r="D360" i="2" a="1"/>
  <c r="D360" i="2" s="1"/>
  <c r="E360" i="2" s="1"/>
  <c r="D361" i="2" a="1"/>
  <c r="D361" i="2" s="1"/>
  <c r="E361" i="2" s="1"/>
  <c r="D362" i="2" a="1"/>
  <c r="D362" i="2" s="1"/>
  <c r="E362" i="2" s="1"/>
  <c r="D363" i="2" a="1"/>
  <c r="D363" i="2" s="1"/>
  <c r="E363" i="2" s="1"/>
  <c r="D364" i="2" a="1"/>
  <c r="D364" i="2" s="1"/>
  <c r="E364" i="2" s="1"/>
  <c r="D365" i="2" a="1"/>
  <c r="D365" i="2" s="1"/>
  <c r="E365" i="2" s="1"/>
  <c r="D366" i="2" a="1"/>
  <c r="D366" i="2" s="1"/>
  <c r="E366" i="2" s="1"/>
  <c r="D367" i="2" a="1"/>
  <c r="D367" i="2" s="1"/>
  <c r="E367" i="2" s="1"/>
  <c r="D368" i="2" a="1"/>
  <c r="D368" i="2" s="1"/>
  <c r="E368" i="2" s="1"/>
  <c r="D369" i="2" a="1"/>
  <c r="D369" i="2" s="1"/>
  <c r="E369" i="2" s="1"/>
  <c r="D370" i="2" a="1"/>
  <c r="D370" i="2" s="1"/>
  <c r="E370" i="2" s="1"/>
  <c r="D371" i="2" a="1"/>
  <c r="D371" i="2" s="1"/>
  <c r="E371" i="2" s="1"/>
  <c r="D372" i="2" a="1"/>
  <c r="D372" i="2" s="1"/>
  <c r="E372" i="2" s="1"/>
  <c r="D373" i="2" a="1"/>
  <c r="D373" i="2" s="1"/>
  <c r="E373" i="2" s="1"/>
  <c r="D374" i="2" a="1"/>
  <c r="D374" i="2" s="1"/>
  <c r="E374" i="2" s="1"/>
  <c r="D375" i="2" a="1"/>
  <c r="D375" i="2" s="1"/>
  <c r="E375" i="2" s="1"/>
  <c r="D376" i="2" a="1"/>
  <c r="D376" i="2" s="1"/>
  <c r="E376" i="2" s="1"/>
  <c r="D377" i="2" a="1"/>
  <c r="D377" i="2" s="1"/>
  <c r="E377" i="2" s="1"/>
  <c r="D378" i="2" a="1"/>
  <c r="D378" i="2" s="1"/>
  <c r="E378" i="2" s="1"/>
  <c r="D379" i="2" a="1"/>
  <c r="D379" i="2" s="1"/>
  <c r="E379" i="2" s="1"/>
  <c r="D380" i="2" a="1"/>
  <c r="D380" i="2" s="1"/>
  <c r="E380" i="2" s="1"/>
  <c r="D381" i="2" a="1"/>
  <c r="D381" i="2" s="1"/>
  <c r="E381" i="2" s="1"/>
  <c r="D382" i="2" a="1"/>
  <c r="D382" i="2" s="1"/>
  <c r="E382" i="2" s="1"/>
  <c r="D383" i="2" a="1"/>
  <c r="D383" i="2" s="1"/>
  <c r="E383" i="2" s="1"/>
  <c r="D384" i="2" a="1"/>
  <c r="D384" i="2" s="1"/>
  <c r="E384" i="2" s="1"/>
  <c r="D385" i="2" a="1"/>
  <c r="D385" i="2" s="1"/>
  <c r="E385" i="2" s="1"/>
  <c r="D386" i="2" a="1"/>
  <c r="D386" i="2" s="1"/>
  <c r="E386" i="2" s="1"/>
  <c r="D387" i="2" a="1"/>
  <c r="D387" i="2" s="1"/>
  <c r="E387" i="2" s="1"/>
  <c r="D388" i="2" a="1"/>
  <c r="D388" i="2" s="1"/>
  <c r="E388" i="2" s="1"/>
  <c r="D389" i="2" a="1"/>
  <c r="D389" i="2" s="1"/>
  <c r="E389" i="2" s="1"/>
  <c r="D390" i="2" a="1"/>
  <c r="D390" i="2" s="1"/>
  <c r="E390" i="2" s="1"/>
  <c r="D391" i="2" a="1"/>
  <c r="D391" i="2" s="1"/>
  <c r="E391" i="2" s="1"/>
  <c r="D392" i="2" a="1"/>
  <c r="D392" i="2" s="1"/>
  <c r="E392" i="2" s="1"/>
  <c r="D393" i="2" a="1"/>
  <c r="D393" i="2" s="1"/>
  <c r="E393" i="2" s="1"/>
  <c r="D394" i="2" a="1"/>
  <c r="D394" i="2" s="1"/>
  <c r="E394" i="2" s="1"/>
  <c r="D395" i="2" a="1"/>
  <c r="D395" i="2" s="1"/>
  <c r="E395" i="2" s="1"/>
  <c r="D396" i="2" a="1"/>
  <c r="D396" i="2" s="1"/>
  <c r="E396" i="2" s="1"/>
  <c r="D397" i="2" a="1"/>
  <c r="D397" i="2" s="1"/>
  <c r="E397" i="2" s="1"/>
  <c r="D398" i="2" a="1"/>
  <c r="D398" i="2" s="1"/>
  <c r="E398" i="2" s="1"/>
  <c r="D399" i="2" a="1"/>
  <c r="D399" i="2" s="1"/>
  <c r="E399" i="2" s="1"/>
  <c r="D400" i="2" a="1"/>
  <c r="D400" i="2" s="1"/>
  <c r="E400" i="2" s="1"/>
  <c r="D401" i="2" a="1"/>
  <c r="D401" i="2" s="1"/>
  <c r="E401" i="2" s="1"/>
  <c r="D402" i="2" a="1"/>
  <c r="D402" i="2" s="1"/>
  <c r="E402" i="2" s="1"/>
  <c r="D403" i="2" a="1"/>
  <c r="D403" i="2" s="1"/>
  <c r="E403" i="2" s="1"/>
  <c r="D404" i="2" a="1"/>
  <c r="D404" i="2" s="1"/>
  <c r="E404" i="2" s="1"/>
  <c r="D405" i="2" a="1"/>
  <c r="D405" i="2" s="1"/>
  <c r="E405" i="2" s="1"/>
  <c r="D406" i="2" a="1"/>
  <c r="D406" i="2" s="1"/>
  <c r="E406" i="2" s="1"/>
  <c r="D407" i="2" a="1"/>
  <c r="D407" i="2" s="1"/>
  <c r="E407" i="2" s="1"/>
  <c r="D408" i="2" a="1"/>
  <c r="D408" i="2" s="1"/>
  <c r="E408" i="2" s="1"/>
  <c r="D409" i="2" a="1"/>
  <c r="D409" i="2" s="1"/>
  <c r="E409" i="2" s="1"/>
  <c r="D410" i="2" a="1"/>
  <c r="D410" i="2" s="1"/>
  <c r="E410" i="2" s="1"/>
  <c r="D411" i="2" a="1"/>
  <c r="D411" i="2"/>
  <c r="E411" i="2" s="1"/>
  <c r="D412" i="2" a="1"/>
  <c r="D412" i="2" s="1"/>
  <c r="E412" i="2" s="1"/>
  <c r="D413" i="2" a="1"/>
  <c r="D413" i="2" s="1"/>
  <c r="E413" i="2" s="1"/>
  <c r="D414" i="2" a="1"/>
  <c r="D414" i="2" s="1"/>
  <c r="E414" i="2" s="1"/>
  <c r="D415" i="2" a="1"/>
  <c r="D415" i="2" s="1"/>
  <c r="E415" i="2" s="1"/>
  <c r="D416" i="2" a="1"/>
  <c r="D416" i="2" s="1"/>
  <c r="E416" i="2" s="1"/>
  <c r="D417" i="2" a="1"/>
  <c r="D417" i="2" s="1"/>
  <c r="E417" i="2" s="1"/>
  <c r="D418" i="2" a="1"/>
  <c r="D418" i="2" s="1"/>
  <c r="E418" i="2" s="1"/>
  <c r="D419" i="2" a="1"/>
  <c r="D419" i="2" s="1"/>
  <c r="E419" i="2" s="1"/>
  <c r="D420" i="2" a="1"/>
  <c r="D420" i="2" s="1"/>
  <c r="E420" i="2" s="1"/>
  <c r="D421" i="2" a="1"/>
  <c r="D421" i="2" s="1"/>
  <c r="E421" i="2" s="1"/>
  <c r="D422" i="2" a="1"/>
  <c r="D422" i="2" s="1"/>
  <c r="E422" i="2" s="1"/>
  <c r="D423" i="2" a="1"/>
  <c r="D423" i="2" s="1"/>
  <c r="E423" i="2" s="1"/>
  <c r="D424" i="2" a="1"/>
  <c r="D424" i="2" s="1"/>
  <c r="E424" i="2" s="1"/>
  <c r="D425" i="2" a="1"/>
  <c r="D425" i="2" s="1"/>
  <c r="E425" i="2" s="1"/>
  <c r="D426" i="2" a="1"/>
  <c r="D426" i="2" s="1"/>
  <c r="E426" i="2" s="1"/>
  <c r="D427" i="2" a="1"/>
  <c r="D427" i="2" s="1"/>
  <c r="E427" i="2" s="1"/>
  <c r="D428" i="2" a="1"/>
  <c r="D428" i="2" s="1"/>
  <c r="E428" i="2" s="1"/>
  <c r="D429" i="2" a="1"/>
  <c r="D429" i="2" s="1"/>
  <c r="E429" i="2" s="1"/>
  <c r="D430" i="2" a="1"/>
  <c r="D430" i="2" s="1"/>
  <c r="E430" i="2" s="1"/>
  <c r="D431" i="2" a="1"/>
  <c r="D431" i="2" s="1"/>
  <c r="E431" i="2" s="1"/>
  <c r="D432" i="2" a="1"/>
  <c r="D432" i="2" s="1"/>
  <c r="E432" i="2" s="1"/>
  <c r="D433" i="2" a="1"/>
  <c r="D433" i="2" s="1"/>
  <c r="E433" i="2" s="1"/>
  <c r="D434" i="2" a="1"/>
  <c r="D434" i="2" s="1"/>
  <c r="E434" i="2" s="1"/>
  <c r="D435" i="2" a="1"/>
  <c r="D435" i="2" s="1"/>
  <c r="E435" i="2" s="1"/>
  <c r="D436" i="2" a="1"/>
  <c r="D436" i="2" s="1"/>
  <c r="E436" i="2" s="1"/>
  <c r="D437" i="2" a="1"/>
  <c r="D437" i="2" s="1"/>
  <c r="E437" i="2" s="1"/>
  <c r="D438" i="2" a="1"/>
  <c r="D438" i="2" s="1"/>
  <c r="E438" i="2" s="1"/>
  <c r="D439" i="2" a="1"/>
  <c r="D439" i="2" s="1"/>
  <c r="E439" i="2" s="1"/>
  <c r="D440" i="2" a="1"/>
  <c r="D440" i="2" s="1"/>
  <c r="E440" i="2" s="1"/>
  <c r="D441" i="2" a="1"/>
  <c r="D441" i="2" s="1"/>
  <c r="E441" i="2" s="1"/>
  <c r="D442" i="2" a="1"/>
  <c r="D442" i="2" s="1"/>
  <c r="E442" i="2" s="1"/>
  <c r="D443" i="2" a="1"/>
  <c r="D443" i="2" s="1"/>
  <c r="E443" i="2" s="1"/>
  <c r="D444" i="2" a="1"/>
  <c r="D444" i="2" s="1"/>
  <c r="E444" i="2" s="1"/>
  <c r="D445" i="2" a="1"/>
  <c r="D445" i="2" s="1"/>
  <c r="E445" i="2" s="1"/>
  <c r="D446" i="2" a="1"/>
  <c r="D446" i="2" s="1"/>
  <c r="E446" i="2" s="1"/>
  <c r="D447" i="2" a="1"/>
  <c r="D447" i="2" s="1"/>
  <c r="E447" i="2" s="1"/>
  <c r="D448" i="2" a="1"/>
  <c r="D448" i="2" s="1"/>
  <c r="E448" i="2" s="1"/>
  <c r="D449" i="2" a="1"/>
  <c r="D449" i="2" s="1"/>
  <c r="E449" i="2" s="1"/>
  <c r="D450" i="2" a="1"/>
  <c r="D450" i="2" s="1"/>
  <c r="E450" i="2" s="1"/>
  <c r="D451" i="2" a="1"/>
  <c r="D451" i="2" s="1"/>
  <c r="E451" i="2" s="1"/>
  <c r="D452" i="2" a="1"/>
  <c r="D452" i="2" s="1"/>
  <c r="E452" i="2" s="1"/>
  <c r="D453" i="2" a="1"/>
  <c r="D453" i="2" s="1"/>
  <c r="E453" i="2" s="1"/>
  <c r="D454" i="2" a="1"/>
  <c r="D454" i="2" s="1"/>
  <c r="E454" i="2" s="1"/>
  <c r="D455" i="2" a="1"/>
  <c r="D455" i="2" s="1"/>
  <c r="E455" i="2" s="1"/>
  <c r="D456" i="2" a="1"/>
  <c r="D456" i="2" s="1"/>
  <c r="E456" i="2" s="1"/>
  <c r="D457" i="2" a="1"/>
  <c r="D457" i="2" s="1"/>
  <c r="E457" i="2" s="1"/>
  <c r="D458" i="2" a="1"/>
  <c r="D458" i="2" s="1"/>
  <c r="E458" i="2" s="1"/>
  <c r="D459" i="2" a="1"/>
  <c r="D459" i="2" s="1"/>
  <c r="E459" i="2" s="1"/>
  <c r="D460" i="2" a="1"/>
  <c r="D460" i="2" s="1"/>
  <c r="E460" i="2" s="1"/>
  <c r="D461" i="2" a="1"/>
  <c r="D461" i="2" s="1"/>
  <c r="E461" i="2" s="1"/>
  <c r="D462" i="2" a="1"/>
  <c r="D462" i="2" s="1"/>
  <c r="E462" i="2" s="1"/>
  <c r="D463" i="2" a="1"/>
  <c r="D463" i="2" s="1"/>
  <c r="E463" i="2" s="1"/>
  <c r="D464" i="2" a="1"/>
  <c r="D464" i="2" s="1"/>
  <c r="E464" i="2" s="1"/>
  <c r="D465" i="2" a="1"/>
  <c r="D465" i="2" s="1"/>
  <c r="E465" i="2" s="1"/>
  <c r="D466" i="2" a="1"/>
  <c r="D466" i="2" s="1"/>
  <c r="E466" i="2" s="1"/>
  <c r="D467" i="2" a="1"/>
  <c r="D467" i="2" s="1"/>
  <c r="E467" i="2" s="1"/>
  <c r="D468" i="2" a="1"/>
  <c r="D468" i="2" s="1"/>
  <c r="E468" i="2" s="1"/>
  <c r="D469" i="2" a="1"/>
  <c r="D469" i="2" s="1"/>
  <c r="E469" i="2" s="1"/>
  <c r="D470" i="2" a="1"/>
  <c r="D470" i="2" s="1"/>
  <c r="E470" i="2" s="1"/>
  <c r="D471" i="2" a="1"/>
  <c r="D471" i="2" s="1"/>
  <c r="E471" i="2" s="1"/>
  <c r="D472" i="2" a="1"/>
  <c r="D472" i="2" s="1"/>
  <c r="E472" i="2" s="1"/>
  <c r="D473" i="2" a="1"/>
  <c r="D473" i="2" s="1"/>
  <c r="E473" i="2" s="1"/>
  <c r="D474" i="2" a="1"/>
  <c r="D474" i="2" s="1"/>
  <c r="E474" i="2" s="1"/>
  <c r="D475" i="2" a="1"/>
  <c r="D475" i="2" s="1"/>
  <c r="E475" i="2" s="1"/>
  <c r="D476" i="2" a="1"/>
  <c r="D476" i="2" s="1"/>
  <c r="E476" i="2" s="1"/>
  <c r="D477" i="2" a="1"/>
  <c r="D477" i="2" s="1"/>
  <c r="E477" i="2" s="1"/>
  <c r="D478" i="2" a="1"/>
  <c r="D478" i="2" s="1"/>
  <c r="E478" i="2" s="1"/>
  <c r="D479" i="2" a="1"/>
  <c r="D479" i="2" s="1"/>
  <c r="E479" i="2" s="1"/>
  <c r="D480" i="2" a="1"/>
  <c r="D480" i="2" s="1"/>
  <c r="E480" i="2" s="1"/>
  <c r="D481" i="2" a="1"/>
  <c r="D481" i="2" s="1"/>
  <c r="E481" i="2" s="1"/>
  <c r="D482" i="2" a="1"/>
  <c r="D482" i="2" s="1"/>
  <c r="E482" i="2" s="1"/>
  <c r="D483" i="2" a="1"/>
  <c r="D483" i="2" s="1"/>
  <c r="E483" i="2" s="1"/>
  <c r="D484" i="2" a="1"/>
  <c r="D484" i="2" s="1"/>
  <c r="E484" i="2" s="1"/>
  <c r="D485" i="2" a="1"/>
  <c r="D485" i="2" s="1"/>
  <c r="E485" i="2" s="1"/>
  <c r="D486" i="2" a="1"/>
  <c r="D486" i="2" s="1"/>
  <c r="E486" i="2" s="1"/>
  <c r="D487" i="2" a="1"/>
  <c r="D487" i="2" s="1"/>
  <c r="E487" i="2" s="1"/>
  <c r="D488" i="2" a="1"/>
  <c r="D488" i="2" s="1"/>
  <c r="E488" i="2" s="1"/>
  <c r="D489" i="2" a="1"/>
  <c r="D489" i="2" s="1"/>
  <c r="E489" i="2" s="1"/>
  <c r="D490" i="2" a="1"/>
  <c r="D490" i="2" s="1"/>
  <c r="E490" i="2" s="1"/>
  <c r="D491" i="2" a="1"/>
  <c r="D491" i="2" s="1"/>
  <c r="E491" i="2" s="1"/>
  <c r="D492" i="2" a="1"/>
  <c r="D492" i="2" s="1"/>
  <c r="E492" i="2" s="1"/>
  <c r="D493" i="2" a="1"/>
  <c r="D493" i="2" s="1"/>
  <c r="E493" i="2" s="1"/>
  <c r="D494" i="2" a="1"/>
  <c r="D494" i="2" s="1"/>
  <c r="E494" i="2" s="1"/>
  <c r="D495" i="2" a="1"/>
  <c r="D495" i="2" s="1"/>
  <c r="E495" i="2" s="1"/>
  <c r="D496" i="2" a="1"/>
  <c r="D496" i="2" s="1"/>
  <c r="E496" i="2" s="1"/>
  <c r="D497" i="2" a="1"/>
  <c r="D497" i="2" s="1"/>
  <c r="E497" i="2" s="1"/>
  <c r="D498" i="2" a="1"/>
  <c r="D498" i="2" s="1"/>
  <c r="E498" i="2" s="1"/>
  <c r="D499" i="2" a="1"/>
  <c r="D499" i="2" s="1"/>
  <c r="E499" i="2" s="1"/>
  <c r="D500" i="2" a="1"/>
  <c r="D500" i="2" s="1"/>
  <c r="E500" i="2" s="1"/>
  <c r="D501" i="2" a="1"/>
  <c r="D501" i="2" s="1"/>
  <c r="E501" i="2" s="1"/>
  <c r="D502" i="2" a="1"/>
  <c r="D502" i="2" s="1"/>
  <c r="E502" i="2" s="1"/>
  <c r="D503" i="2" a="1"/>
  <c r="D503" i="2" s="1"/>
  <c r="E503" i="2" s="1"/>
  <c r="D504" i="2" a="1"/>
  <c r="D504" i="2" s="1"/>
  <c r="E504" i="2" s="1"/>
  <c r="D505" i="2" a="1"/>
  <c r="D505" i="2" s="1"/>
  <c r="E505" i="2" s="1"/>
  <c r="D506" i="2" a="1"/>
  <c r="D506" i="2" s="1"/>
  <c r="E506" i="2" s="1"/>
  <c r="D507" i="2" a="1"/>
  <c r="D507" i="2" s="1"/>
  <c r="E507" i="2" s="1"/>
  <c r="D508" i="2" a="1"/>
  <c r="D508" i="2" s="1"/>
  <c r="E508" i="2" s="1"/>
  <c r="D509" i="2" a="1"/>
  <c r="D509" i="2" s="1"/>
  <c r="E509" i="2" s="1"/>
  <c r="D510" i="2" a="1"/>
  <c r="D510" i="2" s="1"/>
  <c r="E510" i="2" s="1"/>
  <c r="D511" i="2" a="1"/>
  <c r="D511" i="2" s="1"/>
  <c r="E511" i="2" s="1"/>
  <c r="D512" i="2" a="1"/>
  <c r="D512" i="2" s="1"/>
  <c r="E512" i="2" s="1"/>
  <c r="D513" i="2" a="1"/>
  <c r="D513" i="2" s="1"/>
  <c r="E513" i="2" s="1"/>
  <c r="D514" i="2" a="1"/>
  <c r="D514" i="2" s="1"/>
  <c r="E514" i="2" s="1"/>
  <c r="D515" i="2" a="1"/>
  <c r="D515" i="2" s="1"/>
  <c r="E515" i="2" s="1"/>
  <c r="D516" i="2" a="1"/>
  <c r="D516" i="2" s="1"/>
  <c r="E516" i="2" s="1"/>
  <c r="D517" i="2" a="1"/>
  <c r="D517" i="2" s="1"/>
  <c r="E517" i="2" s="1"/>
  <c r="D518" i="2" a="1"/>
  <c r="D518" i="2" s="1"/>
  <c r="E518" i="2" s="1"/>
  <c r="D519" i="2" a="1"/>
  <c r="D519" i="2" s="1"/>
  <c r="E519" i="2" s="1"/>
  <c r="D520" i="2" a="1"/>
  <c r="D520" i="2" s="1"/>
  <c r="E520" i="2" s="1"/>
  <c r="D521" i="2" a="1"/>
  <c r="D521" i="2" s="1"/>
  <c r="E521" i="2" s="1"/>
  <c r="D522" i="2" a="1"/>
  <c r="D522" i="2" s="1"/>
  <c r="E522" i="2" s="1"/>
  <c r="D523" i="2" a="1"/>
  <c r="D523" i="2" s="1"/>
  <c r="E523" i="2" s="1"/>
  <c r="D524" i="2" a="1"/>
  <c r="D524" i="2" s="1"/>
  <c r="E524" i="2" s="1"/>
  <c r="D525" i="2" a="1"/>
  <c r="D525" i="2" s="1"/>
  <c r="E525" i="2" s="1"/>
  <c r="D526" i="2" a="1"/>
  <c r="D526" i="2" s="1"/>
  <c r="E526" i="2" s="1"/>
  <c r="D527" i="2" a="1"/>
  <c r="D527" i="2" s="1"/>
  <c r="E527" i="2" s="1"/>
  <c r="D528" i="2" a="1"/>
  <c r="D528" i="2" s="1"/>
  <c r="E528" i="2" s="1"/>
  <c r="D529" i="2" a="1"/>
  <c r="D529" i="2" s="1"/>
  <c r="E529" i="2" s="1"/>
  <c r="D530" i="2" a="1"/>
  <c r="D530" i="2" s="1"/>
  <c r="E530" i="2" s="1"/>
  <c r="D531" i="2" a="1"/>
  <c r="D531" i="2" s="1"/>
  <c r="E531" i="2" s="1"/>
  <c r="D532" i="2" a="1"/>
  <c r="D532" i="2" s="1"/>
  <c r="E532" i="2" s="1"/>
  <c r="D533" i="2" a="1"/>
  <c r="D533" i="2" s="1"/>
  <c r="E533" i="2" s="1"/>
  <c r="D534" i="2" a="1"/>
  <c r="D534" i="2" s="1"/>
  <c r="E534" i="2" s="1"/>
  <c r="D535" i="2" a="1"/>
  <c r="D535" i="2" s="1"/>
  <c r="E535" i="2" s="1"/>
  <c r="D536" i="2" a="1"/>
  <c r="D536" i="2" s="1"/>
  <c r="E536" i="2" s="1"/>
  <c r="D537" i="2" a="1"/>
  <c r="D537" i="2" s="1"/>
  <c r="E537" i="2" s="1"/>
  <c r="D538" i="2" a="1"/>
  <c r="D538" i="2" s="1"/>
  <c r="E538" i="2" s="1"/>
  <c r="D539" i="2" a="1"/>
  <c r="D539" i="2" s="1"/>
  <c r="E539" i="2" s="1"/>
  <c r="D540" i="2" a="1"/>
  <c r="D540" i="2" s="1"/>
  <c r="E540" i="2" s="1"/>
  <c r="D541" i="2" a="1"/>
  <c r="D541" i="2" s="1"/>
  <c r="E541" i="2" s="1"/>
  <c r="D542" i="2" a="1"/>
  <c r="D542" i="2" s="1"/>
  <c r="E542" i="2" s="1"/>
  <c r="D543" i="2" a="1"/>
  <c r="D543" i="2" s="1"/>
  <c r="E543" i="2" s="1"/>
  <c r="D544" i="2" a="1"/>
  <c r="D544" i="2" s="1"/>
  <c r="E544" i="2" s="1"/>
  <c r="D545" i="2" a="1"/>
  <c r="D545" i="2" s="1"/>
  <c r="E545" i="2" s="1"/>
  <c r="D546" i="2" a="1"/>
  <c r="D546" i="2" s="1"/>
  <c r="E546" i="2" s="1"/>
  <c r="D547" i="2" a="1"/>
  <c r="D547" i="2" s="1"/>
  <c r="E547" i="2" s="1"/>
  <c r="D548" i="2" a="1"/>
  <c r="D548" i="2" s="1"/>
  <c r="E548" i="2" s="1"/>
  <c r="D549" i="2" a="1"/>
  <c r="D549" i="2" s="1"/>
  <c r="E549" i="2" s="1"/>
  <c r="D550" i="2" a="1"/>
  <c r="D550" i="2" s="1"/>
  <c r="E550" i="2" s="1"/>
  <c r="D551" i="2" a="1"/>
  <c r="D551" i="2" s="1"/>
  <c r="E551" i="2" s="1"/>
  <c r="D552" i="2" a="1"/>
  <c r="D552" i="2" s="1"/>
  <c r="E552" i="2" s="1"/>
  <c r="D553" i="2" a="1"/>
  <c r="D553" i="2" s="1"/>
  <c r="E553" i="2" s="1"/>
  <c r="D554" i="2" a="1"/>
  <c r="D554" i="2" s="1"/>
  <c r="E554" i="2" s="1"/>
  <c r="D555" i="2" a="1"/>
  <c r="D555" i="2" s="1"/>
  <c r="E555" i="2" s="1"/>
  <c r="D556" i="2" a="1"/>
  <c r="D556" i="2" s="1"/>
  <c r="E556" i="2" s="1"/>
  <c r="D557" i="2" a="1"/>
  <c r="D557" i="2" s="1"/>
  <c r="E557" i="2" s="1"/>
  <c r="D558" i="2" a="1"/>
  <c r="D558" i="2" s="1"/>
  <c r="E558" i="2" s="1"/>
  <c r="D559" i="2" a="1"/>
  <c r="D559" i="2" s="1"/>
  <c r="E559" i="2" s="1"/>
  <c r="D560" i="2" a="1"/>
  <c r="D560" i="2" s="1"/>
  <c r="E560" i="2" s="1"/>
  <c r="D561" i="2" a="1"/>
  <c r="D561" i="2" s="1"/>
  <c r="E561" i="2" s="1"/>
  <c r="D562" i="2" a="1"/>
  <c r="D562" i="2" s="1"/>
  <c r="E562" i="2" s="1"/>
  <c r="D563" i="2" a="1"/>
  <c r="D563" i="2" s="1"/>
  <c r="E563" i="2" s="1"/>
  <c r="D564" i="2" a="1"/>
  <c r="D564" i="2" s="1"/>
  <c r="E564" i="2" s="1"/>
  <c r="D565" i="2" a="1"/>
  <c r="D565" i="2" s="1"/>
  <c r="E565" i="2" s="1"/>
  <c r="D566" i="2" a="1"/>
  <c r="D566" i="2" s="1"/>
  <c r="E566" i="2" s="1"/>
  <c r="D567" i="2" a="1"/>
  <c r="D567" i="2" s="1"/>
  <c r="E567" i="2" s="1"/>
  <c r="D568" i="2" a="1"/>
  <c r="D568" i="2" s="1"/>
  <c r="E568" i="2" s="1"/>
  <c r="D569" i="2" a="1"/>
  <c r="D569" i="2" s="1"/>
  <c r="E569" i="2" s="1"/>
  <c r="D570" i="2" a="1"/>
  <c r="D570" i="2" s="1"/>
  <c r="E570" i="2" s="1"/>
  <c r="D571" i="2" a="1"/>
  <c r="D571" i="2" s="1"/>
  <c r="E571" i="2" s="1"/>
  <c r="D572" i="2" a="1"/>
  <c r="D572" i="2" s="1"/>
  <c r="E572" i="2" s="1"/>
  <c r="D573" i="2" a="1"/>
  <c r="D573" i="2" s="1"/>
  <c r="E573" i="2" s="1"/>
  <c r="D574" i="2" a="1"/>
  <c r="D574" i="2" s="1"/>
  <c r="E574" i="2" s="1"/>
  <c r="D575" i="2" a="1"/>
  <c r="D575" i="2" s="1"/>
  <c r="E575" i="2" s="1"/>
  <c r="D576" i="2" a="1"/>
  <c r="D576" i="2" s="1"/>
  <c r="E576" i="2" s="1"/>
  <c r="D577" i="2" a="1"/>
  <c r="D577" i="2" s="1"/>
  <c r="E577" i="2" s="1"/>
  <c r="D578" i="2" a="1"/>
  <c r="D578" i="2" s="1"/>
  <c r="E578" i="2" s="1"/>
  <c r="D579" i="2" a="1"/>
  <c r="D579" i="2" s="1"/>
  <c r="E579" i="2" s="1"/>
  <c r="D580" i="2" a="1"/>
  <c r="D580" i="2" s="1"/>
  <c r="E580" i="2" s="1"/>
  <c r="D581" i="2" a="1"/>
  <c r="D581" i="2" s="1"/>
  <c r="E581" i="2" s="1"/>
  <c r="D582" i="2" a="1"/>
  <c r="D582" i="2"/>
  <c r="E582" i="2" s="1"/>
  <c r="D583" i="2" a="1"/>
  <c r="D583" i="2" s="1"/>
  <c r="E583" i="2" s="1"/>
  <c r="D584" i="2" a="1"/>
  <c r="D584" i="2" s="1"/>
  <c r="E584" i="2" s="1"/>
  <c r="D585" i="2" a="1"/>
  <c r="D585" i="2" s="1"/>
  <c r="E585" i="2" s="1"/>
  <c r="D586" i="2" a="1"/>
  <c r="D586" i="2" s="1"/>
  <c r="E586" i="2" s="1"/>
  <c r="D587" i="2" a="1"/>
  <c r="D587" i="2" s="1"/>
  <c r="E587" i="2" s="1"/>
  <c r="D588" i="2" a="1"/>
  <c r="D588" i="2" s="1"/>
  <c r="E588" i="2" s="1"/>
  <c r="D589" i="2" a="1"/>
  <c r="D589" i="2" s="1"/>
  <c r="E589" i="2" s="1"/>
  <c r="D590" i="2" a="1"/>
  <c r="D590" i="2" s="1"/>
  <c r="E590" i="2" s="1"/>
  <c r="D591" i="2" a="1"/>
  <c r="D591" i="2" s="1"/>
  <c r="E591" i="2" s="1"/>
  <c r="D592" i="2" a="1"/>
  <c r="D592" i="2" s="1"/>
  <c r="E592" i="2" s="1"/>
  <c r="D593" i="2" a="1"/>
  <c r="D593" i="2" s="1"/>
  <c r="E593" i="2" s="1"/>
  <c r="D594" i="2" a="1"/>
  <c r="D594" i="2" s="1"/>
  <c r="E594" i="2" s="1"/>
  <c r="D595" i="2" a="1"/>
  <c r="D595" i="2" s="1"/>
  <c r="E595" i="2" s="1"/>
  <c r="D596" i="2" a="1"/>
  <c r="D596" i="2" s="1"/>
  <c r="E596" i="2" s="1"/>
  <c r="D597" i="2" a="1"/>
  <c r="D597" i="2" s="1"/>
  <c r="E597" i="2" s="1"/>
  <c r="D598" i="2" a="1"/>
  <c r="D598" i="2" s="1"/>
  <c r="E598" i="2" s="1"/>
  <c r="D599" i="2" a="1"/>
  <c r="D599" i="2" s="1"/>
  <c r="E599" i="2" s="1"/>
  <c r="D600" i="2" a="1"/>
  <c r="D600" i="2" s="1"/>
  <c r="E600" i="2" s="1"/>
  <c r="D601" i="2" a="1"/>
  <c r="D601" i="2" s="1"/>
  <c r="E601" i="2" s="1"/>
  <c r="D602" i="2" a="1"/>
  <c r="D602" i="2" s="1"/>
  <c r="E602" i="2" s="1"/>
  <c r="D603" i="2" a="1"/>
  <c r="D603" i="2" s="1"/>
  <c r="E603" i="2" s="1"/>
  <c r="D604" i="2" a="1"/>
  <c r="D604" i="2" s="1"/>
  <c r="E604" i="2" s="1"/>
  <c r="D605" i="2" a="1"/>
  <c r="D605" i="2" s="1"/>
  <c r="E605" i="2" s="1"/>
  <c r="D606" i="2" a="1"/>
  <c r="D606" i="2" s="1"/>
  <c r="E606" i="2" s="1"/>
  <c r="D607" i="2" a="1"/>
  <c r="D607" i="2" s="1"/>
  <c r="E607" i="2" s="1"/>
  <c r="D608" i="2" a="1"/>
  <c r="D608" i="2" s="1"/>
  <c r="E608" i="2" s="1"/>
  <c r="D609" i="2" a="1"/>
  <c r="D609" i="2" s="1"/>
  <c r="E609" i="2" s="1"/>
  <c r="D610" i="2" a="1"/>
  <c r="D610" i="2" s="1"/>
  <c r="E610" i="2" s="1"/>
  <c r="D611" i="2" a="1"/>
  <c r="D611" i="2" s="1"/>
  <c r="E611" i="2" s="1"/>
  <c r="D612" i="2" a="1"/>
  <c r="D612" i="2"/>
  <c r="E612" i="2" s="1"/>
  <c r="D613" i="2" a="1"/>
  <c r="D613" i="2" s="1"/>
  <c r="E613" i="2" s="1"/>
  <c r="D614" i="2" a="1"/>
  <c r="D614" i="2" s="1"/>
  <c r="E614" i="2" s="1"/>
  <c r="D615" i="2" a="1"/>
  <c r="D615" i="2" s="1"/>
  <c r="E615" i="2" s="1"/>
  <c r="D616" i="2" a="1"/>
  <c r="D616" i="2" s="1"/>
  <c r="E616" i="2" s="1"/>
  <c r="D617" i="2" a="1"/>
  <c r="D617" i="2" s="1"/>
  <c r="E617" i="2" s="1"/>
  <c r="D618" i="2" a="1"/>
  <c r="D618" i="2" s="1"/>
  <c r="E618" i="2" s="1"/>
  <c r="D619" i="2" a="1"/>
  <c r="D619" i="2" s="1"/>
  <c r="E619" i="2" s="1"/>
  <c r="D620" i="2" a="1"/>
  <c r="D620" i="2" s="1"/>
  <c r="E620" i="2" s="1"/>
  <c r="D621" i="2" a="1"/>
  <c r="D621" i="2" s="1"/>
  <c r="E621" i="2" s="1"/>
  <c r="D622" i="2" a="1"/>
  <c r="D622" i="2" s="1"/>
  <c r="E622" i="2" s="1"/>
  <c r="D623" i="2" a="1"/>
  <c r="D623" i="2" s="1"/>
  <c r="E623" i="2" s="1"/>
  <c r="D624" i="2" a="1"/>
  <c r="D624" i="2" s="1"/>
  <c r="E624" i="2" s="1"/>
  <c r="D625" i="2" a="1"/>
  <c r="D625" i="2" s="1"/>
  <c r="E625" i="2" s="1"/>
  <c r="D626" i="2" a="1"/>
  <c r="D626" i="2" s="1"/>
  <c r="E626" i="2" s="1"/>
  <c r="D627" i="2" a="1"/>
  <c r="D627" i="2" s="1"/>
  <c r="E627" i="2" s="1"/>
  <c r="D628" i="2" a="1"/>
  <c r="D628" i="2" s="1"/>
  <c r="E628" i="2" s="1"/>
  <c r="D629" i="2" a="1"/>
  <c r="D629" i="2" s="1"/>
  <c r="E629" i="2" s="1"/>
  <c r="D630" i="2" a="1"/>
  <c r="D630" i="2" s="1"/>
  <c r="E630" i="2" s="1"/>
  <c r="D631" i="2" a="1"/>
  <c r="D631" i="2" s="1"/>
  <c r="E631" i="2" s="1"/>
  <c r="D632" i="2" a="1"/>
  <c r="D632" i="2" s="1"/>
  <c r="E632" i="2" s="1"/>
  <c r="D633" i="2" a="1"/>
  <c r="D633" i="2" s="1"/>
  <c r="E633" i="2" s="1"/>
  <c r="D634" i="2" a="1"/>
  <c r="D634" i="2" s="1"/>
  <c r="E634" i="2" s="1"/>
  <c r="D635" i="2" a="1"/>
  <c r="D635" i="2" s="1"/>
  <c r="E635" i="2" s="1"/>
  <c r="D636" i="2" a="1"/>
  <c r="D636" i="2" s="1"/>
  <c r="E636" i="2" s="1"/>
  <c r="D637" i="2" a="1"/>
  <c r="D637" i="2" s="1"/>
  <c r="E637" i="2" s="1"/>
  <c r="D638" i="2" a="1"/>
  <c r="D638" i="2" s="1"/>
  <c r="E638" i="2" s="1"/>
  <c r="D639" i="2" a="1"/>
  <c r="D639" i="2" s="1"/>
  <c r="E639" i="2" s="1"/>
  <c r="D640" i="2" a="1"/>
  <c r="D640" i="2" s="1"/>
  <c r="E640" i="2" s="1"/>
  <c r="D641" i="2" a="1"/>
  <c r="D641" i="2" s="1"/>
  <c r="E641" i="2" s="1"/>
  <c r="D642" i="2" a="1"/>
  <c r="D642" i="2" s="1"/>
  <c r="E642" i="2" s="1"/>
  <c r="D643" i="2" a="1"/>
  <c r="D643" i="2" s="1"/>
  <c r="E643" i="2" s="1"/>
  <c r="D644" i="2" a="1"/>
  <c r="D644" i="2" s="1"/>
  <c r="E644" i="2" s="1"/>
  <c r="D645" i="2" a="1"/>
  <c r="D645" i="2" s="1"/>
  <c r="E645" i="2" s="1"/>
  <c r="D646" i="2" a="1"/>
  <c r="D646" i="2" s="1"/>
  <c r="E646" i="2" s="1"/>
  <c r="D647" i="2" a="1"/>
  <c r="D647" i="2" s="1"/>
  <c r="E647" i="2" s="1"/>
  <c r="D648" i="2" a="1"/>
  <c r="D648" i="2"/>
  <c r="E648" i="2" s="1"/>
  <c r="D649" i="2" a="1"/>
  <c r="D649" i="2" s="1"/>
  <c r="E649" i="2" s="1"/>
  <c r="D650" i="2" a="1"/>
  <c r="D650" i="2" s="1"/>
  <c r="E650" i="2" s="1"/>
  <c r="D651" i="2" a="1"/>
  <c r="D651" i="2" s="1"/>
  <c r="E651" i="2" s="1"/>
  <c r="D652" i="2" a="1"/>
  <c r="D652" i="2" s="1"/>
  <c r="E652" i="2" s="1"/>
  <c r="D653" i="2" a="1"/>
  <c r="D653" i="2" s="1"/>
  <c r="E653" i="2" s="1"/>
  <c r="D654" i="2" a="1"/>
  <c r="D654" i="2" s="1"/>
  <c r="E654" i="2" s="1"/>
  <c r="D655" i="2" a="1"/>
  <c r="D655" i="2" s="1"/>
  <c r="E655" i="2" s="1"/>
  <c r="D656" i="2" a="1"/>
  <c r="D656" i="2" s="1"/>
  <c r="E656" i="2" s="1"/>
  <c r="D657" i="2" a="1"/>
  <c r="D657" i="2" s="1"/>
  <c r="E657" i="2" s="1"/>
  <c r="D658" i="2" a="1"/>
  <c r="D658" i="2" s="1"/>
  <c r="E658" i="2" s="1"/>
  <c r="D659" i="2" a="1"/>
  <c r="D659" i="2" s="1"/>
  <c r="E659" i="2" s="1"/>
  <c r="D660" i="2" a="1"/>
  <c r="D660" i="2" s="1"/>
  <c r="E660" i="2" s="1"/>
  <c r="D661" i="2" a="1"/>
  <c r="D661" i="2" s="1"/>
  <c r="E661" i="2" s="1"/>
  <c r="D662" i="2" a="1"/>
  <c r="D662" i="2" s="1"/>
  <c r="E662" i="2" s="1"/>
  <c r="D663" i="2" a="1"/>
  <c r="D663" i="2" s="1"/>
  <c r="E663" i="2" s="1"/>
  <c r="D664" i="2" a="1"/>
  <c r="D664" i="2" s="1"/>
  <c r="E664" i="2" s="1"/>
  <c r="D665" i="2" a="1"/>
  <c r="D665" i="2" s="1"/>
  <c r="E665" i="2" s="1"/>
  <c r="D666" i="2" a="1"/>
  <c r="D666" i="2" s="1"/>
  <c r="E666" i="2" s="1"/>
  <c r="D667" i="2" a="1"/>
  <c r="D667" i="2" s="1"/>
  <c r="E667" i="2" s="1"/>
  <c r="D668" i="2" a="1"/>
  <c r="D668" i="2" s="1"/>
  <c r="E668" i="2" s="1"/>
  <c r="D669" i="2" a="1"/>
  <c r="D669" i="2" s="1"/>
  <c r="E669" i="2" s="1"/>
  <c r="D670" i="2" a="1"/>
  <c r="D670" i="2" s="1"/>
  <c r="E670" i="2" s="1"/>
  <c r="D671" i="2" a="1"/>
  <c r="D671" i="2" s="1"/>
  <c r="E671" i="2" s="1"/>
  <c r="D672" i="2" a="1"/>
  <c r="D672" i="2" s="1"/>
  <c r="E672" i="2" s="1"/>
  <c r="D673" i="2" a="1"/>
  <c r="D673" i="2" s="1"/>
  <c r="E673" i="2" s="1"/>
  <c r="D674" i="2" a="1"/>
  <c r="D674" i="2" s="1"/>
  <c r="E674" i="2" s="1"/>
  <c r="D675" i="2" a="1"/>
  <c r="D675" i="2" s="1"/>
  <c r="E675" i="2" s="1"/>
  <c r="D676" i="2" a="1"/>
  <c r="D676" i="2" s="1"/>
  <c r="E676" i="2" s="1"/>
  <c r="D677" i="2" a="1"/>
  <c r="D677" i="2" s="1"/>
  <c r="E677" i="2" s="1"/>
  <c r="D678" i="2" a="1"/>
  <c r="D678" i="2" s="1"/>
  <c r="E678" i="2" s="1"/>
  <c r="D679" i="2" a="1"/>
  <c r="D679" i="2" s="1"/>
  <c r="E679" i="2" s="1"/>
  <c r="D680" i="2" a="1"/>
  <c r="D680" i="2" s="1"/>
  <c r="E680" i="2" s="1"/>
  <c r="D681" i="2" a="1"/>
  <c r="D681" i="2" s="1"/>
  <c r="E681" i="2" s="1"/>
  <c r="D682" i="2" a="1"/>
  <c r="D682" i="2" s="1"/>
  <c r="E682" i="2" s="1"/>
  <c r="D683" i="2" a="1"/>
  <c r="D683" i="2" s="1"/>
  <c r="E683" i="2" s="1"/>
  <c r="D684" i="2" a="1"/>
  <c r="D684" i="2" s="1"/>
  <c r="E684" i="2" s="1"/>
  <c r="D685" i="2" a="1"/>
  <c r="D685" i="2" s="1"/>
  <c r="E685" i="2" s="1"/>
  <c r="D686" i="2" a="1"/>
  <c r="D686" i="2" s="1"/>
  <c r="E686" i="2" s="1"/>
  <c r="D687" i="2" a="1"/>
  <c r="D687" i="2" s="1"/>
  <c r="E687" i="2" s="1"/>
  <c r="D688" i="2" a="1"/>
  <c r="D688" i="2" s="1"/>
  <c r="E688" i="2" s="1"/>
  <c r="D689" i="2" a="1"/>
  <c r="D689" i="2" s="1"/>
  <c r="E689" i="2" s="1"/>
  <c r="D690" i="2" a="1"/>
  <c r="D690" i="2" s="1"/>
  <c r="E690" i="2" s="1"/>
  <c r="D691" i="2" a="1"/>
  <c r="D691" i="2" s="1"/>
  <c r="E691" i="2" s="1"/>
  <c r="D692" i="2" a="1"/>
  <c r="D692" i="2" s="1"/>
  <c r="E692" i="2" s="1"/>
  <c r="D693" i="2" a="1"/>
  <c r="D693" i="2" s="1"/>
  <c r="E693" i="2" s="1"/>
  <c r="D694" i="2" a="1"/>
  <c r="D694" i="2" s="1"/>
  <c r="E694" i="2" s="1"/>
  <c r="D695" i="2" a="1"/>
  <c r="D695" i="2" s="1"/>
  <c r="E695" i="2" s="1"/>
  <c r="D696" i="2" a="1"/>
  <c r="D696" i="2" s="1"/>
  <c r="E696" i="2" s="1"/>
  <c r="D697" i="2" a="1"/>
  <c r="D697" i="2" s="1"/>
  <c r="E697" i="2" s="1"/>
  <c r="D698" i="2" a="1"/>
  <c r="D698" i="2" s="1"/>
  <c r="E698" i="2" s="1"/>
  <c r="D699" i="2" a="1"/>
  <c r="D699" i="2" s="1"/>
  <c r="E699" i="2" s="1"/>
  <c r="D700" i="2" a="1"/>
  <c r="D700" i="2" s="1"/>
  <c r="E700" i="2" s="1"/>
  <c r="D701" i="2" a="1"/>
  <c r="D701" i="2" s="1"/>
  <c r="E701" i="2" s="1"/>
  <c r="D702" i="2" a="1"/>
  <c r="D702" i="2" s="1"/>
  <c r="E702" i="2" s="1"/>
  <c r="D703" i="2" a="1"/>
  <c r="D703" i="2" s="1"/>
  <c r="E703" i="2" s="1"/>
  <c r="D704" i="2" a="1"/>
  <c r="D704" i="2" s="1"/>
  <c r="E704" i="2" s="1"/>
  <c r="D705" i="2" a="1"/>
  <c r="D705" i="2" s="1"/>
  <c r="E705" i="2" s="1"/>
  <c r="D706" i="2" a="1"/>
  <c r="D706" i="2" s="1"/>
  <c r="E706" i="2" s="1"/>
  <c r="D707" i="2" a="1"/>
  <c r="D707" i="2" s="1"/>
  <c r="E707" i="2" s="1"/>
  <c r="D708" i="2" a="1"/>
  <c r="D708" i="2" s="1"/>
  <c r="E708" i="2" s="1"/>
  <c r="D709" i="2" a="1"/>
  <c r="D709" i="2" s="1"/>
  <c r="E709" i="2" s="1"/>
  <c r="D710" i="2" a="1"/>
  <c r="D710" i="2" s="1"/>
  <c r="E710" i="2" s="1"/>
  <c r="D711" i="2" a="1"/>
  <c r="D711" i="2" s="1"/>
  <c r="E711" i="2" s="1"/>
  <c r="D712" i="2" a="1"/>
  <c r="D712" i="2" s="1"/>
  <c r="E712" i="2" s="1"/>
  <c r="D713" i="2" a="1"/>
  <c r="D713" i="2" s="1"/>
  <c r="E713" i="2" s="1"/>
  <c r="D714" i="2" a="1"/>
  <c r="D714" i="2" s="1"/>
  <c r="E714" i="2" s="1"/>
  <c r="D715" i="2" a="1"/>
  <c r="D715" i="2" s="1"/>
  <c r="E715" i="2" s="1"/>
  <c r="D716" i="2" a="1"/>
  <c r="D716" i="2" s="1"/>
  <c r="E716" i="2" s="1"/>
  <c r="D717" i="2" a="1"/>
  <c r="D717" i="2" s="1"/>
  <c r="E717" i="2" s="1"/>
  <c r="D718" i="2" a="1"/>
  <c r="D718" i="2" s="1"/>
  <c r="E718" i="2" s="1"/>
  <c r="D719" i="2" a="1"/>
  <c r="D719" i="2" s="1"/>
  <c r="E719" i="2" s="1"/>
  <c r="D720" i="2" a="1"/>
  <c r="D720" i="2" s="1"/>
  <c r="E720" i="2" s="1"/>
  <c r="D721" i="2" a="1"/>
  <c r="D721" i="2" s="1"/>
  <c r="E721" i="2" s="1"/>
  <c r="D722" i="2" a="1"/>
  <c r="D722" i="2" s="1"/>
  <c r="E722" i="2" s="1"/>
  <c r="D723" i="2" a="1"/>
  <c r="D723" i="2" s="1"/>
  <c r="E723" i="2" s="1"/>
  <c r="D724" i="2" a="1"/>
  <c r="D724" i="2" s="1"/>
  <c r="E724" i="2" s="1"/>
  <c r="D725" i="2" a="1"/>
  <c r="D725" i="2" s="1"/>
  <c r="E725" i="2" s="1"/>
  <c r="D726" i="2" a="1"/>
  <c r="D726" i="2" s="1"/>
  <c r="E726" i="2" s="1"/>
  <c r="D727" i="2" a="1"/>
  <c r="D727" i="2" s="1"/>
  <c r="E727" i="2" s="1"/>
  <c r="D728" i="2" a="1"/>
  <c r="D728" i="2" s="1"/>
  <c r="E728" i="2" s="1"/>
  <c r="D729" i="2" a="1"/>
  <c r="D729" i="2" s="1"/>
  <c r="E729" i="2" s="1"/>
  <c r="D730" i="2" a="1"/>
  <c r="D730" i="2" s="1"/>
  <c r="E730" i="2" s="1"/>
  <c r="D731" i="2" a="1"/>
  <c r="D731" i="2" s="1"/>
  <c r="E731" i="2" s="1"/>
  <c r="D732" i="2" a="1"/>
  <c r="D732" i="2" s="1"/>
  <c r="E732" i="2" s="1"/>
  <c r="D733" i="2" a="1"/>
  <c r="D733" i="2" s="1"/>
  <c r="E733" i="2" s="1"/>
  <c r="D734" i="2" a="1"/>
  <c r="D734" i="2" s="1"/>
  <c r="E734" i="2" s="1"/>
  <c r="D735" i="2" a="1"/>
  <c r="D735" i="2" s="1"/>
  <c r="E735" i="2" s="1"/>
  <c r="D736" i="2" a="1"/>
  <c r="D736" i="2" s="1"/>
  <c r="E736" i="2" s="1"/>
  <c r="D737" i="2" a="1"/>
  <c r="D737" i="2" s="1"/>
  <c r="E737" i="2" s="1"/>
  <c r="D738" i="2" a="1"/>
  <c r="D738" i="2" s="1"/>
  <c r="E738" i="2" s="1"/>
  <c r="D739" i="2" a="1"/>
  <c r="D739" i="2" s="1"/>
  <c r="E739" i="2" s="1"/>
  <c r="D740" i="2" a="1"/>
  <c r="D740" i="2" s="1"/>
  <c r="E740" i="2" s="1"/>
  <c r="D741" i="2" a="1"/>
  <c r="D741" i="2" s="1"/>
  <c r="E741" i="2" s="1"/>
  <c r="D742" i="2" a="1"/>
  <c r="D742" i="2" s="1"/>
  <c r="E742" i="2" s="1"/>
  <c r="D743" i="2" a="1"/>
  <c r="D743" i="2" s="1"/>
  <c r="E743" i="2" s="1"/>
  <c r="D744" i="2" a="1"/>
  <c r="D744" i="2" s="1"/>
  <c r="E744" i="2" s="1"/>
  <c r="D745" i="2" a="1"/>
  <c r="D745" i="2" s="1"/>
  <c r="E745" i="2" s="1"/>
  <c r="D746" i="2" a="1"/>
  <c r="D746" i="2" s="1"/>
  <c r="E746" i="2" s="1"/>
  <c r="D747" i="2" a="1"/>
  <c r="D747" i="2" s="1"/>
  <c r="E747" i="2" s="1"/>
  <c r="D748" i="2" a="1"/>
  <c r="D748" i="2" s="1"/>
  <c r="E748" i="2" s="1"/>
  <c r="D749" i="2" a="1"/>
  <c r="D749" i="2" s="1"/>
  <c r="E749" i="2" s="1"/>
  <c r="D750" i="2" a="1"/>
  <c r="D750" i="2" s="1"/>
  <c r="E750" i="2" s="1"/>
  <c r="D751" i="2" a="1"/>
  <c r="D751" i="2" s="1"/>
  <c r="E751" i="2" s="1"/>
  <c r="D752" i="2" a="1"/>
  <c r="D752" i="2" s="1"/>
  <c r="E752" i="2" s="1"/>
  <c r="D753" i="2" a="1"/>
  <c r="D753" i="2" s="1"/>
  <c r="E753" i="2" s="1"/>
  <c r="D754" i="2" a="1"/>
  <c r="D754" i="2" s="1"/>
  <c r="E754" i="2" s="1"/>
  <c r="D755" i="2" a="1"/>
  <c r="D755" i="2" s="1"/>
  <c r="E755" i="2" s="1"/>
  <c r="D756" i="2" a="1"/>
  <c r="D756" i="2" s="1"/>
  <c r="E756" i="2" s="1"/>
  <c r="D757" i="2" a="1"/>
  <c r="D757" i="2" s="1"/>
  <c r="E757" i="2" s="1"/>
  <c r="D758" i="2" a="1"/>
  <c r="D758" i="2" s="1"/>
  <c r="E758" i="2" s="1"/>
  <c r="D759" i="2" a="1"/>
  <c r="D759" i="2" s="1"/>
  <c r="E759" i="2" s="1"/>
  <c r="D760" i="2" a="1"/>
  <c r="D760" i="2"/>
  <c r="E760" i="2" s="1"/>
  <c r="D761" i="2" a="1"/>
  <c r="D761" i="2" s="1"/>
  <c r="E761" i="2" s="1"/>
  <c r="D762" i="2" a="1"/>
  <c r="D762" i="2" s="1"/>
  <c r="E762" i="2" s="1"/>
  <c r="D763" i="2" a="1"/>
  <c r="D763" i="2" s="1"/>
  <c r="E763" i="2" s="1"/>
  <c r="D764" i="2" a="1"/>
  <c r="D764" i="2" s="1"/>
  <c r="E764" i="2" s="1"/>
  <c r="D765" i="2" a="1"/>
  <c r="D765" i="2" s="1"/>
  <c r="E765" i="2" s="1"/>
  <c r="D766" i="2" a="1"/>
  <c r="D766" i="2" s="1"/>
  <c r="E766" i="2" s="1"/>
  <c r="D767" i="2" a="1"/>
  <c r="D767" i="2"/>
  <c r="E767" i="2" s="1"/>
  <c r="D768" i="2" a="1"/>
  <c r="D768" i="2" s="1"/>
  <c r="E768" i="2" s="1"/>
  <c r="D769" i="2" a="1"/>
  <c r="D769" i="2" s="1"/>
  <c r="E769" i="2" s="1"/>
  <c r="D770" i="2" a="1"/>
  <c r="D770" i="2" s="1"/>
  <c r="E770" i="2" s="1"/>
  <c r="D771" i="2" a="1"/>
  <c r="D771" i="2" s="1"/>
  <c r="E771" i="2" s="1"/>
  <c r="D772" i="2" a="1"/>
  <c r="D772" i="2" s="1"/>
  <c r="E772" i="2" s="1"/>
  <c r="D773" i="2" a="1"/>
  <c r="D773" i="2" s="1"/>
  <c r="E773" i="2" s="1"/>
  <c r="D774" i="2" a="1"/>
  <c r="D774" i="2" s="1"/>
  <c r="E774" i="2" s="1"/>
  <c r="D775" i="2" a="1"/>
  <c r="D775" i="2" s="1"/>
  <c r="E775" i="2" s="1"/>
  <c r="D776" i="2" a="1"/>
  <c r="D776" i="2" s="1"/>
  <c r="E776" i="2" s="1"/>
  <c r="D777" i="2" a="1"/>
  <c r="D777" i="2" s="1"/>
  <c r="E777" i="2" s="1"/>
  <c r="D778" i="2" a="1"/>
  <c r="D778" i="2" s="1"/>
  <c r="E778" i="2" s="1"/>
  <c r="D779" i="2" a="1"/>
  <c r="D779" i="2" s="1"/>
  <c r="E779" i="2" s="1"/>
  <c r="D780" i="2" a="1"/>
  <c r="D780" i="2" s="1"/>
  <c r="E780" i="2" s="1"/>
  <c r="D781" i="2" a="1"/>
  <c r="D781" i="2" s="1"/>
  <c r="E781" i="2" s="1"/>
  <c r="D782" i="2" a="1"/>
  <c r="D782" i="2" s="1"/>
  <c r="E782" i="2" s="1"/>
  <c r="D783" i="2" a="1"/>
  <c r="D783" i="2" s="1"/>
  <c r="E783" i="2" s="1"/>
  <c r="D784" i="2" a="1"/>
  <c r="D784" i="2" s="1"/>
  <c r="E784" i="2" s="1"/>
  <c r="D785" i="2" a="1"/>
  <c r="D785" i="2" s="1"/>
  <c r="E785" i="2" s="1"/>
  <c r="D786" i="2" a="1"/>
  <c r="D786" i="2" s="1"/>
  <c r="E786" i="2" s="1"/>
  <c r="D787" i="2" a="1"/>
  <c r="D787" i="2" s="1"/>
  <c r="E787" i="2" s="1"/>
  <c r="D788" i="2" a="1"/>
  <c r="D788" i="2" s="1"/>
  <c r="E788" i="2" s="1"/>
  <c r="D789" i="2" a="1"/>
  <c r="D789" i="2" s="1"/>
  <c r="E789" i="2" s="1"/>
  <c r="D790" i="2" a="1"/>
  <c r="D790" i="2" s="1"/>
  <c r="E790" i="2" s="1"/>
  <c r="D791" i="2" a="1"/>
  <c r="D791" i="2" s="1"/>
  <c r="E791" i="2" s="1"/>
  <c r="D792" i="2" a="1"/>
  <c r="D792" i="2" s="1"/>
  <c r="E792" i="2" s="1"/>
  <c r="D793" i="2" a="1"/>
  <c r="D793" i="2" s="1"/>
  <c r="E793" i="2" s="1"/>
  <c r="D794" i="2" a="1"/>
  <c r="D794" i="2" s="1"/>
  <c r="E794" i="2" s="1"/>
  <c r="D795" i="2" a="1"/>
  <c r="D795" i="2" s="1"/>
  <c r="E795" i="2" s="1"/>
  <c r="D796" i="2" a="1"/>
  <c r="D796" i="2" s="1"/>
  <c r="E796" i="2" s="1"/>
  <c r="D797" i="2" a="1"/>
  <c r="D797" i="2" s="1"/>
  <c r="E797" i="2" s="1"/>
  <c r="D798" i="2" a="1"/>
  <c r="D798" i="2" s="1"/>
  <c r="E798" i="2" s="1"/>
  <c r="D799" i="2" a="1"/>
  <c r="D799" i="2" s="1"/>
  <c r="E799" i="2" s="1"/>
  <c r="D800" i="2" a="1"/>
  <c r="D800" i="2" s="1"/>
  <c r="E800" i="2" s="1"/>
  <c r="D801" i="2" a="1"/>
  <c r="D801" i="2" s="1"/>
  <c r="E801" i="2" s="1"/>
  <c r="D802" i="2" a="1"/>
  <c r="D802" i="2" s="1"/>
  <c r="E802" i="2" s="1"/>
  <c r="D803" i="2" a="1"/>
  <c r="D803" i="2" s="1"/>
  <c r="E803" i="2" s="1"/>
  <c r="D804" i="2" a="1"/>
  <c r="D804" i="2" s="1"/>
  <c r="E804" i="2" s="1"/>
  <c r="D805" i="2" a="1"/>
  <c r="D805" i="2" s="1"/>
  <c r="E805" i="2" s="1"/>
  <c r="D806" i="2" a="1"/>
  <c r="D806" i="2" s="1"/>
  <c r="E806" i="2" s="1"/>
  <c r="D807" i="2" a="1"/>
  <c r="D807" i="2" s="1"/>
  <c r="E807" i="2" s="1"/>
  <c r="D808" i="2" a="1"/>
  <c r="D808" i="2" s="1"/>
  <c r="E808" i="2" s="1"/>
  <c r="D809" i="2" a="1"/>
  <c r="D809" i="2" s="1"/>
  <c r="E809" i="2" s="1"/>
  <c r="D810" i="2" a="1"/>
  <c r="D810" i="2" s="1"/>
  <c r="E810" i="2" s="1"/>
  <c r="D811" i="2" a="1"/>
  <c r="D811" i="2" s="1"/>
  <c r="E811" i="2" s="1"/>
  <c r="D812" i="2" a="1"/>
  <c r="D812" i="2" s="1"/>
  <c r="E812" i="2" s="1"/>
  <c r="D813" i="2" a="1"/>
  <c r="D813" i="2" s="1"/>
  <c r="E813" i="2" s="1"/>
  <c r="D814" i="2" a="1"/>
  <c r="D814" i="2" s="1"/>
  <c r="E814" i="2" s="1"/>
  <c r="D815" i="2" a="1"/>
  <c r="D815" i="2" s="1"/>
  <c r="E815" i="2" s="1"/>
  <c r="D816" i="2" a="1"/>
  <c r="D816" i="2" s="1"/>
  <c r="E816" i="2" s="1"/>
  <c r="D817" i="2" a="1"/>
  <c r="D817" i="2" s="1"/>
  <c r="E817" i="2" s="1"/>
  <c r="D818" i="2" a="1"/>
  <c r="D818" i="2" s="1"/>
  <c r="E818" i="2" s="1"/>
  <c r="D819" i="2" a="1"/>
  <c r="D819" i="2" s="1"/>
  <c r="E819" i="2" s="1"/>
  <c r="D820" i="2" a="1"/>
  <c r="D820" i="2" s="1"/>
  <c r="E820" i="2" s="1"/>
  <c r="D821" i="2" a="1"/>
  <c r="D821" i="2" s="1"/>
  <c r="E821" i="2" s="1"/>
  <c r="D822" i="2" a="1"/>
  <c r="D822" i="2" s="1"/>
  <c r="E822" i="2" s="1"/>
  <c r="D823" i="2" a="1"/>
  <c r="D823" i="2" s="1"/>
  <c r="E823" i="2" s="1"/>
  <c r="D824" i="2" a="1"/>
  <c r="D824" i="2"/>
  <c r="E824" i="2" s="1"/>
  <c r="D825" i="2" a="1"/>
  <c r="D825" i="2" s="1"/>
  <c r="E825" i="2" s="1"/>
  <c r="D826" i="2" a="1"/>
  <c r="D826" i="2" s="1"/>
  <c r="E826" i="2" s="1"/>
  <c r="D827" i="2" a="1"/>
  <c r="D827" i="2" s="1"/>
  <c r="E827" i="2" s="1"/>
  <c r="D828" i="2" a="1"/>
  <c r="D828" i="2" s="1"/>
  <c r="E828" i="2" s="1"/>
  <c r="D829" i="2" a="1"/>
  <c r="D829" i="2" s="1"/>
  <c r="E829" i="2" s="1"/>
  <c r="D830" i="2" a="1"/>
  <c r="D830" i="2" s="1"/>
  <c r="E830" i="2" s="1"/>
  <c r="D831" i="2" a="1"/>
  <c r="D831" i="2" s="1"/>
  <c r="E831" i="2" s="1"/>
  <c r="D832" i="2" a="1"/>
  <c r="D832" i="2" s="1"/>
  <c r="E832" i="2" s="1"/>
  <c r="D833" i="2" a="1"/>
  <c r="D833" i="2" s="1"/>
  <c r="E833" i="2" s="1"/>
  <c r="D834" i="2" a="1"/>
  <c r="D834" i="2" s="1"/>
  <c r="E834" i="2" s="1"/>
  <c r="D835" i="2" a="1"/>
  <c r="D835" i="2" s="1"/>
  <c r="E835" i="2" s="1"/>
  <c r="D836" i="2" a="1"/>
  <c r="D836" i="2" s="1"/>
  <c r="E836" i="2" s="1"/>
  <c r="D837" i="2" a="1"/>
  <c r="D837" i="2" s="1"/>
  <c r="E837" i="2" s="1"/>
  <c r="D838" i="2" a="1"/>
  <c r="D838" i="2" s="1"/>
  <c r="E838" i="2" s="1"/>
  <c r="D839" i="2" a="1"/>
  <c r="D839" i="2" s="1"/>
  <c r="E839" i="2" s="1"/>
  <c r="D840" i="2" a="1"/>
  <c r="D840" i="2" s="1"/>
  <c r="E840" i="2" s="1"/>
  <c r="D841" i="2" a="1"/>
  <c r="D841" i="2" s="1"/>
  <c r="E841" i="2" s="1"/>
  <c r="D842" i="2" a="1"/>
  <c r="D842" i="2" s="1"/>
  <c r="E842" i="2" s="1"/>
  <c r="D843" i="2" a="1"/>
  <c r="D843" i="2" s="1"/>
  <c r="E843" i="2" s="1"/>
  <c r="D844" i="2" a="1"/>
  <c r="D844" i="2" s="1"/>
  <c r="E844" i="2" s="1"/>
  <c r="D845" i="2" a="1"/>
  <c r="D845" i="2" s="1"/>
  <c r="E845" i="2" s="1"/>
  <c r="D846" i="2" a="1"/>
  <c r="D846" i="2" s="1"/>
  <c r="E846" i="2" s="1"/>
  <c r="D847" i="2" a="1"/>
  <c r="D847" i="2" s="1"/>
  <c r="E847" i="2" s="1"/>
  <c r="D848" i="2" a="1"/>
  <c r="D848" i="2" s="1"/>
  <c r="E848" i="2" s="1"/>
  <c r="D849" i="2" a="1"/>
  <c r="D849" i="2" s="1"/>
  <c r="E849" i="2" s="1"/>
  <c r="D850" i="2" a="1"/>
  <c r="D850" i="2" s="1"/>
  <c r="E850" i="2" s="1"/>
  <c r="D851" i="2" a="1"/>
  <c r="D851" i="2" s="1"/>
  <c r="E851" i="2" s="1"/>
  <c r="D852" i="2" a="1"/>
  <c r="D852" i="2" s="1"/>
  <c r="E852" i="2" s="1"/>
  <c r="D853" i="2" a="1"/>
  <c r="D853" i="2" s="1"/>
  <c r="E853" i="2" s="1"/>
  <c r="D854" i="2" a="1"/>
  <c r="D854" i="2" s="1"/>
  <c r="E854" i="2" s="1"/>
  <c r="D855" i="2" a="1"/>
  <c r="D855" i="2" s="1"/>
  <c r="E855" i="2" s="1"/>
  <c r="D856" i="2" a="1"/>
  <c r="D856" i="2" s="1"/>
  <c r="E856" i="2" s="1"/>
  <c r="D857" i="2" a="1"/>
  <c r="D857" i="2" s="1"/>
  <c r="E857" i="2" s="1"/>
  <c r="D858" i="2" a="1"/>
  <c r="D858" i="2" s="1"/>
  <c r="E858" i="2" s="1"/>
  <c r="D859" i="2" a="1"/>
  <c r="D859" i="2" s="1"/>
  <c r="E859" i="2" s="1"/>
  <c r="D860" i="2" a="1"/>
  <c r="D860" i="2" s="1"/>
  <c r="E860" i="2" s="1"/>
  <c r="D861" i="2" a="1"/>
  <c r="D861" i="2" s="1"/>
  <c r="E861" i="2" s="1"/>
  <c r="D862" i="2" a="1"/>
  <c r="D862" i="2" s="1"/>
  <c r="E862" i="2" s="1"/>
  <c r="D863" i="2" a="1"/>
  <c r="D863" i="2" s="1"/>
  <c r="E863" i="2" s="1"/>
  <c r="D864" i="2" a="1"/>
  <c r="D864" i="2" s="1"/>
  <c r="E864" i="2" s="1"/>
  <c r="D865" i="2" a="1"/>
  <c r="D865" i="2" s="1"/>
  <c r="E865" i="2" s="1"/>
  <c r="D866" i="2" a="1"/>
  <c r="D866" i="2" s="1"/>
  <c r="E866" i="2" s="1"/>
  <c r="D867" i="2" a="1"/>
  <c r="D867" i="2" s="1"/>
  <c r="E867" i="2" s="1"/>
  <c r="D868" i="2" a="1"/>
  <c r="D868" i="2" s="1"/>
  <c r="E868" i="2" s="1"/>
  <c r="D869" i="2" a="1"/>
  <c r="D869" i="2" s="1"/>
  <c r="E869" i="2" s="1"/>
  <c r="D870" i="2" a="1"/>
  <c r="D870" i="2" s="1"/>
  <c r="E870" i="2" s="1"/>
  <c r="D871" i="2" a="1"/>
  <c r="D871" i="2" s="1"/>
  <c r="E871" i="2" s="1"/>
  <c r="D872" i="2" a="1"/>
  <c r="D872" i="2" s="1"/>
  <c r="E872" i="2" s="1"/>
  <c r="D873" i="2" a="1"/>
  <c r="D873" i="2" s="1"/>
  <c r="E873" i="2" s="1"/>
  <c r="D874" i="2" a="1"/>
  <c r="D874" i="2" s="1"/>
  <c r="E874" i="2" s="1"/>
  <c r="D875" i="2" a="1"/>
  <c r="D875" i="2" s="1"/>
  <c r="E875" i="2" s="1"/>
  <c r="D876" i="2" a="1"/>
  <c r="D876" i="2" s="1"/>
  <c r="E876" i="2" s="1"/>
  <c r="D877" i="2" a="1"/>
  <c r="D877" i="2" s="1"/>
  <c r="E877" i="2" s="1"/>
  <c r="D878" i="2" a="1"/>
  <c r="D878" i="2" s="1"/>
  <c r="E878" i="2" s="1"/>
  <c r="D879" i="2" a="1"/>
  <c r="D879" i="2" s="1"/>
  <c r="E879" i="2" s="1"/>
  <c r="D880" i="2" a="1"/>
  <c r="D880" i="2" s="1"/>
  <c r="E880" i="2" s="1"/>
  <c r="D881" i="2" a="1"/>
  <c r="D881" i="2" s="1"/>
  <c r="E881" i="2" s="1"/>
  <c r="D882" i="2" a="1"/>
  <c r="D882" i="2" s="1"/>
  <c r="E882" i="2" s="1"/>
  <c r="D883" i="2" a="1"/>
  <c r="D883" i="2" s="1"/>
  <c r="E883" i="2" s="1"/>
  <c r="D884" i="2" a="1"/>
  <c r="D884" i="2" s="1"/>
  <c r="E884" i="2" s="1"/>
  <c r="D885" i="2" a="1"/>
  <c r="D885" i="2" s="1"/>
  <c r="E885" i="2" s="1"/>
  <c r="D886" i="2" a="1"/>
  <c r="D886" i="2" s="1"/>
  <c r="E886" i="2" s="1"/>
  <c r="D887" i="2" a="1"/>
  <c r="D887" i="2" s="1"/>
  <c r="E887" i="2" s="1"/>
  <c r="D888" i="2" a="1"/>
  <c r="D888" i="2" s="1"/>
  <c r="E888" i="2" s="1"/>
  <c r="D889" i="2" a="1"/>
  <c r="D889" i="2" s="1"/>
  <c r="E889" i="2" s="1"/>
  <c r="D890" i="2" a="1"/>
  <c r="D890" i="2" s="1"/>
  <c r="E890" i="2" s="1"/>
  <c r="D891" i="2" a="1"/>
  <c r="D891" i="2" s="1"/>
  <c r="E891" i="2" s="1"/>
  <c r="D892" i="2" a="1"/>
  <c r="D892" i="2" s="1"/>
  <c r="E892" i="2" s="1"/>
  <c r="D893" i="2" a="1"/>
  <c r="D893" i="2" s="1"/>
  <c r="E893" i="2" s="1"/>
  <c r="D894" i="2" a="1"/>
  <c r="D894" i="2" s="1"/>
  <c r="E894" i="2" s="1"/>
  <c r="D895" i="2" a="1"/>
  <c r="D895" i="2" s="1"/>
  <c r="E895" i="2" s="1"/>
  <c r="D896" i="2" a="1"/>
  <c r="D896" i="2" s="1"/>
  <c r="E896" i="2" s="1"/>
  <c r="D897" i="2" a="1"/>
  <c r="D897" i="2" s="1"/>
  <c r="E897" i="2" s="1"/>
  <c r="D898" i="2" a="1"/>
  <c r="D898" i="2" s="1"/>
  <c r="E898" i="2" s="1"/>
  <c r="D899" i="2" a="1"/>
  <c r="D899" i="2" s="1"/>
  <c r="E899" i="2" s="1"/>
  <c r="D900" i="2" a="1"/>
  <c r="D900" i="2" s="1"/>
  <c r="E900" i="2" s="1"/>
  <c r="D901" i="2" a="1"/>
  <c r="D901" i="2" s="1"/>
  <c r="E901" i="2" s="1"/>
  <c r="D902" i="2" a="1"/>
  <c r="D902" i="2" s="1"/>
  <c r="E902" i="2" s="1"/>
  <c r="D903" i="2" a="1"/>
  <c r="D903" i="2" s="1"/>
  <c r="E903" i="2" s="1"/>
  <c r="D904" i="2" a="1"/>
  <c r="D904" i="2" s="1"/>
  <c r="E904" i="2" s="1"/>
  <c r="D905" i="2" a="1"/>
  <c r="D905" i="2" s="1"/>
  <c r="E905" i="2" s="1"/>
  <c r="D906" i="2" a="1"/>
  <c r="D906" i="2" s="1"/>
  <c r="E906" i="2" s="1"/>
  <c r="D907" i="2" a="1"/>
  <c r="D907" i="2" s="1"/>
  <c r="E907" i="2" s="1"/>
  <c r="D908" i="2" a="1"/>
  <c r="D908" i="2" s="1"/>
  <c r="E908" i="2" s="1"/>
  <c r="D909" i="2" a="1"/>
  <c r="D909" i="2" s="1"/>
  <c r="E909" i="2" s="1"/>
  <c r="D910" i="2" a="1"/>
  <c r="D910" i="2" s="1"/>
  <c r="E910" i="2" s="1"/>
  <c r="D911" i="2" a="1"/>
  <c r="D911" i="2" s="1"/>
  <c r="E911" i="2" s="1"/>
  <c r="D912" i="2" a="1"/>
  <c r="D912" i="2" s="1"/>
  <c r="E912" i="2" s="1"/>
  <c r="D913" i="2" a="1"/>
  <c r="D913" i="2" s="1"/>
  <c r="E913" i="2" s="1"/>
  <c r="D914" i="2" a="1"/>
  <c r="D914" i="2" s="1"/>
  <c r="E914" i="2" s="1"/>
  <c r="D915" i="2" a="1"/>
  <c r="D915" i="2" s="1"/>
  <c r="E915" i="2" s="1"/>
  <c r="D916" i="2" a="1"/>
  <c r="D916" i="2"/>
  <c r="E916" i="2" s="1"/>
  <c r="D917" i="2" a="1"/>
  <c r="D917" i="2" s="1"/>
  <c r="E917" i="2" s="1"/>
  <c r="D918" i="2" a="1"/>
  <c r="D918" i="2" s="1"/>
  <c r="E918" i="2" s="1"/>
  <c r="D919" i="2" a="1"/>
  <c r="D919" i="2" s="1"/>
  <c r="E919" i="2" s="1"/>
  <c r="D920" i="2" a="1"/>
  <c r="D920" i="2" s="1"/>
  <c r="E920" i="2" s="1"/>
  <c r="D921" i="2" a="1"/>
  <c r="D921" i="2" s="1"/>
  <c r="E921" i="2" s="1"/>
  <c r="D922" i="2" a="1"/>
  <c r="D922" i="2" s="1"/>
  <c r="E922" i="2" s="1"/>
  <c r="D923" i="2" a="1"/>
  <c r="D923" i="2" s="1"/>
  <c r="E923" i="2" s="1"/>
  <c r="D924" i="2" a="1"/>
  <c r="D924" i="2" s="1"/>
  <c r="E924" i="2" s="1"/>
  <c r="D925" i="2" a="1"/>
  <c r="D925" i="2"/>
  <c r="E925" i="2" s="1"/>
  <c r="D926" i="2" a="1"/>
  <c r="D926" i="2" s="1"/>
  <c r="E926" i="2" s="1"/>
  <c r="D927" i="2" a="1"/>
  <c r="D927" i="2" s="1"/>
  <c r="E927" i="2" s="1"/>
  <c r="D928" i="2" a="1"/>
  <c r="D928" i="2" s="1"/>
  <c r="E928" i="2" s="1"/>
  <c r="D929" i="2" a="1"/>
  <c r="D929" i="2" s="1"/>
  <c r="E929" i="2" s="1"/>
  <c r="D930" i="2" a="1"/>
  <c r="D930" i="2" s="1"/>
  <c r="E930" i="2" s="1"/>
  <c r="D931" i="2" a="1"/>
  <c r="D931" i="2" s="1"/>
  <c r="E931" i="2" s="1"/>
  <c r="D932" i="2" a="1"/>
  <c r="D932" i="2" s="1"/>
  <c r="E932" i="2" s="1"/>
  <c r="D933" i="2" a="1"/>
  <c r="D933" i="2" s="1"/>
  <c r="E933" i="2" s="1"/>
  <c r="D934" i="2" a="1"/>
  <c r="D934" i="2" s="1"/>
  <c r="E934" i="2" s="1"/>
  <c r="D935" i="2" a="1"/>
  <c r="D935" i="2" s="1"/>
  <c r="E935" i="2" s="1"/>
  <c r="D936" i="2" a="1"/>
  <c r="D936" i="2" s="1"/>
  <c r="E936" i="2" s="1"/>
  <c r="D937" i="2" a="1"/>
  <c r="D937" i="2" s="1"/>
  <c r="E937" i="2" s="1"/>
  <c r="D938" i="2" a="1"/>
  <c r="D938" i="2" s="1"/>
  <c r="E938" i="2" s="1"/>
  <c r="D939" i="2" a="1"/>
  <c r="D939" i="2" s="1"/>
  <c r="E939" i="2" s="1"/>
  <c r="D940" i="2" a="1"/>
  <c r="D940" i="2" s="1"/>
  <c r="E940" i="2" s="1"/>
  <c r="D941" i="2" a="1"/>
  <c r="D941" i="2" s="1"/>
  <c r="E941" i="2" s="1"/>
  <c r="D942" i="2" a="1"/>
  <c r="D942" i="2" s="1"/>
  <c r="E942" i="2" s="1"/>
  <c r="D943" i="2" a="1"/>
  <c r="D943" i="2" s="1"/>
  <c r="E943" i="2" s="1"/>
  <c r="D944" i="2" a="1"/>
  <c r="D944" i="2" s="1"/>
  <c r="E944" i="2" s="1"/>
  <c r="D945" i="2" a="1"/>
  <c r="D945" i="2" s="1"/>
  <c r="E945" i="2" s="1"/>
  <c r="D946" i="2" a="1"/>
  <c r="D946" i="2" s="1"/>
  <c r="E946" i="2" s="1"/>
  <c r="D947" i="2" a="1"/>
  <c r="D947" i="2" s="1"/>
  <c r="E947" i="2" s="1"/>
  <c r="D948" i="2" a="1"/>
  <c r="D948" i="2" s="1"/>
  <c r="E948" i="2" s="1"/>
  <c r="D949" i="2" a="1"/>
  <c r="D949" i="2" s="1"/>
  <c r="E949" i="2" s="1"/>
  <c r="D950" i="2" a="1"/>
  <c r="D950" i="2" s="1"/>
  <c r="E950" i="2" s="1"/>
  <c r="D951" i="2" a="1"/>
  <c r="D951" i="2" s="1"/>
  <c r="E951" i="2" s="1"/>
  <c r="D952" i="2" a="1"/>
  <c r="D952" i="2" s="1"/>
  <c r="E952" i="2" s="1"/>
  <c r="D953" i="2" a="1"/>
  <c r="D953" i="2" s="1"/>
  <c r="E953" i="2" s="1"/>
  <c r="D954" i="2" a="1"/>
  <c r="D954" i="2" s="1"/>
  <c r="E954" i="2" s="1"/>
  <c r="D955" i="2" a="1"/>
  <c r="D955" i="2" s="1"/>
  <c r="E955" i="2" s="1"/>
  <c r="D956" i="2" a="1"/>
  <c r="D956" i="2" s="1"/>
  <c r="E956" i="2" s="1"/>
  <c r="D957" i="2" a="1"/>
  <c r="D957" i="2" s="1"/>
  <c r="E957" i="2" s="1"/>
  <c r="D958" i="2" a="1"/>
  <c r="D958" i="2" s="1"/>
  <c r="E958" i="2" s="1"/>
  <c r="D959" i="2" a="1"/>
  <c r="D959" i="2" s="1"/>
  <c r="E959" i="2" s="1"/>
  <c r="D960" i="2" a="1"/>
  <c r="D960" i="2" s="1"/>
  <c r="E960" i="2" s="1"/>
  <c r="D961" i="2" a="1"/>
  <c r="D961" i="2" s="1"/>
  <c r="E961" i="2" s="1"/>
  <c r="D962" i="2" a="1"/>
  <c r="D962" i="2" s="1"/>
  <c r="E962" i="2" s="1"/>
  <c r="D963" i="2" a="1"/>
  <c r="D963" i="2" s="1"/>
  <c r="E963" i="2" s="1"/>
  <c r="D964" i="2" a="1"/>
  <c r="D964" i="2" s="1"/>
  <c r="E964" i="2" s="1"/>
  <c r="D965" i="2" a="1"/>
  <c r="D965" i="2" s="1"/>
  <c r="E965" i="2" s="1"/>
  <c r="D966" i="2" a="1"/>
  <c r="D966" i="2" s="1"/>
  <c r="E966" i="2" s="1"/>
  <c r="D967" i="2" a="1"/>
  <c r="D967" i="2" s="1"/>
  <c r="E967" i="2" s="1"/>
  <c r="D968" i="2" a="1"/>
  <c r="D968" i="2" s="1"/>
  <c r="E968" i="2" s="1"/>
  <c r="D969" i="2" a="1"/>
  <c r="D969" i="2" s="1"/>
  <c r="E969" i="2" s="1"/>
  <c r="D970" i="2" a="1"/>
  <c r="D970" i="2" s="1"/>
  <c r="E970" i="2" s="1"/>
  <c r="D971" i="2" a="1"/>
  <c r="D971" i="2" s="1"/>
  <c r="E971" i="2" s="1"/>
  <c r="D972" i="2" a="1"/>
  <c r="D972" i="2" s="1"/>
  <c r="E972" i="2" s="1"/>
  <c r="D973" i="2" a="1"/>
  <c r="D973" i="2" s="1"/>
  <c r="E973" i="2" s="1"/>
  <c r="D974" i="2" a="1"/>
  <c r="D974" i="2" s="1"/>
  <c r="E974" i="2" s="1"/>
  <c r="D975" i="2" a="1"/>
  <c r="D975" i="2" s="1"/>
  <c r="E975" i="2" s="1"/>
  <c r="D976" i="2" a="1"/>
  <c r="D976" i="2" s="1"/>
  <c r="E976" i="2" s="1"/>
  <c r="D977" i="2" a="1"/>
  <c r="D977" i="2" s="1"/>
  <c r="E977" i="2" s="1"/>
  <c r="D978" i="2" a="1"/>
  <c r="D978" i="2" s="1"/>
  <c r="E978" i="2" s="1"/>
  <c r="D979" i="2" a="1"/>
  <c r="D979" i="2" s="1"/>
  <c r="E979" i="2" s="1"/>
  <c r="D980" i="2" a="1"/>
  <c r="D980" i="2" s="1"/>
  <c r="E980" i="2" s="1"/>
  <c r="D981" i="2" a="1"/>
  <c r="D981" i="2" s="1"/>
  <c r="E981" i="2" s="1"/>
  <c r="D982" i="2" a="1"/>
  <c r="D982" i="2" s="1"/>
  <c r="E982" i="2" s="1"/>
  <c r="D983" i="2" a="1"/>
  <c r="D983" i="2" s="1"/>
  <c r="E983" i="2" s="1"/>
  <c r="D984" i="2" a="1"/>
  <c r="D984" i="2" s="1"/>
  <c r="E984" i="2" s="1"/>
  <c r="D985" i="2" a="1"/>
  <c r="D985" i="2" s="1"/>
  <c r="E985" i="2" s="1"/>
  <c r="D986" i="2" a="1"/>
  <c r="D986" i="2" s="1"/>
  <c r="E986" i="2" s="1"/>
  <c r="D987" i="2" a="1"/>
  <c r="D987" i="2" s="1"/>
  <c r="E987" i="2" s="1"/>
  <c r="D988" i="2" a="1"/>
  <c r="D988" i="2" s="1"/>
  <c r="E988" i="2" s="1"/>
  <c r="D989" i="2" a="1"/>
  <c r="D989" i="2" s="1"/>
  <c r="E989" i="2" s="1"/>
  <c r="D990" i="2" a="1"/>
  <c r="D990" i="2" s="1"/>
  <c r="E990" i="2" s="1"/>
  <c r="D991" i="2" a="1"/>
  <c r="D991" i="2" s="1"/>
  <c r="E991" i="2" s="1"/>
  <c r="D992" i="2" a="1"/>
  <c r="D992" i="2" s="1"/>
  <c r="E992" i="2" s="1"/>
  <c r="D993" i="2" a="1"/>
  <c r="D993" i="2" s="1"/>
  <c r="E993" i="2" s="1"/>
  <c r="D994" i="2" a="1"/>
  <c r="D994" i="2" s="1"/>
  <c r="E994" i="2" s="1"/>
  <c r="D995" i="2" a="1"/>
  <c r="D995" i="2" s="1"/>
  <c r="E995" i="2" s="1"/>
  <c r="D996" i="2" a="1"/>
  <c r="D996" i="2" s="1"/>
  <c r="E996" i="2" s="1"/>
  <c r="D997" i="2" a="1"/>
  <c r="D997" i="2" s="1"/>
  <c r="E997" i="2" s="1"/>
  <c r="D998" i="2" a="1"/>
  <c r="D998" i="2" s="1"/>
  <c r="E998" i="2" s="1"/>
  <c r="D999" i="2" a="1"/>
  <c r="D999" i="2" s="1"/>
  <c r="E999" i="2" s="1"/>
  <c r="D1000" i="2" a="1"/>
  <c r="D1000" i="2" s="1"/>
  <c r="E1000" i="2" s="1"/>
  <c r="D1001" i="2" a="1"/>
  <c r="D1001" i="2" s="1"/>
  <c r="E1001" i="2" s="1"/>
  <c r="D1002" i="2" a="1"/>
  <c r="D1002" i="2" s="1"/>
  <c r="E1002" i="2" s="1"/>
  <c r="D1003" i="2" a="1"/>
  <c r="D1003" i="2" s="1"/>
  <c r="E1003" i="2" s="1"/>
  <c r="D1004" i="2" a="1"/>
  <c r="D1004" i="2" s="1"/>
  <c r="E1004" i="2" s="1"/>
  <c r="D1005" i="2" a="1"/>
  <c r="D1005" i="2" s="1"/>
  <c r="E1005" i="2" s="1"/>
  <c r="D1006" i="2" a="1"/>
  <c r="D1006" i="2" s="1"/>
  <c r="E1006" i="2" s="1"/>
  <c r="D1007" i="2" a="1"/>
  <c r="D1007" i="2" s="1"/>
  <c r="E1007" i="2" s="1"/>
  <c r="D1008" i="2" a="1"/>
  <c r="D1008" i="2" s="1"/>
  <c r="E1008" i="2" s="1"/>
  <c r="D1009" i="2" a="1"/>
  <c r="D1009" i="2" s="1"/>
  <c r="E1009" i="2" s="1"/>
  <c r="D1010" i="2" a="1"/>
  <c r="D1010" i="2" s="1"/>
  <c r="E1010" i="2" s="1"/>
  <c r="D1011" i="2" a="1"/>
  <c r="D1011" i="2" s="1"/>
  <c r="E1011" i="2" s="1"/>
  <c r="D1012" i="2" a="1"/>
  <c r="D1012" i="2" s="1"/>
  <c r="E1012" i="2" s="1"/>
  <c r="D1013" i="2" a="1"/>
  <c r="D1013" i="2" s="1"/>
  <c r="E1013" i="2" s="1"/>
  <c r="D1014" i="2" a="1"/>
  <c r="D1014" i="2" s="1"/>
  <c r="E1014" i="2" s="1"/>
  <c r="D1015" i="2" a="1"/>
  <c r="D1015" i="2" s="1"/>
  <c r="E1015" i="2" s="1"/>
  <c r="D1016" i="2" a="1"/>
  <c r="D1016" i="2" s="1"/>
  <c r="E1016" i="2" s="1"/>
  <c r="D1017" i="2" a="1"/>
  <c r="D1017" i="2" s="1"/>
  <c r="E1017" i="2" s="1"/>
  <c r="D1018" i="2" a="1"/>
  <c r="D1018" i="2" s="1"/>
  <c r="E1018" i="2" s="1"/>
  <c r="D1019" i="2" a="1"/>
  <c r="D1019" i="2" s="1"/>
  <c r="E1019" i="2" s="1"/>
  <c r="D1020" i="2" a="1"/>
  <c r="D1020" i="2" s="1"/>
  <c r="E1020" i="2" s="1"/>
  <c r="D1021" i="2" a="1"/>
  <c r="D1021" i="2" s="1"/>
  <c r="E1021" i="2" s="1"/>
  <c r="D1022" i="2" a="1"/>
  <c r="D1022" i="2" s="1"/>
  <c r="E1022" i="2" s="1"/>
  <c r="D1023" i="2" a="1"/>
  <c r="D1023" i="2" s="1"/>
  <c r="E1023" i="2" s="1"/>
  <c r="D1024" i="2" a="1"/>
  <c r="D1024" i="2" s="1"/>
  <c r="E1024" i="2" s="1"/>
  <c r="D1025" i="2" a="1"/>
  <c r="D1025" i="2" s="1"/>
  <c r="E1025" i="2" s="1"/>
  <c r="D1026" i="2" a="1"/>
  <c r="D1026" i="2" s="1"/>
  <c r="E1026" i="2" s="1"/>
  <c r="D1027" i="2" a="1"/>
  <c r="D1027" i="2" s="1"/>
  <c r="E1027" i="2" s="1"/>
  <c r="D1028" i="2" a="1"/>
  <c r="D1028" i="2" s="1"/>
  <c r="E1028" i="2" s="1"/>
  <c r="D1029" i="2" a="1"/>
  <c r="D1029" i="2" s="1"/>
  <c r="E1029" i="2" s="1"/>
  <c r="D1030" i="2" a="1"/>
  <c r="D1030" i="2" s="1"/>
  <c r="E1030" i="2" s="1"/>
  <c r="D1031" i="2" a="1"/>
  <c r="D1031" i="2" s="1"/>
  <c r="E1031" i="2" s="1"/>
  <c r="D1032" i="2" a="1"/>
  <c r="D1032" i="2" s="1"/>
  <c r="E1032" i="2" s="1"/>
  <c r="D1033" i="2" a="1"/>
  <c r="D1033" i="2" s="1"/>
  <c r="E1033" i="2" s="1"/>
  <c r="D1034" i="2" a="1"/>
  <c r="D1034" i="2" s="1"/>
  <c r="E1034" i="2" s="1"/>
  <c r="D1035" i="2" a="1"/>
  <c r="D1035" i="2" s="1"/>
  <c r="E1035" i="2" s="1"/>
  <c r="D1036" i="2" a="1"/>
  <c r="D1036" i="2" s="1"/>
  <c r="E1036" i="2" s="1"/>
  <c r="D1037" i="2" a="1"/>
  <c r="D1037" i="2" s="1"/>
  <c r="E1037" i="2" s="1"/>
  <c r="D1038" i="2" a="1"/>
  <c r="D1038" i="2" s="1"/>
  <c r="E1038" i="2" s="1"/>
  <c r="D1039" i="2" a="1"/>
  <c r="D1039" i="2" s="1"/>
  <c r="E1039" i="2" s="1"/>
  <c r="D1040" i="2" a="1"/>
  <c r="D1040" i="2" s="1"/>
  <c r="E1040" i="2" s="1"/>
  <c r="D1041" i="2" a="1"/>
  <c r="D1041" i="2" s="1"/>
  <c r="E1041" i="2" s="1"/>
  <c r="D1042" i="2" a="1"/>
  <c r="D1042" i="2" s="1"/>
  <c r="E1042" i="2" s="1"/>
  <c r="D1043" i="2" a="1"/>
  <c r="D1043" i="2" s="1"/>
  <c r="E1043" i="2" s="1"/>
  <c r="D1044" i="2" a="1"/>
  <c r="D1044" i="2" s="1"/>
  <c r="E1044" i="2" s="1"/>
  <c r="D1045" i="2" a="1"/>
  <c r="D1045" i="2" s="1"/>
  <c r="E1045" i="2" s="1"/>
  <c r="D1046" i="2" a="1"/>
  <c r="D1046" i="2" s="1"/>
  <c r="E1046" i="2" s="1"/>
  <c r="D1047" i="2" a="1"/>
  <c r="D1047" i="2" s="1"/>
  <c r="E1047" i="2" s="1"/>
  <c r="D1048" i="2" a="1"/>
  <c r="D1048" i="2" s="1"/>
  <c r="E1048" i="2" s="1"/>
  <c r="D1049" i="2" a="1"/>
  <c r="D1049" i="2" s="1"/>
  <c r="E1049" i="2" s="1"/>
  <c r="D1050" i="2" a="1"/>
  <c r="D1050" i="2" s="1"/>
  <c r="E1050" i="2" s="1"/>
  <c r="D1051" i="2" a="1"/>
  <c r="D1051" i="2" s="1"/>
  <c r="E1051" i="2" s="1"/>
  <c r="D1052" i="2" a="1"/>
  <c r="D1052" i="2" s="1"/>
  <c r="E1052" i="2" s="1"/>
  <c r="D1053" i="2" a="1"/>
  <c r="D1053" i="2" s="1"/>
  <c r="E1053" i="2" s="1"/>
  <c r="D1054" i="2" a="1"/>
  <c r="D1054" i="2" s="1"/>
  <c r="E1054" i="2" s="1"/>
  <c r="D1055" i="2" a="1"/>
  <c r="D1055" i="2" s="1"/>
  <c r="E1055" i="2" s="1"/>
  <c r="D1056" i="2" a="1"/>
  <c r="D1056" i="2" s="1"/>
  <c r="E1056" i="2" s="1"/>
  <c r="D1057" i="2" a="1"/>
  <c r="D1057" i="2" s="1"/>
  <c r="E1057" i="2" s="1"/>
  <c r="D1058" i="2" a="1"/>
  <c r="D1058" i="2" s="1"/>
  <c r="E1058" i="2" s="1"/>
  <c r="D1059" i="2" a="1"/>
  <c r="D1059" i="2" s="1"/>
  <c r="E1059" i="2" s="1"/>
  <c r="D1060" i="2" a="1"/>
  <c r="D1060" i="2" s="1"/>
  <c r="E1060" i="2" s="1"/>
  <c r="D1061" i="2" a="1"/>
  <c r="D1061" i="2" s="1"/>
  <c r="E1061" i="2" s="1"/>
  <c r="D1062" i="2" a="1"/>
  <c r="D1062" i="2" s="1"/>
  <c r="E1062" i="2" s="1"/>
  <c r="D1063" i="2" a="1"/>
  <c r="D1063" i="2" s="1"/>
  <c r="E1063" i="2" s="1"/>
  <c r="D1064" i="2" a="1"/>
  <c r="D1064" i="2" s="1"/>
  <c r="E1064" i="2" s="1"/>
  <c r="D1065" i="2" a="1"/>
  <c r="D1065" i="2" s="1"/>
  <c r="E1065" i="2" s="1"/>
  <c r="D1066" i="2" a="1"/>
  <c r="D1066" i="2" s="1"/>
  <c r="E1066" i="2" s="1"/>
  <c r="D1067" i="2" a="1"/>
  <c r="D1067" i="2" s="1"/>
  <c r="E1067" i="2" s="1"/>
  <c r="D1068" i="2" a="1"/>
  <c r="D1068" i="2" s="1"/>
  <c r="E1068" i="2" s="1"/>
  <c r="D1069" i="2" a="1"/>
  <c r="D1069" i="2" s="1"/>
  <c r="E1069" i="2" s="1"/>
  <c r="D1070" i="2" a="1"/>
  <c r="D1070" i="2" s="1"/>
  <c r="E1070" i="2" s="1"/>
  <c r="D1071" i="2" a="1"/>
  <c r="D1071" i="2" s="1"/>
  <c r="E1071" i="2" s="1"/>
  <c r="D1072" i="2" a="1"/>
  <c r="D1072" i="2" s="1"/>
  <c r="E1072" i="2" s="1"/>
  <c r="D1073" i="2" a="1"/>
  <c r="D1073" i="2" s="1"/>
  <c r="E1073" i="2" s="1"/>
  <c r="D1074" i="2" a="1"/>
  <c r="D1074" i="2" s="1"/>
  <c r="E1074" i="2" s="1"/>
  <c r="D1075" i="2" a="1"/>
  <c r="D1075" i="2" s="1"/>
  <c r="E1075" i="2" s="1"/>
  <c r="D1076" i="2" a="1"/>
  <c r="D1076" i="2" s="1"/>
  <c r="E1076" i="2" s="1"/>
  <c r="D1077" i="2" a="1"/>
  <c r="D1077" i="2" s="1"/>
  <c r="E1077" i="2" s="1"/>
  <c r="D1078" i="2" a="1"/>
  <c r="D1078" i="2" s="1"/>
  <c r="E1078" i="2" s="1"/>
  <c r="D1079" i="2" a="1"/>
  <c r="D1079" i="2" s="1"/>
  <c r="E1079" i="2" s="1"/>
  <c r="D1080" i="2" a="1"/>
  <c r="D1080" i="2" s="1"/>
  <c r="E1080" i="2" s="1"/>
  <c r="D1081" i="2" a="1"/>
  <c r="D1081" i="2" s="1"/>
  <c r="E1081" i="2" s="1"/>
  <c r="D1082" i="2" a="1"/>
  <c r="D1082" i="2" s="1"/>
  <c r="E1082" i="2" s="1"/>
  <c r="D1083" i="2" a="1"/>
  <c r="D1083" i="2" s="1"/>
  <c r="E1083" i="2" s="1"/>
  <c r="D1084" i="2" a="1"/>
  <c r="D1084" i="2" s="1"/>
  <c r="E1084" i="2" s="1"/>
  <c r="D1085" i="2" a="1"/>
  <c r="D1085" i="2" s="1"/>
  <c r="E1085" i="2" s="1"/>
  <c r="D1086" i="2" a="1"/>
  <c r="D1086" i="2" s="1"/>
  <c r="E1086" i="2" s="1"/>
  <c r="D1087" i="2" a="1"/>
  <c r="D1087" i="2" s="1"/>
  <c r="E1087" i="2" s="1"/>
  <c r="D1088" i="2" a="1"/>
  <c r="D1088" i="2" s="1"/>
  <c r="E1088" i="2" s="1"/>
  <c r="D1089" i="2" a="1"/>
  <c r="D1089" i="2" s="1"/>
  <c r="E1089" i="2" s="1"/>
  <c r="D1090" i="2" a="1"/>
  <c r="D1090" i="2" s="1"/>
  <c r="E1090" i="2" s="1"/>
  <c r="D1091" i="2" a="1"/>
  <c r="D1091" i="2" s="1"/>
  <c r="E1091" i="2" s="1"/>
  <c r="D1092" i="2" a="1"/>
  <c r="D1092" i="2" s="1"/>
  <c r="E1092" i="2" s="1"/>
  <c r="D1093" i="2" a="1"/>
  <c r="D1093" i="2" s="1"/>
  <c r="E1093" i="2" s="1"/>
  <c r="D1094" i="2" a="1"/>
  <c r="D1094" i="2" s="1"/>
  <c r="E1094" i="2" s="1"/>
  <c r="D1095" i="2" a="1"/>
  <c r="D1095" i="2" s="1"/>
  <c r="E1095" i="2" s="1"/>
  <c r="D1096" i="2" a="1"/>
  <c r="D1096" i="2" s="1"/>
  <c r="E1096" i="2" s="1"/>
  <c r="D1097" i="2" a="1"/>
  <c r="D1097" i="2" s="1"/>
  <c r="E1097" i="2" s="1"/>
  <c r="D1098" i="2" a="1"/>
  <c r="D1098" i="2" s="1"/>
  <c r="E1098" i="2" s="1"/>
  <c r="D1099" i="2" a="1"/>
  <c r="D1099" i="2" s="1"/>
  <c r="E1099" i="2" s="1"/>
  <c r="D1100" i="2" a="1"/>
  <c r="D1100" i="2" s="1"/>
  <c r="E1100" i="2" s="1"/>
  <c r="D1101" i="2" a="1"/>
  <c r="D1101" i="2" s="1"/>
  <c r="E1101" i="2" s="1"/>
  <c r="D1102" i="2" a="1"/>
  <c r="D1102" i="2" s="1"/>
  <c r="E1102" i="2" s="1"/>
  <c r="D1103" i="2" a="1"/>
  <c r="D1103" i="2" s="1"/>
  <c r="E1103" i="2" s="1"/>
  <c r="D1104" i="2" a="1"/>
  <c r="D1104" i="2" s="1"/>
  <c r="E1104" i="2" s="1"/>
  <c r="D1105" i="2" a="1"/>
  <c r="D1105" i="2" s="1"/>
  <c r="E1105" i="2" s="1"/>
  <c r="D1106" i="2" a="1"/>
  <c r="D1106" i="2" s="1"/>
  <c r="E1106" i="2" s="1"/>
  <c r="D1107" i="2" a="1"/>
  <c r="D1107" i="2" s="1"/>
  <c r="E1107" i="2" s="1"/>
  <c r="D1108" i="2" a="1"/>
  <c r="D1108" i="2" s="1"/>
  <c r="E1108" i="2" s="1"/>
  <c r="D1109" i="2" a="1"/>
  <c r="D1109" i="2" s="1"/>
  <c r="E1109" i="2" s="1"/>
  <c r="D1110" i="2" a="1"/>
  <c r="D1110" i="2" s="1"/>
  <c r="E1110" i="2" s="1"/>
  <c r="D1111" i="2" a="1"/>
  <c r="D1111" i="2" s="1"/>
  <c r="E1111" i="2" s="1"/>
  <c r="D1112" i="2" a="1"/>
  <c r="D1112" i="2" s="1"/>
  <c r="E1112" i="2" s="1"/>
  <c r="D1113" i="2" a="1"/>
  <c r="D1113" i="2" s="1"/>
  <c r="E1113" i="2" s="1"/>
  <c r="D1114" i="2" a="1"/>
  <c r="D1114" i="2" s="1"/>
  <c r="E1114" i="2" s="1"/>
  <c r="D1115" i="2" a="1"/>
  <c r="D1115" i="2" s="1"/>
  <c r="E1115" i="2" s="1"/>
  <c r="D1116" i="2" a="1"/>
  <c r="D1116" i="2" s="1"/>
  <c r="E1116" i="2" s="1"/>
  <c r="D1117" i="2" a="1"/>
  <c r="D1117" i="2" s="1"/>
  <c r="E1117" i="2" s="1"/>
  <c r="D1118" i="2" a="1"/>
  <c r="D1118" i="2" s="1"/>
  <c r="E1118" i="2" s="1"/>
  <c r="D1119" i="2" a="1"/>
  <c r="D1119" i="2" s="1"/>
  <c r="E1119" i="2" s="1"/>
  <c r="D1120" i="2" a="1"/>
  <c r="D1120" i="2" s="1"/>
  <c r="E1120" i="2" s="1"/>
  <c r="D1121" i="2" a="1"/>
  <c r="D1121" i="2" s="1"/>
  <c r="E1121" i="2" s="1"/>
  <c r="D1122" i="2" a="1"/>
  <c r="D1122" i="2" s="1"/>
  <c r="E1122" i="2" s="1"/>
  <c r="D1123" i="2" a="1"/>
  <c r="D1123" i="2" s="1"/>
  <c r="E1123" i="2" s="1"/>
  <c r="D1124" i="2" a="1"/>
  <c r="D1124" i="2" s="1"/>
  <c r="E1124" i="2" s="1"/>
  <c r="D1125" i="2" a="1"/>
  <c r="D1125" i="2" s="1"/>
  <c r="E1125" i="2" s="1"/>
  <c r="D1126" i="2" a="1"/>
  <c r="D1126" i="2" s="1"/>
  <c r="E1126" i="2" s="1"/>
  <c r="D1127" i="2" a="1"/>
  <c r="D1127" i="2" s="1"/>
  <c r="E1127" i="2" s="1"/>
  <c r="D1128" i="2" a="1"/>
  <c r="D1128" i="2" s="1"/>
  <c r="E1128" i="2" s="1"/>
  <c r="D1129" i="2" a="1"/>
  <c r="D1129" i="2" s="1"/>
  <c r="E1129" i="2" s="1"/>
  <c r="D1130" i="2" a="1"/>
  <c r="D1130" i="2" s="1"/>
  <c r="E1130" i="2" s="1"/>
  <c r="D1131" i="2" a="1"/>
  <c r="D1131" i="2" s="1"/>
  <c r="E1131" i="2" s="1"/>
  <c r="D1132" i="2" a="1"/>
  <c r="D1132" i="2" s="1"/>
  <c r="E1132" i="2" s="1"/>
  <c r="D1133" i="2" a="1"/>
  <c r="D1133" i="2" s="1"/>
  <c r="E1133" i="2" s="1"/>
  <c r="D1134" i="2" a="1"/>
  <c r="D1134" i="2" s="1"/>
  <c r="E1134" i="2" s="1"/>
  <c r="D1135" i="2" a="1"/>
  <c r="D1135" i="2" s="1"/>
  <c r="E1135" i="2" s="1"/>
  <c r="D1136" i="2" a="1"/>
  <c r="D1136" i="2" s="1"/>
  <c r="E1136" i="2" s="1"/>
  <c r="D1137" i="2" a="1"/>
  <c r="D1137" i="2" s="1"/>
  <c r="E1137" i="2" s="1"/>
  <c r="D1138" i="2" a="1"/>
  <c r="D1138" i="2" s="1"/>
  <c r="E1138" i="2" s="1"/>
  <c r="D1139" i="2" a="1"/>
  <c r="D1139" i="2" s="1"/>
  <c r="E1139" i="2" s="1"/>
  <c r="D1140" i="2" a="1"/>
  <c r="D1140" i="2" s="1"/>
  <c r="E1140" i="2" s="1"/>
  <c r="D1141" i="2" a="1"/>
  <c r="D1141" i="2" s="1"/>
  <c r="E1141" i="2" s="1"/>
  <c r="D1142" i="2" a="1"/>
  <c r="D1142" i="2" s="1"/>
  <c r="E1142" i="2" s="1"/>
  <c r="D1143" i="2" a="1"/>
  <c r="D1143" i="2" s="1"/>
  <c r="E1143" i="2" s="1"/>
  <c r="D1144" i="2" a="1"/>
  <c r="D1144" i="2" s="1"/>
  <c r="E1144" i="2" s="1"/>
  <c r="D1145" i="2" a="1"/>
  <c r="D1145" i="2" s="1"/>
  <c r="E1145" i="2" s="1"/>
  <c r="D1146" i="2" a="1"/>
  <c r="D1146" i="2" s="1"/>
  <c r="E1146" i="2" s="1"/>
  <c r="D1147" i="2" a="1"/>
  <c r="D1147" i="2" s="1"/>
  <c r="E1147" i="2" s="1"/>
  <c r="D1148" i="2" a="1"/>
  <c r="D1148" i="2" s="1"/>
  <c r="E1148" i="2" s="1"/>
  <c r="D1149" i="2" a="1"/>
  <c r="D1149" i="2" s="1"/>
  <c r="E1149" i="2" s="1"/>
  <c r="D1150" i="2" a="1"/>
  <c r="D1150" i="2" s="1"/>
  <c r="E1150" i="2" s="1"/>
  <c r="D1151" i="2" a="1"/>
  <c r="D1151" i="2" s="1"/>
  <c r="E1151" i="2" s="1"/>
  <c r="D1152" i="2" a="1"/>
  <c r="D1152" i="2" s="1"/>
  <c r="E1152" i="2" s="1"/>
  <c r="D1153" i="2" a="1"/>
  <c r="D1153" i="2" s="1"/>
  <c r="E1153" i="2" s="1"/>
  <c r="D1154" i="2" a="1"/>
  <c r="D1154" i="2" s="1"/>
  <c r="E1154" i="2" s="1"/>
  <c r="D1155" i="2" a="1"/>
  <c r="D1155" i="2" s="1"/>
  <c r="E1155" i="2" s="1"/>
  <c r="D1156" i="2" a="1"/>
  <c r="D1156" i="2" s="1"/>
  <c r="E1156" i="2" s="1"/>
  <c r="D1157" i="2" a="1"/>
  <c r="D1157" i="2" s="1"/>
  <c r="E1157" i="2" s="1"/>
  <c r="D1158" i="2" a="1"/>
  <c r="D1158" i="2" s="1"/>
  <c r="E1158" i="2" s="1"/>
  <c r="D1159" i="2" a="1"/>
  <c r="D1159" i="2" s="1"/>
  <c r="E1159" i="2" s="1"/>
  <c r="D1160" i="2" a="1"/>
  <c r="D1160" i="2" s="1"/>
  <c r="E1160" i="2" s="1"/>
  <c r="D1161" i="2" a="1"/>
  <c r="D1161" i="2" s="1"/>
  <c r="E1161" i="2" s="1"/>
  <c r="D1162" i="2" a="1"/>
  <c r="D1162" i="2" s="1"/>
  <c r="E1162" i="2" s="1"/>
  <c r="D1163" i="2" a="1"/>
  <c r="D1163" i="2" s="1"/>
  <c r="E1163" i="2" s="1"/>
  <c r="D1164" i="2" a="1"/>
  <c r="D1164" i="2" s="1"/>
  <c r="E1164" i="2" s="1"/>
  <c r="D1165" i="2" a="1"/>
  <c r="D1165" i="2" s="1"/>
  <c r="E1165" i="2" s="1"/>
  <c r="D1166" i="2" a="1"/>
  <c r="D1166" i="2" s="1"/>
  <c r="E1166" i="2" s="1"/>
  <c r="D1167" i="2" a="1"/>
  <c r="D1167" i="2" s="1"/>
  <c r="E1167" i="2" s="1"/>
  <c r="D1168" i="2" a="1"/>
  <c r="D1168" i="2" s="1"/>
  <c r="E1168" i="2" s="1"/>
  <c r="D1169" i="2" a="1"/>
  <c r="D1169" i="2" s="1"/>
  <c r="E1169" i="2" s="1"/>
  <c r="D1170" i="2" a="1"/>
  <c r="D1170" i="2" s="1"/>
  <c r="E1170" i="2" s="1"/>
  <c r="D1171" i="2" a="1"/>
  <c r="D1171" i="2" s="1"/>
  <c r="E1171" i="2" s="1"/>
  <c r="D1172" i="2" a="1"/>
  <c r="D1172" i="2" s="1"/>
  <c r="E1172" i="2" s="1"/>
  <c r="D1173" i="2" a="1"/>
  <c r="D1173" i="2" s="1"/>
  <c r="E1173" i="2" s="1"/>
  <c r="D1174" i="2" a="1"/>
  <c r="D1174" i="2" s="1"/>
  <c r="E1174" i="2" s="1"/>
  <c r="D1175" i="2" a="1"/>
  <c r="D1175" i="2" s="1"/>
  <c r="E1175" i="2" s="1"/>
  <c r="D1176" i="2" a="1"/>
  <c r="D1176" i="2" s="1"/>
  <c r="E1176" i="2" s="1"/>
  <c r="D1177" i="2" a="1"/>
  <c r="D1177" i="2" s="1"/>
  <c r="E1177" i="2" s="1"/>
  <c r="D1178" i="2" a="1"/>
  <c r="D1178" i="2" s="1"/>
  <c r="E1178" i="2" s="1"/>
  <c r="D1179" i="2" a="1"/>
  <c r="D1179" i="2" s="1"/>
  <c r="E1179" i="2" s="1"/>
  <c r="D1180" i="2" a="1"/>
  <c r="D1180" i="2" s="1"/>
  <c r="E1180" i="2" s="1"/>
  <c r="D1181" i="2" a="1"/>
  <c r="D1181" i="2" s="1"/>
  <c r="E1181" i="2" s="1"/>
  <c r="D1182" i="2" a="1"/>
  <c r="D1182" i="2" s="1"/>
  <c r="E1182" i="2" s="1"/>
  <c r="D1183" i="2" a="1"/>
  <c r="D1183" i="2" s="1"/>
  <c r="E1183" i="2" s="1"/>
  <c r="D1184" i="2" a="1"/>
  <c r="D1184" i="2" s="1"/>
  <c r="E1184" i="2" s="1"/>
  <c r="D1185" i="2" a="1"/>
  <c r="D1185" i="2" s="1"/>
  <c r="E1185" i="2" s="1"/>
  <c r="D1186" i="2" a="1"/>
  <c r="D1186" i="2" s="1"/>
  <c r="E1186" i="2" s="1"/>
  <c r="D1187" i="2" a="1"/>
  <c r="D1187" i="2" s="1"/>
  <c r="E1187" i="2" s="1"/>
  <c r="D1188" i="2" a="1"/>
  <c r="D1188" i="2" s="1"/>
  <c r="E1188" i="2" s="1"/>
  <c r="D1189" i="2" a="1"/>
  <c r="D1189" i="2" s="1"/>
  <c r="E1189" i="2" s="1"/>
  <c r="D1190" i="2" a="1"/>
  <c r="D1190" i="2" s="1"/>
  <c r="E1190" i="2" s="1"/>
  <c r="D1191" i="2" a="1"/>
  <c r="D1191" i="2" s="1"/>
  <c r="E1191" i="2" s="1"/>
  <c r="D1192" i="2" a="1"/>
  <c r="D1192" i="2" s="1"/>
  <c r="E1192" i="2" s="1"/>
  <c r="D1193" i="2" a="1"/>
  <c r="D1193" i="2" s="1"/>
  <c r="E1193" i="2" s="1"/>
  <c r="D1194" i="2" a="1"/>
  <c r="D1194" i="2" s="1"/>
  <c r="E1194" i="2" s="1"/>
  <c r="D1195" i="2" a="1"/>
  <c r="D1195" i="2" s="1"/>
  <c r="E1195" i="2" s="1"/>
  <c r="D1196" i="2" a="1"/>
  <c r="D1196" i="2" s="1"/>
  <c r="E1196" i="2" s="1"/>
  <c r="D1197" i="2" a="1"/>
  <c r="D1197" i="2" s="1"/>
  <c r="E1197" i="2" s="1"/>
  <c r="D1198" i="2" a="1"/>
  <c r="D1198" i="2" s="1"/>
  <c r="E1198" i="2" s="1"/>
  <c r="D1199" i="2" a="1"/>
  <c r="D1199" i="2" s="1"/>
  <c r="E1199" i="2" s="1"/>
  <c r="D1200" i="2" a="1"/>
  <c r="D1200" i="2" s="1"/>
  <c r="E1200" i="2" s="1"/>
  <c r="D1201" i="2" a="1"/>
  <c r="D1201" i="2" s="1"/>
  <c r="E1201" i="2" s="1"/>
  <c r="D1202" i="2" a="1"/>
  <c r="D1202" i="2" s="1"/>
  <c r="E1202" i="2" s="1"/>
  <c r="D1203" i="2" a="1"/>
  <c r="D1203" i="2" s="1"/>
  <c r="E1203" i="2" s="1"/>
  <c r="D1204" i="2" a="1"/>
  <c r="D1204" i="2" s="1"/>
  <c r="E1204" i="2" s="1"/>
  <c r="D1205" i="2" a="1"/>
  <c r="D1205" i="2" s="1"/>
  <c r="E1205" i="2" s="1"/>
  <c r="D1206" i="2" a="1"/>
  <c r="D1206" i="2" s="1"/>
  <c r="E1206" i="2" s="1"/>
  <c r="D1207" i="2" a="1"/>
  <c r="D1207" i="2" s="1"/>
  <c r="E1207" i="2" s="1"/>
  <c r="D1208" i="2" a="1"/>
  <c r="D1208" i="2" s="1"/>
  <c r="E1208" i="2" s="1"/>
  <c r="D1209" i="2" a="1"/>
  <c r="D1209" i="2" s="1"/>
  <c r="E1209" i="2" s="1"/>
  <c r="D1210" i="2" a="1"/>
  <c r="D1210" i="2" s="1"/>
  <c r="E1210" i="2" s="1"/>
  <c r="D1211" i="2" a="1"/>
  <c r="D1211" i="2" s="1"/>
  <c r="E1211" i="2" s="1"/>
  <c r="D1212" i="2" a="1"/>
  <c r="D1212" i="2" s="1"/>
  <c r="E1212" i="2" s="1"/>
  <c r="D1213" i="2" a="1"/>
  <c r="D1213" i="2" s="1"/>
  <c r="E1213" i="2" s="1"/>
  <c r="D1214" i="2" a="1"/>
  <c r="D1214" i="2" s="1"/>
  <c r="E1214" i="2" s="1"/>
  <c r="D1215" i="2" a="1"/>
  <c r="D1215" i="2" s="1"/>
  <c r="E1215" i="2" s="1"/>
  <c r="D1216" i="2" a="1"/>
  <c r="D1216" i="2" s="1"/>
  <c r="E1216" i="2" s="1"/>
  <c r="D1217" i="2" a="1"/>
  <c r="D1217" i="2" s="1"/>
  <c r="E1217" i="2" s="1"/>
  <c r="D1218" i="2" a="1"/>
  <c r="D1218" i="2" s="1"/>
  <c r="E1218" i="2" s="1"/>
  <c r="D1219" i="2" a="1"/>
  <c r="D1219" i="2" s="1"/>
  <c r="E1219" i="2" s="1"/>
  <c r="D1220" i="2" a="1"/>
  <c r="D1220" i="2" s="1"/>
  <c r="E1220" i="2" s="1"/>
  <c r="D1221" i="2" a="1"/>
  <c r="D1221" i="2" s="1"/>
  <c r="E1221" i="2" s="1"/>
  <c r="D1222" i="2" a="1"/>
  <c r="D1222" i="2" s="1"/>
  <c r="E1222" i="2" s="1"/>
  <c r="D1223" i="2" a="1"/>
  <c r="D1223" i="2" s="1"/>
  <c r="E1223" i="2" s="1"/>
  <c r="D1224" i="2" a="1"/>
  <c r="D1224" i="2" s="1"/>
  <c r="E1224" i="2" s="1"/>
  <c r="D1225" i="2" a="1"/>
  <c r="D1225" i="2" s="1"/>
  <c r="E1225" i="2" s="1"/>
  <c r="D1226" i="2" a="1"/>
  <c r="D1226" i="2" s="1"/>
  <c r="E1226" i="2" s="1"/>
  <c r="D1227" i="2" a="1"/>
  <c r="D1227" i="2" s="1"/>
  <c r="E1227" i="2" s="1"/>
  <c r="D1228" i="2" a="1"/>
  <c r="D1228" i="2" s="1"/>
  <c r="E1228" i="2" s="1"/>
  <c r="D1229" i="2" a="1"/>
  <c r="D1229" i="2" s="1"/>
  <c r="E1229" i="2" s="1"/>
  <c r="D1230" i="2" a="1"/>
  <c r="D1230" i="2" s="1"/>
  <c r="E1230" i="2" s="1"/>
  <c r="D1231" i="2" a="1"/>
  <c r="D1231" i="2" s="1"/>
  <c r="E1231" i="2" s="1"/>
  <c r="D1232" i="2" a="1"/>
  <c r="D1232" i="2" s="1"/>
  <c r="E1232" i="2" s="1"/>
  <c r="D1233" i="2" a="1"/>
  <c r="D1233" i="2" s="1"/>
  <c r="E1233" i="2" s="1"/>
  <c r="D1234" i="2" a="1"/>
  <c r="D1234" i="2" s="1"/>
  <c r="E1234" i="2" s="1"/>
  <c r="D1235" i="2" a="1"/>
  <c r="D1235" i="2" s="1"/>
  <c r="E1235" i="2" s="1"/>
  <c r="D1236" i="2" a="1"/>
  <c r="D1236" i="2" s="1"/>
  <c r="E1236" i="2" s="1"/>
  <c r="D1237" i="2" a="1"/>
  <c r="D1237" i="2" s="1"/>
  <c r="E1237" i="2" s="1"/>
  <c r="D1238" i="2" a="1"/>
  <c r="D1238" i="2" s="1"/>
  <c r="E1238" i="2" s="1"/>
  <c r="D1239" i="2" a="1"/>
  <c r="D1239" i="2" s="1"/>
  <c r="E1239" i="2" s="1"/>
  <c r="D1240" i="2" a="1"/>
  <c r="D1240" i="2" s="1"/>
  <c r="E1240" i="2" s="1"/>
  <c r="D1241" i="2" a="1"/>
  <c r="D1241" i="2" s="1"/>
  <c r="E1241" i="2" s="1"/>
  <c r="D1242" i="2" a="1"/>
  <c r="D1242" i="2" s="1"/>
  <c r="E1242" i="2" s="1"/>
  <c r="D1243" i="2" a="1"/>
  <c r="D1243" i="2" s="1"/>
  <c r="E1243" i="2" s="1"/>
  <c r="D1244" i="2" a="1"/>
  <c r="D1244" i="2" s="1"/>
  <c r="E1244" i="2" s="1"/>
  <c r="D1245" i="2" a="1"/>
  <c r="D1245" i="2" s="1"/>
  <c r="E1245" i="2" s="1"/>
  <c r="D1246" i="2" a="1"/>
  <c r="D1246" i="2" s="1"/>
  <c r="E1246" i="2" s="1"/>
  <c r="D1247" i="2" a="1"/>
  <c r="D1247" i="2" s="1"/>
  <c r="E1247" i="2" s="1"/>
  <c r="D1248" i="2" a="1"/>
  <c r="D1248" i="2" s="1"/>
  <c r="E1248" i="2" s="1"/>
  <c r="D1249" i="2" a="1"/>
  <c r="D1249" i="2" s="1"/>
  <c r="E1249" i="2" s="1"/>
  <c r="D1250" i="2" a="1"/>
  <c r="D1250" i="2"/>
  <c r="E1250" i="2" s="1"/>
  <c r="D1251" i="2" a="1"/>
  <c r="D1251" i="2" s="1"/>
  <c r="E1251" i="2" s="1"/>
  <c r="D1252" i="2" a="1"/>
  <c r="D1252" i="2" s="1"/>
  <c r="E1252" i="2" s="1"/>
  <c r="D1253" i="2" a="1"/>
  <c r="D1253" i="2" s="1"/>
  <c r="E1253" i="2" s="1"/>
  <c r="D1254" i="2" a="1"/>
  <c r="D1254" i="2" s="1"/>
  <c r="E1254" i="2" s="1"/>
  <c r="D1255" i="2" a="1"/>
  <c r="D1255" i="2" s="1"/>
  <c r="E1255" i="2" s="1"/>
  <c r="D1256" i="2" a="1"/>
  <c r="D1256" i="2" s="1"/>
  <c r="E1256" i="2" s="1"/>
  <c r="D1257" i="2" a="1"/>
  <c r="D1257" i="2" s="1"/>
  <c r="E1257" i="2" s="1"/>
  <c r="D1258" i="2" a="1"/>
  <c r="D1258" i="2" s="1"/>
  <c r="E1258" i="2" s="1"/>
  <c r="D1259" i="2" a="1"/>
  <c r="D1259" i="2" s="1"/>
  <c r="E1259" i="2" s="1"/>
  <c r="D1260" i="2" a="1"/>
  <c r="D1260" i="2" s="1"/>
  <c r="E1260" i="2" s="1"/>
  <c r="D1261" i="2" a="1"/>
  <c r="D1261" i="2" s="1"/>
  <c r="E1261" i="2" s="1"/>
  <c r="D1262" i="2" a="1"/>
  <c r="D1262" i="2" s="1"/>
  <c r="E1262" i="2" s="1"/>
  <c r="D1263" i="2" a="1"/>
  <c r="D1263" i="2" s="1"/>
  <c r="E1263" i="2" s="1"/>
  <c r="D1264" i="2" a="1"/>
  <c r="D1264" i="2" s="1"/>
  <c r="E1264" i="2" s="1"/>
  <c r="D1265" i="2" a="1"/>
  <c r="D1265" i="2" s="1"/>
  <c r="E1265" i="2" s="1"/>
  <c r="D1266" i="2" a="1"/>
  <c r="D1266" i="2" s="1"/>
  <c r="E1266" i="2" s="1"/>
  <c r="D1267" i="2" a="1"/>
  <c r="D1267" i="2" s="1"/>
  <c r="E1267" i="2" s="1"/>
  <c r="D1268" i="2" a="1"/>
  <c r="D1268" i="2" s="1"/>
  <c r="E1268" i="2" s="1"/>
  <c r="D1269" i="2" a="1"/>
  <c r="D1269" i="2" s="1"/>
  <c r="E1269" i="2" s="1"/>
  <c r="D1270" i="2" a="1"/>
  <c r="D1270" i="2" s="1"/>
  <c r="E1270" i="2" s="1"/>
  <c r="D1271" i="2" a="1"/>
  <c r="D1271" i="2" s="1"/>
  <c r="E1271" i="2" s="1"/>
  <c r="D1272" i="2" a="1"/>
  <c r="D1272" i="2" s="1"/>
  <c r="E1272" i="2" s="1"/>
  <c r="D1273" i="2" a="1"/>
  <c r="D1273" i="2" s="1"/>
  <c r="E1273" i="2" s="1"/>
  <c r="D1274" i="2" a="1"/>
  <c r="D1274" i="2" s="1"/>
  <c r="E1274" i="2" s="1"/>
  <c r="D1275" i="2" a="1"/>
  <c r="D1275" i="2" s="1"/>
  <c r="E1275" i="2" s="1"/>
  <c r="D1276" i="2" a="1"/>
  <c r="D1276" i="2" s="1"/>
  <c r="E1276" i="2" s="1"/>
  <c r="D1277" i="2" a="1"/>
  <c r="D1277" i="2" s="1"/>
  <c r="E1277" i="2" s="1"/>
  <c r="D1278" i="2" a="1"/>
  <c r="D1278" i="2" s="1"/>
  <c r="E1278" i="2" s="1"/>
  <c r="D1279" i="2" a="1"/>
  <c r="D1279" i="2" s="1"/>
  <c r="E1279" i="2" s="1"/>
  <c r="D1280" i="2" a="1"/>
  <c r="D1280" i="2" s="1"/>
  <c r="E1280" i="2" s="1"/>
  <c r="D1281" i="2" a="1"/>
  <c r="D1281" i="2" s="1"/>
  <c r="E1281" i="2" s="1"/>
  <c r="D1282" i="2" a="1"/>
  <c r="D1282" i="2" s="1"/>
  <c r="E1282" i="2" s="1"/>
  <c r="D1283" i="2" a="1"/>
  <c r="D1283" i="2" s="1"/>
  <c r="E1283" i="2" s="1"/>
  <c r="D1284" i="2" a="1"/>
  <c r="D1284" i="2" s="1"/>
  <c r="E1284" i="2" s="1"/>
  <c r="D1285" i="2" a="1"/>
  <c r="D1285" i="2" s="1"/>
  <c r="E1285" i="2" s="1"/>
  <c r="D1286" i="2" a="1"/>
  <c r="D1286" i="2" s="1"/>
  <c r="E1286" i="2" s="1"/>
  <c r="D1287" i="2" a="1"/>
  <c r="D1287" i="2" s="1"/>
  <c r="E1287" i="2" s="1"/>
  <c r="D1288" i="2" a="1"/>
  <c r="D1288" i="2"/>
  <c r="E1288" i="2" s="1"/>
  <c r="D1289" i="2" a="1"/>
  <c r="D1289" i="2" s="1"/>
  <c r="E1289" i="2" s="1"/>
  <c r="D1290" i="2" a="1"/>
  <c r="D1290" i="2" s="1"/>
  <c r="E1290" i="2" s="1"/>
  <c r="D1291" i="2" a="1"/>
  <c r="D1291" i="2" s="1"/>
  <c r="E1291" i="2" s="1"/>
  <c r="D1292" i="2" a="1"/>
  <c r="D1292" i="2" s="1"/>
  <c r="E1292" i="2" s="1"/>
  <c r="D1293" i="2" a="1"/>
  <c r="D1293" i="2" s="1"/>
  <c r="E1293" i="2" s="1"/>
  <c r="D1294" i="2" a="1"/>
  <c r="D1294" i="2" s="1"/>
  <c r="E1294" i="2" s="1"/>
  <c r="D1295" i="2" a="1"/>
  <c r="D1295" i="2" s="1"/>
  <c r="E1295" i="2" s="1"/>
  <c r="D1296" i="2" a="1"/>
  <c r="D1296" i="2" s="1"/>
  <c r="E1296" i="2" s="1"/>
  <c r="D1297" i="2" a="1"/>
  <c r="D1297" i="2" s="1"/>
  <c r="E1297" i="2" s="1"/>
  <c r="D1298" i="2" a="1"/>
  <c r="D1298" i="2" s="1"/>
  <c r="E1298" i="2" s="1"/>
  <c r="D1299" i="2" a="1"/>
  <c r="D1299" i="2" s="1"/>
  <c r="E1299" i="2" s="1"/>
  <c r="D1300" i="2" a="1"/>
  <c r="D1300" i="2" s="1"/>
  <c r="E1300" i="2" s="1"/>
  <c r="D1301" i="2" a="1"/>
  <c r="D1301" i="2" s="1"/>
  <c r="E1301" i="2" s="1"/>
  <c r="D1302" i="2" a="1"/>
  <c r="D1302" i="2" s="1"/>
  <c r="E1302" i="2" s="1"/>
  <c r="D1303" i="2" a="1"/>
  <c r="D1303" i="2" s="1"/>
  <c r="E1303" i="2" s="1"/>
  <c r="D1304" i="2" a="1"/>
  <c r="D1304" i="2" s="1"/>
  <c r="E1304" i="2" s="1"/>
  <c r="D1305" i="2" a="1"/>
  <c r="D1305" i="2" s="1"/>
  <c r="E1305" i="2" s="1"/>
  <c r="D1306" i="2" a="1"/>
  <c r="D1306" i="2" s="1"/>
  <c r="E1306" i="2" s="1"/>
  <c r="D1307" i="2" a="1"/>
  <c r="D1307" i="2" s="1"/>
  <c r="E1307" i="2" s="1"/>
  <c r="D1308" i="2" a="1"/>
  <c r="D1308" i="2" s="1"/>
  <c r="E1308" i="2" s="1"/>
  <c r="D1309" i="2" a="1"/>
  <c r="D1309" i="2" s="1"/>
  <c r="E1309" i="2" s="1"/>
  <c r="D1310" i="2" a="1"/>
  <c r="D1310" i="2" s="1"/>
  <c r="E1310" i="2" s="1"/>
  <c r="D1311" i="2" a="1"/>
  <c r="D1311" i="2" s="1"/>
  <c r="E1311" i="2" s="1"/>
  <c r="D1312" i="2" a="1"/>
  <c r="D1312" i="2" s="1"/>
  <c r="E1312" i="2" s="1"/>
  <c r="D1313" i="2" a="1"/>
  <c r="D1313" i="2" s="1"/>
  <c r="E1313" i="2" s="1"/>
  <c r="D1314" i="2" a="1"/>
  <c r="D1314" i="2" s="1"/>
  <c r="E1314" i="2" s="1"/>
  <c r="D1315" i="2" a="1"/>
  <c r="D1315" i="2" s="1"/>
  <c r="E1315" i="2" s="1"/>
  <c r="D1316" i="2" a="1"/>
  <c r="D1316" i="2" s="1"/>
  <c r="E1316" i="2" s="1"/>
  <c r="D1317" i="2" a="1"/>
  <c r="D1317" i="2" s="1"/>
  <c r="E1317" i="2" s="1"/>
  <c r="D1318" i="2" a="1"/>
  <c r="D1318" i="2" s="1"/>
  <c r="E1318" i="2" s="1"/>
  <c r="D1319" i="2" a="1"/>
  <c r="D1319" i="2" s="1"/>
  <c r="E1319" i="2" s="1"/>
  <c r="D1320" i="2" a="1"/>
  <c r="D1320" i="2" s="1"/>
  <c r="E1320" i="2" s="1"/>
  <c r="D1321" i="2" a="1"/>
  <c r="D1321" i="2" s="1"/>
  <c r="E1321" i="2" s="1"/>
  <c r="D1322" i="2" a="1"/>
  <c r="D1322" i="2" s="1"/>
  <c r="E1322" i="2" s="1"/>
  <c r="D1323" i="2" a="1"/>
  <c r="D1323" i="2" s="1"/>
  <c r="E1323" i="2" s="1"/>
  <c r="D1324" i="2" a="1"/>
  <c r="D1324" i="2" s="1"/>
  <c r="E1324" i="2" s="1"/>
  <c r="D1325" i="2" a="1"/>
  <c r="D1325" i="2" s="1"/>
  <c r="E1325" i="2" s="1"/>
  <c r="D1326" i="2" a="1"/>
  <c r="D1326" i="2" s="1"/>
  <c r="E1326" i="2" s="1"/>
  <c r="D1327" i="2" a="1"/>
  <c r="D1327" i="2" s="1"/>
  <c r="E1327" i="2" s="1"/>
  <c r="D1328" i="2" a="1"/>
  <c r="D1328" i="2" s="1"/>
  <c r="E1328" i="2" s="1"/>
  <c r="D1329" i="2" a="1"/>
  <c r="D1329" i="2" s="1"/>
  <c r="E1329" i="2" s="1"/>
  <c r="D1330" i="2" a="1"/>
  <c r="D1330" i="2" s="1"/>
  <c r="E1330" i="2" s="1"/>
  <c r="D1331" i="2" a="1"/>
  <c r="D1331" i="2" s="1"/>
  <c r="E1331" i="2" s="1"/>
  <c r="D1332" i="2" a="1"/>
  <c r="D1332" i="2" s="1"/>
  <c r="E1332" i="2" s="1"/>
  <c r="D1333" i="2" a="1"/>
  <c r="D1333" i="2" s="1"/>
  <c r="E1333" i="2" s="1"/>
  <c r="D1334" i="2" a="1"/>
  <c r="D1334" i="2" s="1"/>
  <c r="E1334" i="2" s="1"/>
  <c r="D1335" i="2" a="1"/>
  <c r="D1335" i="2" s="1"/>
  <c r="E1335" i="2" s="1"/>
  <c r="D1336" i="2" a="1"/>
  <c r="D1336" i="2"/>
  <c r="E1336" i="2" s="1"/>
  <c r="D1337" i="2" a="1"/>
  <c r="D1337" i="2" s="1"/>
  <c r="E1337" i="2" s="1"/>
  <c r="D1338" i="2" a="1"/>
  <c r="D1338" i="2" s="1"/>
  <c r="E1338" i="2" s="1"/>
  <c r="D1339" i="2" a="1"/>
  <c r="D1339" i="2" s="1"/>
  <c r="E1339" i="2" s="1"/>
  <c r="D1340" i="2" a="1"/>
  <c r="D1340" i="2" s="1"/>
  <c r="E1340" i="2" s="1"/>
  <c r="D1341" i="2" a="1"/>
  <c r="D1341" i="2" s="1"/>
  <c r="E1341" i="2" s="1"/>
  <c r="D1342" i="2" a="1"/>
  <c r="D1342" i="2" s="1"/>
  <c r="E1342" i="2" s="1"/>
  <c r="D1343" i="2" a="1"/>
  <c r="D1343" i="2" s="1"/>
  <c r="E1343" i="2" s="1"/>
  <c r="D1344" i="2" a="1"/>
  <c r="D1344" i="2" s="1"/>
  <c r="E1344" i="2" s="1"/>
  <c r="D1345" i="2" a="1"/>
  <c r="D1345" i="2" s="1"/>
  <c r="E1345" i="2" s="1"/>
  <c r="D1346" i="2" a="1"/>
  <c r="D1346" i="2" s="1"/>
  <c r="E1346" i="2" s="1"/>
  <c r="D1347" i="2" a="1"/>
  <c r="D1347" i="2" s="1"/>
  <c r="E1347" i="2" s="1"/>
  <c r="D1348" i="2" a="1"/>
  <c r="D1348" i="2" s="1"/>
  <c r="E1348" i="2" s="1"/>
  <c r="D1349" i="2" a="1"/>
  <c r="D1349" i="2" s="1"/>
  <c r="E1349" i="2" s="1"/>
  <c r="D1350" i="2" a="1"/>
  <c r="D1350" i="2" s="1"/>
  <c r="E1350" i="2" s="1"/>
  <c r="D1351" i="2" a="1"/>
  <c r="D1351" i="2" s="1"/>
  <c r="E1351" i="2" s="1"/>
  <c r="D1352" i="2" a="1"/>
  <c r="D1352" i="2" s="1"/>
  <c r="E1352" i="2" s="1"/>
  <c r="D1353" i="2" a="1"/>
  <c r="D1353" i="2" s="1"/>
  <c r="E1353" i="2" s="1"/>
  <c r="D1354" i="2" a="1"/>
  <c r="D1354" i="2"/>
  <c r="E1354" i="2" s="1"/>
  <c r="D1355" i="2" a="1"/>
  <c r="D1355" i="2" s="1"/>
  <c r="E1355" i="2" s="1"/>
  <c r="D1356" i="2" a="1"/>
  <c r="D1356" i="2" s="1"/>
  <c r="E1356" i="2" s="1"/>
  <c r="D1357" i="2" a="1"/>
  <c r="D1357" i="2" s="1"/>
  <c r="E1357" i="2" s="1"/>
  <c r="D1358" i="2" a="1"/>
  <c r="D1358" i="2" s="1"/>
  <c r="E1358" i="2" s="1"/>
  <c r="D1359" i="2" a="1"/>
  <c r="D1359" i="2" s="1"/>
  <c r="E1359" i="2" s="1"/>
  <c r="D1360" i="2" a="1"/>
  <c r="D1360" i="2" s="1"/>
  <c r="E1360" i="2" s="1"/>
  <c r="D1361" i="2" a="1"/>
  <c r="D1361" i="2" s="1"/>
  <c r="E1361" i="2" s="1"/>
  <c r="D1362" i="2" a="1"/>
  <c r="D1362" i="2" s="1"/>
  <c r="E1362" i="2" s="1"/>
  <c r="D1363" i="2" a="1"/>
  <c r="D1363" i="2" s="1"/>
  <c r="E1363" i="2" s="1"/>
  <c r="D1364" i="2" a="1"/>
  <c r="D1364" i="2" s="1"/>
  <c r="E1364" i="2" s="1"/>
  <c r="D1365" i="2" a="1"/>
  <c r="D1365" i="2" s="1"/>
  <c r="E1365" i="2" s="1"/>
  <c r="D1366" i="2" a="1"/>
  <c r="D1366" i="2" s="1"/>
  <c r="E1366" i="2" s="1"/>
  <c r="D1367" i="2" a="1"/>
  <c r="D1367" i="2" s="1"/>
  <c r="E1367" i="2" s="1"/>
  <c r="D1368" i="2" a="1"/>
  <c r="D1368" i="2" s="1"/>
  <c r="E1368" i="2" s="1"/>
  <c r="D1369" i="2" a="1"/>
  <c r="D1369" i="2" s="1"/>
  <c r="E1369" i="2" s="1"/>
  <c r="D1370" i="2" a="1"/>
  <c r="D1370" i="2" s="1"/>
  <c r="E1370" i="2" s="1"/>
  <c r="D1371" i="2" a="1"/>
  <c r="D1371" i="2" s="1"/>
  <c r="E1371" i="2" s="1"/>
  <c r="D1372" i="2" a="1"/>
  <c r="D1372" i="2" s="1"/>
  <c r="E1372" i="2" s="1"/>
  <c r="D1373" i="2" a="1"/>
  <c r="D1373" i="2" s="1"/>
  <c r="E1373" i="2" s="1"/>
  <c r="D1374" i="2" a="1"/>
  <c r="D1374" i="2" s="1"/>
  <c r="E1374" i="2" s="1"/>
  <c r="D1375" i="2" a="1"/>
  <c r="D1375" i="2" s="1"/>
  <c r="E1375" i="2" s="1"/>
  <c r="D1376" i="2" a="1"/>
  <c r="D1376" i="2" s="1"/>
  <c r="E137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<sst xmlns="http://schemas.openxmlformats.org/spreadsheetml/2006/main" count="6946" uniqueCount="4441">
  <si>
    <t>Giant_product_url</t>
  </si>
  <si>
    <t>Giant_product_image_url</t>
  </si>
  <si>
    <t>Giant_product_name</t>
  </si>
  <si>
    <t>Giant_product_brand</t>
  </si>
  <si>
    <t>Giant_product_type</t>
  </si>
  <si>
    <t>Giant_product_price</t>
  </si>
  <si>
    <t>Giant_product_quantity</t>
  </si>
  <si>
    <t>Giant_product_price_per_unit</t>
  </si>
  <si>
    <t>https://giantfoodstores.com/product/barilla-al-bronzo-bronze-cut-penne-rigate-pasta-14.1-oz-box/343463</t>
  </si>
  <si>
    <t>https://i5.peapod.com/c/NQ/NQDKE.png</t>
  </si>
  <si>
    <t>Barilla Al Bronzo Bronze Cut Penne Rigate Pasta</t>
  </si>
  <si>
    <t>Barilla</t>
  </si>
  <si>
    <t>14.1 OZ BOX</t>
  </si>
  <si>
    <t>$0.18 /OZ</t>
  </si>
  <si>
    <t>https://giantfoodstores.com/product/barilla-al-bronzo-bronze-cut-bucatini-pasta-12-oz-box/343457</t>
  </si>
  <si>
    <t>https://i5.peapod.com/c/VI/VIDJJ.png</t>
  </si>
  <si>
    <t>Barilla Al Bronzo Bronze Cut Bucatini Pasta</t>
  </si>
  <si>
    <t>12 OZ BOX</t>
  </si>
  <si>
    <t>$0.22 /OZ</t>
  </si>
  <si>
    <t>https://giantfoodstores.com/product/barilla-al-bronzo-bronze-cut-fusilli-pasta-14.1-oz-box/343459</t>
  </si>
  <si>
    <t>https://i5.peapod.com/c/RT/RTN08.png</t>
  </si>
  <si>
    <t>Barilla Al Bronzo Bronze Cut Fusilli Pasta</t>
  </si>
  <si>
    <t>https://giantfoodstores.com/product/barilla-al-bronzo-bronze-cut-spaghetti-pasta-14.1-oz-box/343464</t>
  </si>
  <si>
    <t>https://i5.peapod.com/c/6O/6O6EP.png</t>
  </si>
  <si>
    <t>Barilla Al Bronzo Bronze Cut Spaghetti Pasta</t>
  </si>
  <si>
    <t>https://giantfoodstores.com/product/barilla-al-bronzo-linguine-pasta-14.1-oz-box/343491</t>
  </si>
  <si>
    <t>https://i5.peapod.com/c/F5/F5DXA.png</t>
  </si>
  <si>
    <t>Barilla Al Bronzo Linguine Pasta</t>
  </si>
  <si>
    <t>https://giantfoodstores.com/product/barilla-penne-pasta-16-oz-box/50708</t>
  </si>
  <si>
    <t>https://i5.peapod.com/c/SL/SLAHI.png</t>
  </si>
  <si>
    <t>Barilla Penne Pasta</t>
  </si>
  <si>
    <t>16 OZ BOX</t>
  </si>
  <si>
    <t>$0.12 /OZ</t>
  </si>
  <si>
    <t>https://giantfoodstores.com/product/barilla-protein-plant-based-vegan-penne-pasta-14.5-oz-box/137834</t>
  </si>
  <si>
    <t>https://i5.peapod.com/c/3P/3PCV9.png</t>
  </si>
  <si>
    <t>Barilla Protein+ Plant-Based Vegan Penne Pasta</t>
  </si>
  <si>
    <t>14.5 OZ BOX</t>
  </si>
  <si>
    <t>https://giantfoodstores.com/product/barilla-farfalle-pasta-16-oz-box/50709</t>
  </si>
  <si>
    <t>https://i5.peapod.com/c/CE/CE43B.png</t>
  </si>
  <si>
    <t>Barilla Farfalle Pasta</t>
  </si>
  <si>
    <t>https://giantfoodstores.com/product/barilla-spaghetti-pasta-16-oz-box/50713</t>
  </si>
  <si>
    <t>https://i5.peapod.com/c/B7/B74GT.png</t>
  </si>
  <si>
    <t>Barilla Spaghetti Pasta</t>
  </si>
  <si>
    <t>https://giantfoodstores.com/product/barilla-thin-spaghetti-pasta-16-oz-box/62596</t>
  </si>
  <si>
    <t>https://i5.peapod.com/c/7Y/7YO17.png</t>
  </si>
  <si>
    <t>Barilla Thin Spaghetti Pasta</t>
  </si>
  <si>
    <t>https://giantfoodstores.com/product/barilla-protein-plant-based-vegan-rotini-pasta-14.5-oz-box/137836</t>
  </si>
  <si>
    <t>https://i5.peapod.com/c/OR/ORLCB.png</t>
  </si>
  <si>
    <t>Barilla Protein+ Plant-Based Vegan Rotini Pasta</t>
  </si>
  <si>
    <t>https://giantfoodstores.com/product/barilla-rotini-pasta-16-oz-box/50711</t>
  </si>
  <si>
    <t>https://i5.peapod.com/c/EM/EM78C.png</t>
  </si>
  <si>
    <t>Barilla Rotini Pasta</t>
  </si>
  <si>
    <t>https://giantfoodstores.com/product/barilla-rigatoni-pasta-16-oz-box/50710</t>
  </si>
  <si>
    <t>https://i5.peapod.com/c/UT/UTRD7.png</t>
  </si>
  <si>
    <t>Barilla Rigatoni Pasta</t>
  </si>
  <si>
    <t>https://giantfoodstores.com/product/barilla-elbows-pasta-16-oz-box/104880</t>
  </si>
  <si>
    <t>https://i5.peapod.com/c/H5/H5JMV.png</t>
  </si>
  <si>
    <t>Barilla Elbows Pasta</t>
  </si>
  <si>
    <t>https://giantfoodstores.com/product/barilla-angel-hair-pasta-16-oz-box/50714</t>
  </si>
  <si>
    <t>https://i5.peapod.com/c/51/51WA5.png</t>
  </si>
  <si>
    <t>Barilla Angel Hair Pasta</t>
  </si>
  <si>
    <t>https://giantfoodstores.com/product/barilla-protein-plant-based-vegan-farfalle-pasta-14.5-oz-box/154617</t>
  </si>
  <si>
    <t>https://i5.peapod.com/c/6B/6BHQ7.png</t>
  </si>
  <si>
    <t>Barilla Protein+ Plant-Based Vegan Farfalle Pasta</t>
  </si>
  <si>
    <t>https://giantfoodstores.com/product/barilla-protein-plant-based-vegan-spaghetti-pasta-14.5-oz-box/137831</t>
  </si>
  <si>
    <t>https://i5.peapod.com/c/C0/C02HO.png</t>
  </si>
  <si>
    <t>Barilla Protein+ Plant-Based Vegan Spaghetti Pasta</t>
  </si>
  <si>
    <t>https://giantfoodstores.com/product/barilla-orzo-pasta-16-oz-box/89228</t>
  </si>
  <si>
    <t>https://i5.peapod.com/c/WI/WILLL.png</t>
  </si>
  <si>
    <t>Barilla Orzo Pasta</t>
  </si>
  <si>
    <t>https://giantfoodstores.com/product/barilla-protein-plant-based-vegan-elbows-pasta-14.5-oz-box/137835</t>
  </si>
  <si>
    <t>https://i5.peapod.com/c/C9/C98WK.png</t>
  </si>
  <si>
    <t>Barilla Protein+ Plant-Based Vegan Elbows Pasta</t>
  </si>
  <si>
    <t>https://giantfoodstores.com/product/barilla-fettuccine-pasta-16-oz-box/103575</t>
  </si>
  <si>
    <t>https://i5.peapod.com/c/32/32B5L.png</t>
  </si>
  <si>
    <t>Barilla Fettuccine Pasta</t>
  </si>
  <si>
    <t>https://giantfoodstores.com/product/barilla-gluten-free-corn-rice-blend-penne-pasta-12-oz-box/200145</t>
  </si>
  <si>
    <t>https://i5.peapod.com/c/WQ/WQPKE.png</t>
  </si>
  <si>
    <t>Barilla Gluten Free Corn &amp; Rice Blend Penne Pasta</t>
  </si>
  <si>
    <t>$0.27 /OZ</t>
  </si>
  <si>
    <t>https://giantfoodstores.com/product/barilla-tri-color-rotini-pasta-12-oz-box/122746</t>
  </si>
  <si>
    <t>https://i5.peapod.com/c/VG/VG0T5.png</t>
  </si>
  <si>
    <t>Barilla Tri-Color Rotini Pasta</t>
  </si>
  <si>
    <t>$0.17 /OZ</t>
  </si>
  <si>
    <t>https://giantfoodstores.com/product/barilla-gemelli-pasta-16-oz-box/50712</t>
  </si>
  <si>
    <t>https://i5.peapod.com/c/1O/1OU3B.png</t>
  </si>
  <si>
    <t>Barilla Gemelli Pasta</t>
  </si>
  <si>
    <t>https://giantfoodstores.com/product/barilla-gluten-free-corn-rice-blend-spaghetti-pasta-12-oz-box/200147</t>
  </si>
  <si>
    <t>https://i5.peapod.com/c/AF/AFVNS.png</t>
  </si>
  <si>
    <t>Barilla Gluten Free Corn &amp; Rice Blend Spaghetti Pasta</t>
  </si>
  <si>
    <t>https://giantfoodstores.com/product/barilla-imported-rustic-basil-pesto-pasta-sauce-6.5-oz-jar/210772</t>
  </si>
  <si>
    <t>https://i5.peapod.com/c/W6/W6AG9.png</t>
  </si>
  <si>
    <t>Barilla Imported Rustic Basil Pesto Pasta Sauce</t>
  </si>
  <si>
    <t>6.5 OZ JAR</t>
  </si>
  <si>
    <t>$0.61 /OZ</t>
  </si>
  <si>
    <t>https://giantfoodstores.com/product/barilla-ready-pasta-fully-cooked-rotini-microwavable-7-oz-pkg/221594</t>
  </si>
  <si>
    <t>https://i5.peapod.com/c/H4/H4RQA.png</t>
  </si>
  <si>
    <t>Barilla Ready Pasta Fully Cooked Rotini Microwavable</t>
  </si>
  <si>
    <t>7 OZ PKG</t>
  </si>
  <si>
    <t>$0.36 /OZ</t>
  </si>
  <si>
    <t>https://giantfoodstores.com/product/barilla-gluten-free-corn-rice-blend-rotini-pasta-12-oz-box/200146</t>
  </si>
  <si>
    <t>https://i5.peapod.com/c/KN/KNKXA.png</t>
  </si>
  <si>
    <t>Barilla Gluten Free Corn &amp; Rice Blend Rotini Pasta</t>
  </si>
  <si>
    <t>https://giantfoodstores.com/product/barilla-protein-plant-based-vegan-thin-spaghetti-pasta-14.5-oz-box/137832</t>
  </si>
  <si>
    <t>https://i5.peapod.com/c/M5/M50GE.png</t>
  </si>
  <si>
    <t>Barilla Protein+ Plant-Based Vegan Thin Spaghetti Pasta</t>
  </si>
  <si>
    <t>https://giantfoodstores.com/product/barilla-protein-plant-based-vegan-angel-hair-pasta-14.5-oz-box/137833</t>
  </si>
  <si>
    <t>https://i5.peapod.com/c/IQ/IQ67D.png</t>
  </si>
  <si>
    <t>Barilla Protein+ Plant-Based Vegan Angel Hair Pasta</t>
  </si>
  <si>
    <t>https://giantfoodstores.com/product/barilla-medium-pasta-shells-16-oz-box/125355</t>
  </si>
  <si>
    <t>https://i5.peapod.com/c/C9/C9NXF.png</t>
  </si>
  <si>
    <t>Barilla Medium Pasta Shells</t>
  </si>
  <si>
    <t>https://giantfoodstores.com/product/barilla-gluten-free-corn-rice-blend-elbows-pasta-12-oz-box/200148</t>
  </si>
  <si>
    <t>https://i5.peapod.com/c/QP/QPI98.png</t>
  </si>
  <si>
    <t>Barilla Gluten Free Corn &amp; Rice Blend Elbows Pasta</t>
  </si>
  <si>
    <t>https://giantfoodstores.com/product/barilla-ready-pasta-fully-cooked-penne-microwavable-7-oz-pkg/221592</t>
  </si>
  <si>
    <t>https://i5.peapod.com/c/AU/AUYE4.png</t>
  </si>
  <si>
    <t>Barilla Ready Pasta Fully Cooked Penne Microwavable</t>
  </si>
  <si>
    <t>https://giantfoodstores.com/product/barilla-thick-spaghetti-pasta-16-oz-box/112614</t>
  </si>
  <si>
    <t>https://i5.peapod.com/c/BA/BAOFM.png</t>
  </si>
  <si>
    <t>Barilla Thick Spaghetti Pasta</t>
  </si>
  <si>
    <t>https://giantfoodstores.com/product/barilla-campanelle-pasta-16-oz-box/103577</t>
  </si>
  <si>
    <t>https://i5.peapod.com/c/L3/L38HH.png</t>
  </si>
  <si>
    <t>Barilla Campanelle Pasta</t>
  </si>
  <si>
    <t>https://giantfoodstores.com/product/barilla-ziti-pasta-16-oz-box/104881</t>
  </si>
  <si>
    <t>https://i5.peapod.com/c/16/167WZ.png</t>
  </si>
  <si>
    <t>Barilla Ziti Pasta</t>
  </si>
  <si>
    <t>https://giantfoodstores.com/product/barilla-no-sugar-added-gluten-free-tomato-basil-pasta-sauce-24-oz-jar/42885</t>
  </si>
  <si>
    <t>https://i5.peapod.com/c/1R/1RX27.png</t>
  </si>
  <si>
    <t>Barilla No Sugar Added Gluten Free Tomato &amp; Basil Pasta Sauce</t>
  </si>
  <si>
    <t>24 OZ JAR</t>
  </si>
  <si>
    <t>$0.13 /OZ</t>
  </si>
  <si>
    <t>https://giantfoodstores.com/product/barilla-whole-grain-whole-wheat-penne-pasta-16-oz-box/144828</t>
  </si>
  <si>
    <t>https://i5.peapod.com/c/1G/1GJW3.png</t>
  </si>
  <si>
    <t>Barilla Whole Grain Whole Wheat Penne Pasta</t>
  </si>
  <si>
    <t>https://giantfoodstores.com/product/barilla-three-cheese-tortellini-pasta-12-oz-bag/137585</t>
  </si>
  <si>
    <t>https://i5.peapod.com/c/O5/O5IQA.png</t>
  </si>
  <si>
    <t>Barilla Three Cheese Tortellini Pasta</t>
  </si>
  <si>
    <t>12 OZ BAG</t>
  </si>
  <si>
    <t>$0.48 /OZ</t>
  </si>
  <si>
    <t>https://giantfoodstores.com/product/barilla-whole-grain-whole-wheat-rotini-pasta-16-oz-box/150303</t>
  </si>
  <si>
    <t>https://i5.peapod.com/c/NS/NSPJ0.png</t>
  </si>
  <si>
    <t>Barilla Whole Grain Whole Wheat Rotini Pasta</t>
  </si>
  <si>
    <t>https://giantfoodstores.com/product/barilla-whole-grain-whole-wheat-thin-spaghetti-pasta-16-oz-box/144829</t>
  </si>
  <si>
    <t>https://i5.peapod.com/c/RY/RYT6B.png</t>
  </si>
  <si>
    <t>Barilla Whole Grain Whole Wheat Thin Spaghetti Pasta</t>
  </si>
  <si>
    <t>https://giantfoodstores.com/product/barilla-jumbo-pasta-shells-12-oz-box/117834</t>
  </si>
  <si>
    <t>https://i5.peapod.com/c/95/95WOQ.png</t>
  </si>
  <si>
    <t>Barilla Jumbo Pasta Shells</t>
  </si>
  <si>
    <t>$0.25 /OZ</t>
  </si>
  <si>
    <t>https://giantfoodstores.com/product/barilla-gluten-free-corn-rice-blend-fettuccine-pasta-12-oz-box/223211</t>
  </si>
  <si>
    <t>https://i5.peapod.com/c/SE/SE5R0.png</t>
  </si>
  <si>
    <t>Barilla Gluten Free Corn &amp; Rice Blend Fettuccine Pasta</t>
  </si>
  <si>
    <t>https://giantfoodstores.com/product/barilla-imported-creamy-genovese-pesto-pasta-sauce-6.2-oz-jar/264310</t>
  </si>
  <si>
    <t>https://i5.peapod.com/c/LK/LKNDA.png</t>
  </si>
  <si>
    <t>Barilla Imported Creamy Genovese Pesto Pasta Sauce</t>
  </si>
  <si>
    <t>6.2 OZ JAR</t>
  </si>
  <si>
    <t>$0.64 /OZ</t>
  </si>
  <si>
    <t>https://giantfoodstores.com/product/barilla-whole-grain-whole-wheat-spaghetti-pasta-16-oz-box/150305</t>
  </si>
  <si>
    <t>https://i5.peapod.com/c/YU/YUPMF.png</t>
  </si>
  <si>
    <t>Barilla Whole Grain Whole Wheat Spaghetti Pasta</t>
  </si>
  <si>
    <t>https://giantfoodstores.com/product/barilla-large-pasta-shells-16-oz-box/72628</t>
  </si>
  <si>
    <t>https://i5.peapod.com/c/JM/JM1GN.png</t>
  </si>
  <si>
    <t>Barilla Large Pasta Shells</t>
  </si>
  <si>
    <t>https://giantfoodstores.com/product/barilla-no-sugar-added-marinara-basil-simmered-onion-pasta-sauce-24-oz-jar/42886</t>
  </si>
  <si>
    <t>https://i5.peapod.com/c/CQ/CQ1GW.png</t>
  </si>
  <si>
    <t>Barilla No Sugar Added Marinara Basil &amp; Simmered Onion Pasta Sauce</t>
  </si>
  <si>
    <t>https://giantfoodstores.com/product/barilla-lasagne-pasta-16-oz-box/140514</t>
  </si>
  <si>
    <t>https://i5.peapod.com/c/DB/DBN7I.png</t>
  </si>
  <si>
    <t>Barilla Lasagne Pasta</t>
  </si>
  <si>
    <t>$0.19 /OZ</t>
  </si>
  <si>
    <t>https://giantfoodstores.com/product/barilla-whole-grain-whole-wheat-elbows-pasta-16-oz-box/184278</t>
  </si>
  <si>
    <t>https://i5.peapod.com/c/NF/NFVV8.png</t>
  </si>
  <si>
    <t>Barilla Whole Grain Whole Wheat Elbows Pasta</t>
  </si>
  <si>
    <t>https://giantfoodstores.com/product/barilla-plant-protein-gluten-free-vegan-chickpea-rotini-pasta-8.8-oz-box/229427</t>
  </si>
  <si>
    <t>https://i5.peapod.com/c/KE/KEHCD.png</t>
  </si>
  <si>
    <t>Barilla Plant Protein Gluten Free Vegan Chickpea Rotini Pasta</t>
  </si>
  <si>
    <t>8.8 OZ BOX</t>
  </si>
  <si>
    <t>https://giantfoodstores.com/product/barilla-gluten-free-oven-ready-lasagne-pasta-10-oz-box/242965</t>
  </si>
  <si>
    <t>https://i5.peapod.com/c/HE/HEAGX.png</t>
  </si>
  <si>
    <t>Barilla Gluten Free Oven-Ready Lasagne Pasta</t>
  </si>
  <si>
    <t>10 OZ BOX</t>
  </si>
  <si>
    <t>https://giantfoodstores.com/product/barilla-spaghetti-rigati-pasta-16-oz-box/129915</t>
  </si>
  <si>
    <t>https://i5.peapod.com/c/95/95V6R.png</t>
  </si>
  <si>
    <t>Barilla Spaghetti Rigati Pasta</t>
  </si>
  <si>
    <t>https://giantfoodstores.com/product/barilla-ready-pasta-fully-cooked-elbows-microwavable-7-oz-pkg/221593</t>
  </si>
  <si>
    <t>https://i5.peapod.com/c/HD/HD8S4.png</t>
  </si>
  <si>
    <t>Barilla Ready Pasta Fully Cooked Elbows Microwavable</t>
  </si>
  <si>
    <t>https://giantfoodstores.com/product/barilla-plant-protein-gluten-free-vegan-red-lentil-rotini-pasta-8.8-oz-box/229425</t>
  </si>
  <si>
    <t>https://i5.peapod.com/c/YA/YA2VC.png</t>
  </si>
  <si>
    <t>Barilla Plant Protein Gluten Free Vegan Red Lentil Rotini Pasta</t>
  </si>
  <si>
    <t>https://giantfoodstores.com/product/barilla-no-sugar-added-traditional-savory-oregano-basil-pasta-sauce-24-oz-jar/192736</t>
  </si>
  <si>
    <t>https://i5.peapod.com/c/5S/5SOEL.png</t>
  </si>
  <si>
    <t>Barilla No Sugar Added Traditional Savory Oregano &amp; Basil Pasta Sauce</t>
  </si>
  <si>
    <t>https://giantfoodstores.com/product/barilla-cheese-spinach-tortellini-pasta-12-oz-bag/164932</t>
  </si>
  <si>
    <t>https://i5.peapod.com/c/7W/7WJBQ.png</t>
  </si>
  <si>
    <t>Barilla Cheese &amp; Spinach Tortellini Pasta</t>
  </si>
  <si>
    <t>https://giantfoodstores.com/product/barilla-barilla-no-sugar-added-gluten-free-roasted-garlic-pasta-sauce-24-oz-jar/107815</t>
  </si>
  <si>
    <t>https://i5.peapod.com/c/VH/VH2C0.png</t>
  </si>
  <si>
    <t>Barilla Barilla No Sugar Added Gluten Free Roasted Garlic Pasta Sauce</t>
  </si>
  <si>
    <t>https://giantfoodstores.com/product/barilla-plant-protein-gluten-free-vegan-red-lentil-penne-pasta-8.8-oz-box/229426</t>
  </si>
  <si>
    <t>https://i5.peapod.com/c/BY/BYUY7.png</t>
  </si>
  <si>
    <t>Barilla Plant Protein Gluten Free Vegan Red Lentil Penne Pasta</t>
  </si>
  <si>
    <t>https://giantfoodstores.com/product/barilla-plant-protein-gluten-free-vegan-chickpea-penne-pasta-8.8-oz-box/330702</t>
  </si>
  <si>
    <t>https://i5.peapod.com/c/G3/G36T4.png</t>
  </si>
  <si>
    <t>Barilla Plant Protein Gluten Free Vegan Chickpea Penne Pasta</t>
  </si>
  <si>
    <t>https://giantfoodstores.com/product/belgioioso-aged-parmesan-cheese-wedge-8-oz-pkg/192909</t>
  </si>
  <si>
    <t>https://i5.peapod.com/c/7S/7SLQ5.png</t>
  </si>
  <si>
    <t>BelGioioso Aged Parmesan Cheese Wedge</t>
  </si>
  <si>
    <t>BelGioioso</t>
  </si>
  <si>
    <t>Dairy</t>
  </si>
  <si>
    <t>8 OZ PKG</t>
  </si>
  <si>
    <t>$11.98 /LB</t>
  </si>
  <si>
    <t>https://giantfoodstores.com/product/belgioioso-fresh-mozzarella-cheese-log-pre-sliced-8-oz-pkg/190590</t>
  </si>
  <si>
    <t>https://i5.peapod.com/c/5I/5ISK8.png</t>
  </si>
  <si>
    <t>BelGioioso Fresh Mozzarella Cheese Log Pre-Sliced</t>
  </si>
  <si>
    <t>$9.98 /LB</t>
  </si>
  <si>
    <t>https://giantfoodstores.com/product/belgioioso-fresh-mozzarella-cheese-pearls-8-oz-tub/156666</t>
  </si>
  <si>
    <t>https://i5.peapod.com/c/08/08CH3.png</t>
  </si>
  <si>
    <t>BelGioioso Fresh Mozzarella Cheese Pearls</t>
  </si>
  <si>
    <t>8 OZ TUB</t>
  </si>
  <si>
    <t>https://giantfoodstores.com/product/belgioioso-fresh-mozzarella-cheese-log-pre-sliced-16-oz-pkg/151280</t>
  </si>
  <si>
    <t>https://i5.peapod.com/c/QK/QK9QN.png</t>
  </si>
  <si>
    <t>16 OZ PKG</t>
  </si>
  <si>
    <t>$7.49 /LB</t>
  </si>
  <si>
    <t>https://giantfoodstores.com/product/belgioioso-fresh-mozzarella-cheese-ball-8-oz-pkg/143244</t>
  </si>
  <si>
    <t>https://i5.peapod.com/c/4M/4MACB.png</t>
  </si>
  <si>
    <t>BelGioioso Fresh Mozzarella Cheese Ball</t>
  </si>
  <si>
    <t>https://giantfoodstores.com/product/belgioioso-blue-cheese-crumbles-5-oz-tub/319162</t>
  </si>
  <si>
    <t>https://i5.peapod.com/c/3S/3S1Y8.png</t>
  </si>
  <si>
    <t>BelGioioso Blue Cheese Crumbles</t>
  </si>
  <si>
    <t>5 OZ TUB</t>
  </si>
  <si>
    <t>$12.87 /LB</t>
  </si>
  <si>
    <t>https://giantfoodstores.com/product/belgioioso-burrata-mozzarella-cheese-balls-8-oz-tub/152050</t>
  </si>
  <si>
    <t>https://i5.peapod.com/c/4P/4PHW7.png</t>
  </si>
  <si>
    <t>BelGioioso Burrata Mozzarella Cheese Balls</t>
  </si>
  <si>
    <t>$13.98 /LB</t>
  </si>
  <si>
    <t>https://giantfoodstores.com/product/belgioioso-fresh-mozzarella-cheese-pearls-8-oz-pkg/328240</t>
  </si>
  <si>
    <t>https://i5.peapod.com/c/TE/TEGB2.png</t>
  </si>
  <si>
    <t>https://giantfoodstores.com/product/belgioioso-fresh-mozzarella-cheese-pearls-16-oz-pkg/217434</t>
  </si>
  <si>
    <t>https://i5.peapod.com/c/Z2/Z2063.png</t>
  </si>
  <si>
    <t>https://giantfoodstores.com/product/belgioioso-gorgonzola-cheese-crumbles-5-oz-tub/319165</t>
  </si>
  <si>
    <t>https://i5.peapod.com/c/YI/YIQMF.png</t>
  </si>
  <si>
    <t>BelGioioso Gorgonzola Cheese Crumbles</t>
  </si>
  <si>
    <t>https://giantfoodstores.com/product/belgioioso-aged-parmesan-cheese-wedge-16-oz-pkg/353998</t>
  </si>
  <si>
    <t>https://i5.peapod.com/c/QD/QD8F6.png</t>
  </si>
  <si>
    <t>$10.99 /LB</t>
  </si>
  <si>
    <t>https://giantfoodstores.com/product/belgioioso-asiago-cheese-wedge-8-oz-pkg/159428</t>
  </si>
  <si>
    <t>https://i5.peapod.com/c/T9/T9Z81.png</t>
  </si>
  <si>
    <t>BelGioioso Asiago Cheese Wedge</t>
  </si>
  <si>
    <t>https://giantfoodstores.com/product/belgioioso-fresh-mozzarella-cheese-thin-sliced-21-ct-16-oz-pkg/281334</t>
  </si>
  <si>
    <t>https://i5.peapod.com/c/PK/PKPHS.png</t>
  </si>
  <si>
    <t>BelGioioso Fresh Mozzarella Cheese Thin Sliced - 21 ct</t>
  </si>
  <si>
    <t>https://giantfoodstores.com/product/belgioioso-fresh-mozzarella-cheese-ciliegine-balls-8-oz-tub/128057</t>
  </si>
  <si>
    <t>https://i5.peapod.com/c/WX/WX3AP.png</t>
  </si>
  <si>
    <t>BelGioioso Fresh Mozzarella Cheese Ciliegine Balls</t>
  </si>
  <si>
    <t>https://giantfoodstores.com/product/belgioioso-romano-cheese-wedge-8-oz-pkg/203456</t>
  </si>
  <si>
    <t>https://i5.peapod.com/c/XU/XUQQM.png</t>
  </si>
  <si>
    <t>BelGioioso Romano Cheese Wedge</t>
  </si>
  <si>
    <t>https://giantfoodstores.com/product/belgioioso-fresh-marinated-mozzarella-cheese-12-oz-tub/257618</t>
  </si>
  <si>
    <t>https://i5.peapod.com/c/8C/8CDXE.png</t>
  </si>
  <si>
    <t>BelGioioso Fresh Marinated Mozzarella Cheese</t>
  </si>
  <si>
    <t>12 OZ TUB</t>
  </si>
  <si>
    <t>$10.65 /LB</t>
  </si>
  <si>
    <t>https://giantfoodstores.com/product/belgioioso-fresh-smoked-mozzarella-cheese-ball-8-oz-pkg/208347</t>
  </si>
  <si>
    <t>https://i5.peapod.com/c/2W/2WHLF.png</t>
  </si>
  <si>
    <t>BelGioioso Fresh Smoked Mozzarella Cheese Ball</t>
  </si>
  <si>
    <t>https://giantfoodstores.com/product/belgioioso-fresh-mozzarella-snacking-cheese-6-ct-6-oz-pkg/200261</t>
  </si>
  <si>
    <t>https://i5.peapod.com/c/5A/5AFD9.png</t>
  </si>
  <si>
    <t>BelGioioso Fresh Mozzarella Snacking Cheese - 6 ct</t>
  </si>
  <si>
    <t>6 OZ PKG</t>
  </si>
  <si>
    <t>$15.76 /LB</t>
  </si>
  <si>
    <t>https://giantfoodstores.com/product/belgioioso-mascarpone-cheese-8-oz-tub/80779</t>
  </si>
  <si>
    <t>https://i5.peapod.com/c/AT/ATEJ7.png</t>
  </si>
  <si>
    <t>BelGioioso Mascarpone Cheese</t>
  </si>
  <si>
    <t>$7.98 /LB</t>
  </si>
  <si>
    <t>https://giantfoodstores.com/product/belgioioso-natural-fontina-cheese-block-8-oz-pkg/190890</t>
  </si>
  <si>
    <t>https://i5.peapod.com/c/B1/B11JF.png</t>
  </si>
  <si>
    <t>BelGioioso Natural Fontina Cheese Block</t>
  </si>
  <si>
    <t>https://giantfoodstores.com/product/belgioioso-parmesan-power-full-snacking-cheese-8-ct-6-oz-pkg/238605</t>
  </si>
  <si>
    <t>https://i5.peapod.com/c/PU/PUUL0.png</t>
  </si>
  <si>
    <t>BelGioioso Parmesan Power-Full Snacking Cheese - 8 ct</t>
  </si>
  <si>
    <t>https://giantfoodstores.com/product/belgioioso-sharp-provolone-cheese-1-2-wheel-8-oz-pkg/203459</t>
  </si>
  <si>
    <t>https://i5.peapod.com/c/32/32FLQ.png</t>
  </si>
  <si>
    <t>BelGioioso Sharp Provolone Cheese 1/2 Wheel</t>
  </si>
  <si>
    <t>https://giantfoodstores.com/product/belgioioso-extra-sharp-provolone-cheese-1-2-wheel-8-oz-pkg/203458</t>
  </si>
  <si>
    <t>https://i5.peapod.com/c/BU/BUBS7.png</t>
  </si>
  <si>
    <t>BelGioioso Extra Sharp Provolone Cheese 1/2 Wheel</t>
  </si>
  <si>
    <t>https://giantfoodstores.com/product/belgioioso-mascarpone-cheese-16-oz-tub/201888</t>
  </si>
  <si>
    <t>https://i5.peapod.com/c/PP/PPLR4.png</t>
  </si>
  <si>
    <t>16 OZ TUB</t>
  </si>
  <si>
    <t>$6.99 /LB</t>
  </si>
  <si>
    <t>https://giantfoodstores.com/product/belgioioso-artigiano-vino-rosso-gourmet-snack-cheese-8-ct-5.28-oz-pkg/329093</t>
  </si>
  <si>
    <t>https://i5.peapod.com/c/8I/8IVFW.png</t>
  </si>
  <si>
    <t>BelGioioso Artigiano Vino Rosso Gourmet Snack Cheese - 8 ct</t>
  </si>
  <si>
    <t>5.28 OZ PKG</t>
  </si>
  <si>
    <t>$18.15 /LB</t>
  </si>
  <si>
    <t>https://giantfoodstores.com/product/belgioioso-fontina-snacking-cheese-8-ct-6-oz-pkg/257625</t>
  </si>
  <si>
    <t>https://i5.peapod.com/c/QT/QT2OR.png</t>
  </si>
  <si>
    <t>BelGioioso Fontina Snacking Cheese - 8 ct</t>
  </si>
  <si>
    <t>https://giantfoodstores.com/product/belgioioso-artigiano-balsamic-cipolline-onion-snack-cheese-8-ct-5.28-oz-pkg/329092</t>
  </si>
  <si>
    <t>https://i5.peapod.com/c/HN/HN8X5.png</t>
  </si>
  <si>
    <t>BelGioioso Artigiano Balsamic &amp; Cipolline Onion Snack Cheese - 8 ct</t>
  </si>
  <si>
    <t>https://giantfoodstores.com/product/bens-original-90-second-microwave-ready-rice-jasmine-8.5-oz-pkg/311347</t>
  </si>
  <si>
    <t>https://i5.peapod.com/c/YV/YVI57.png</t>
  </si>
  <si>
    <t>Ben's Original 90 Second Microwave Ready Rice Jasmine</t>
  </si>
  <si>
    <t>Ben's Original</t>
  </si>
  <si>
    <t>8.5 OZ PKG</t>
  </si>
  <si>
    <t>$0.29 /OZ</t>
  </si>
  <si>
    <t>https://giantfoodstores.com/product/bens-original-90-second-microwave-ready-rice-basmati-8.5-oz-bag/311346</t>
  </si>
  <si>
    <t>https://i5.peapod.com/c/65/65USV.png</t>
  </si>
  <si>
    <t>Ben's Original 90 Second Microwave Ready Rice Basmati</t>
  </si>
  <si>
    <t>8.5 OZ BAG</t>
  </si>
  <si>
    <t>https://giantfoodstores.com/product/bens-original-90-second-microwave-ready-rice-coconut-jasmine-8.5-oz-pkg/311340</t>
  </si>
  <si>
    <t>https://i5.peapod.com/c/ZF/ZFM0X.png</t>
  </si>
  <si>
    <t>Ben's Original 90 Second Microwave Ready Rice Coconut Jasmine</t>
  </si>
  <si>
    <t>https://giantfoodstores.com/product/bens-original-90-second-microwave-ready-rice-whole-grain-brown-8.8-oz-pkg/311350</t>
  </si>
  <si>
    <t>https://i5.peapod.com/c/P1/P1T6B.png</t>
  </si>
  <si>
    <t>Ben's Original 90 Second Microwave Ready Rice Whole Grain Brown</t>
  </si>
  <si>
    <t>8.8 OZ PKG</t>
  </si>
  <si>
    <t>$0.28 /OZ</t>
  </si>
  <si>
    <t>https://giantfoodstores.com/product/bens-original-90-second-microwave-ready-rice-long-grain-wild-8.8-oz-pkg/311353</t>
  </si>
  <si>
    <t>https://i5.peapod.com/c/FK/FKJJ4.png</t>
  </si>
  <si>
    <t>Ben's Original 90 Second Microwave Ready Rice Long Grain &amp; Wild</t>
  </si>
  <si>
    <t>https://giantfoodstores.com/product/bens-original-90-second-microwave-ready-rice-roasted-chicken-flavored-8.8-oz-pkg/311344</t>
  </si>
  <si>
    <t>https://i5.peapod.com/c/UN/UN3QV.png</t>
  </si>
  <si>
    <t>Ben's Original 90 Second Microwave Ready Rice Roasted Chicken Flavored</t>
  </si>
  <si>
    <t>https://giantfoodstores.com/product/bens-original-90-second-microwave-ready-rice-spanish-style-8.8-oz-pkg/311348</t>
  </si>
  <si>
    <t>https://i5.peapod.com/c/H6/H6ODX.png</t>
  </si>
  <si>
    <t>Ben's Original 90 Second Microwave Ready Rice Spanish Style</t>
  </si>
  <si>
    <t>https://giantfoodstores.com/product/bens-original-90-second-microwave-ready-rice-long-grain-white-original-8.8-oz-pkg/311349</t>
  </si>
  <si>
    <t>https://i5.peapod.com/c/AP/AP11N.png</t>
  </si>
  <si>
    <t>Ben's Original 90 Second Microwave Ready Rice Long Grain White Original</t>
  </si>
  <si>
    <t>https://giantfoodstores.com/product/bens-original-90-second-microwave-ready-rice-cilantro-lime-flavored-8.5-oz-pkg/311356</t>
  </si>
  <si>
    <t>https://i5.peapod.com/c/PR/PRTP9.png</t>
  </si>
  <si>
    <t>Ben's Original 90 Second Microwave Ready Rice Cilantro Lime Flavored</t>
  </si>
  <si>
    <t>https://giantfoodstores.com/product/bens-original-90-second-microwave-ready-rice-pilaf-with-orzo-pasta-8.8-oz-pkg/311352</t>
  </si>
  <si>
    <t>https://i5.peapod.com/c/4J/4JT16.png</t>
  </si>
  <si>
    <t>Ben's Original 90 Second Microwave Ready Rice Pilaf with Orzo Pasta</t>
  </si>
  <si>
    <t>https://giantfoodstores.com/product/bens-original-90-second-microwave-ready-brown-rice-basmati-8.5-oz-pkg/311341</t>
  </si>
  <si>
    <t>https://i5.peapod.com/c/30/30X9Q.png</t>
  </si>
  <si>
    <t>Ben's Original 90 Second Microwave Ready Brown Rice Basmati</t>
  </si>
  <si>
    <t>https://giantfoodstores.com/product/bens-original-90-second-microwave-ready-rice-garden-vegetable-8.8-oz-pkg/311351</t>
  </si>
  <si>
    <t>https://i5.peapod.com/c/J2/J2C4B.png</t>
  </si>
  <si>
    <t>Ben's Original 90 Second Microwave Ready Rice Garden Vegetable</t>
  </si>
  <si>
    <t>https://giantfoodstores.com/product/bens-original-90-second-ready-rice-creamy-four-cheese-with-vermicelli-8.5-oz-pkg/311337</t>
  </si>
  <si>
    <t>https://i5.peapod.com/c/A3/A3PS6.png</t>
  </si>
  <si>
    <t>Ben's Original 90 Second Ready Rice Creamy Four Cheese with Vermicelli</t>
  </si>
  <si>
    <t>https://giantfoodstores.com/product/bens-original-90-second-microwave-ready-rice-butter-garlic-flavored-8.8-oz-bag/311345</t>
  </si>
  <si>
    <t>https://i5.peapod.com/c/C1/C11OQ.png</t>
  </si>
  <si>
    <t>Ben's Original 90 Second Microwave Ready Rice Butter &amp; Garlic Flavored</t>
  </si>
  <si>
    <t>8.8 OZ BAG</t>
  </si>
  <si>
    <t>https://giantfoodstores.com/product/bens-original-2-minute-ready-rice-jasmine-family-size-microwave-17.3-oz-bag/328168</t>
  </si>
  <si>
    <t>https://i5.peapod.com/c/YG/YGRKR.png</t>
  </si>
  <si>
    <t>Ben's Original 2 Minute Ready Rice Jasmine Family Size Microwave</t>
  </si>
  <si>
    <t>17.3 OZ BAG</t>
  </si>
  <si>
    <t>$0.31 /OZ</t>
  </si>
  <si>
    <t>https://giantfoodstores.com/product/bens-original-original-recipe-long-grain-wild-rice-6-oz-box/306224</t>
  </si>
  <si>
    <t>https://i5.peapod.com/c/AT/ATYUA.png</t>
  </si>
  <si>
    <t>Ben's Original Original Recipe Long Grain &amp; Wild Rice</t>
  </si>
  <si>
    <t>6 OZ BOX</t>
  </si>
  <si>
    <t>$0.50 /OZ</t>
  </si>
  <si>
    <t>https://giantfoodstores.com/product/bens-original-90-second-microwave-ready-fried-rice-8.5-oz-pkg/311342</t>
  </si>
  <si>
    <t>https://i5.peapod.com/c/DJ/DJCU3.png</t>
  </si>
  <si>
    <t>Ben's Original 90 Second Microwave Ready Fried Rice</t>
  </si>
  <si>
    <t>https://giantfoodstores.com/product/bens-original-90-second-microwave-ready-rice-cheddar-broccoli-flavored-8.5-oz-pkg/311339</t>
  </si>
  <si>
    <t>https://i5.peapod.com/c/9P/9PAPC.png</t>
  </si>
  <si>
    <t>Ben's Original 90 Second Microwave Ready Rice Cheddar Broccoli Flavored</t>
  </si>
  <si>
    <t>https://giantfoodstores.com/product/bens-original-long-grain-enriched-parboiled-white-rice-2-lb-box/306226</t>
  </si>
  <si>
    <t>https://i5.peapod.com/c/4T/4TEPQ.png</t>
  </si>
  <si>
    <t>Ben's Original Long Grain Enriched Parboiled White Rice</t>
  </si>
  <si>
    <t>2 LB BOX</t>
  </si>
  <si>
    <t>$0.16 /OZ</t>
  </si>
  <si>
    <t>https://giantfoodstores.com/product/bens-original-90-second-microwave-ready-rice-whole-grain-medley-8.5-oz-pkg/311338</t>
  </si>
  <si>
    <t>https://i5.peapod.com/c/0O/0OBK6.png</t>
  </si>
  <si>
    <t>Ben's Original 90 Second Microwave Ready Rice Whole Grain Medley</t>
  </si>
  <si>
    <t>https://giantfoodstores.com/product/bens-original-90-second-microwave-ready-rice-spicy-mexican-style-8.5-oz-pkg/363267</t>
  </si>
  <si>
    <t>https://i5.peapod.com/c/LD/LDXG8.png</t>
  </si>
  <si>
    <t>Ben's Original 90 Second Microwave Ready Rice Spicy Mexican Style</t>
  </si>
  <si>
    <t>https://giantfoodstores.com/product/bens-original-90-second-ready-rice-chicken-flavored-whole-grain-brown-8.8-oz-pkg/311354</t>
  </si>
  <si>
    <t>https://i5.peapod.com/c/2L/2LH0D.png</t>
  </si>
  <si>
    <t>Ben's Original 90 Second Ready Rice Chicken Flavored Whole Grain Brown</t>
  </si>
  <si>
    <t>https://giantfoodstores.com/product/bens-original-microwave-ready-rice-basmati-family-size-17.3-oz-pkg/351667</t>
  </si>
  <si>
    <t>https://i5.peapod.com/c/N7/N7AUB.png</t>
  </si>
  <si>
    <t>Ben's Original Microwave Ready Rice Basmati Family Size</t>
  </si>
  <si>
    <t>17.3 OZ PKG</t>
  </si>
  <si>
    <t>https://giantfoodstores.com/product/bens-original-cilantro-lime-ready-rice-microwave-family-size-17.3-oz-pkg/365087</t>
  </si>
  <si>
    <t>https://i5.peapod.com/c/V3/V3WY4.png</t>
  </si>
  <si>
    <t>Ben's Original Cilantro Lime Ready Rice Microwave Family Size</t>
  </si>
  <si>
    <t>https://giantfoodstores.com/product/bens-original-ready-rice-spanish-style-microwave-family-size-17.3-oz-pkg/351668</t>
  </si>
  <si>
    <t>https://i5.peapod.com/c/DN/DNON8.png</t>
  </si>
  <si>
    <t>Ben's Original Ready Rice Spanish Style Microwave Family Size</t>
  </si>
  <si>
    <t>https://giantfoodstores.com/product/bens-original-90-second-microwave-ready-rice-tikka-masala-flavor-8.5-oz-pkg/363268</t>
  </si>
  <si>
    <t>https://i5.peapod.com/c/0M/0MDST.png</t>
  </si>
  <si>
    <t>Ben's Original 90 Second Microwave Ready Rice Tikka Masala Flavor</t>
  </si>
  <si>
    <t>https://giantfoodstores.com/product/bens-original-90-second-microwave-street-food-bean-rice-burrito-bowl-9-oz-pkg/363933</t>
  </si>
  <si>
    <t>https://i5.peapod.com/c/7F/7FR82.png</t>
  </si>
  <si>
    <t>Ben's Original 90 Second Microwave Street Food Bean &amp; Rice Burrito Bowl</t>
  </si>
  <si>
    <t>9 OZ PKG</t>
  </si>
  <si>
    <t>$0.39 /OZ</t>
  </si>
  <si>
    <t>https://giantfoodstores.com/product/bens-original-90-second-microwave-street-food-fried-rice-with-vegetables-9-oz-pkg/363934</t>
  </si>
  <si>
    <t>https://i5.peapod.com/c/4B/4BGKR.png</t>
  </si>
  <si>
    <t>Ben's Original 90 Second Microwave Street Food Fried Rice with Vegetables</t>
  </si>
  <si>
    <t>https://giantfoodstores.com/product/bens-original-90-second-street-food-jamaican-jerk-red-beans-rice-9-oz-pkg/363936</t>
  </si>
  <si>
    <t>https://i5.peapod.com/c/0S/0SOQO.png</t>
  </si>
  <si>
    <t>Ben's Original 90 Second Street Food Jamaican Jerk Red Beans &amp; Rice</t>
  </si>
  <si>
    <t>https://giantfoodstores.com/product/bushs-best-original-baked-beans-16-oz-can/4007</t>
  </si>
  <si>
    <t>https://i5.peapod.com/c/VV/VVWKA.png</t>
  </si>
  <si>
    <t>Bush's Best Original Baked Beans</t>
  </si>
  <si>
    <t>Bush's</t>
  </si>
  <si>
    <t>16 OZ CAN</t>
  </si>
  <si>
    <t>https://giantfoodstores.com/product/bushs-best-country-style-baked-beans-16-oz-can/123014</t>
  </si>
  <si>
    <t>https://i5.peapod.com/c/O7/O7JJW.png</t>
  </si>
  <si>
    <t>Bush's Best Country Style Baked Beans</t>
  </si>
  <si>
    <t>https://giantfoodstores.com/product/bushs-best-maple-cured-bacon-baked-beans-16-oz-can/118537</t>
  </si>
  <si>
    <t>https://i5.peapod.com/c/XG/XG8OJ.png</t>
  </si>
  <si>
    <t>Bush's Best Maple &amp; Cured Bacon Baked Beans</t>
  </si>
  <si>
    <t>https://giantfoodstores.com/product/bushs-best-vegetarian-baked-beans-16-oz-can/4011</t>
  </si>
  <si>
    <t>https://i5.peapod.com/c/51/51PZV.png</t>
  </si>
  <si>
    <t>Bush's Best Vegetarian Baked Beans</t>
  </si>
  <si>
    <t>https://giantfoodstores.com/product/bushs-best-original-baked-beans-8.3-oz-can/4006</t>
  </si>
  <si>
    <t>https://i5.peapod.com/c/G2/G2KYV.png</t>
  </si>
  <si>
    <t>8.3 OZ CAN</t>
  </si>
  <si>
    <t>https://giantfoodstores.com/product/bushs-best-homestyle-baked-beans-16-oz-can/19740</t>
  </si>
  <si>
    <t>https://i5.peapod.com/c/OU/OUIWK.png</t>
  </si>
  <si>
    <t>Bush's Best Homestyle Baked Beans</t>
  </si>
  <si>
    <t>https://giantfoodstores.com/product/bushs-best-original-baked-beans-28-oz-can/4008</t>
  </si>
  <si>
    <t>https://i5.peapod.com/c/DL/DLMJ5.png</t>
  </si>
  <si>
    <t>28 OZ CAN</t>
  </si>
  <si>
    <t>https://giantfoodstores.com/product/bushs-best-zero-sugar-added-baked-beans-15.8-oz-can/338189</t>
  </si>
  <si>
    <t>https://i5.peapod.com/c/G1/G1QJ7.png</t>
  </si>
  <si>
    <t>Bush's Best Zero Sugar Added Baked Beans</t>
  </si>
  <si>
    <t>15.8 OZ CAN</t>
  </si>
  <si>
    <t>https://giantfoodstores.com/product/bushs-best-large-butter-beans-16-oz-can/196967</t>
  </si>
  <si>
    <t>https://i5.peapod.com/c/M2/M24XO.png</t>
  </si>
  <si>
    <t>Bush's Best Large Butter Beans</t>
  </si>
  <si>
    <t>$0.11 /OZ</t>
  </si>
  <si>
    <t>https://giantfoodstores.com/product/bushs-best-country-style-baked-beans-8.3-oz-can/203491</t>
  </si>
  <si>
    <t>https://i5.peapod.com/c/VT/VTCI1.png</t>
  </si>
  <si>
    <t>https://giantfoodstores.com/product/bushs-best-country-style-baked-beans-28-oz-can/123015</t>
  </si>
  <si>
    <t>https://i5.peapod.com/c/JB/JBGHC.png</t>
  </si>
  <si>
    <t>https://giantfoodstores.com/product/bushs-best-vegetarian-baked-beans-8.3-oz-can/203493</t>
  </si>
  <si>
    <t>https://i5.peapod.com/c/QU/QUU8C.png</t>
  </si>
  <si>
    <t>https://giantfoodstores.com/product/bushs-best-organic-baked-beans-16-oz-can/328852</t>
  </si>
  <si>
    <t>https://i5.peapod.com/c/0C/0CMQA.png</t>
  </si>
  <si>
    <t>Bush's Best Organic Baked Beans</t>
  </si>
  <si>
    <t>$0.14 /OZ</t>
  </si>
  <si>
    <t>https://giantfoodstores.com/product/bushs-best-onion-baked-beans-16-oz-can/4005</t>
  </si>
  <si>
    <t>https://i5.peapod.com/c/PW/PWN5H.png</t>
  </si>
  <si>
    <t>Bush's Best Onion Baked Beans</t>
  </si>
  <si>
    <t>https://giantfoodstores.com/product/bushs-best-vegetarian-baked-beans-28-oz-can/39331</t>
  </si>
  <si>
    <t>https://i5.peapod.com/c/7A/7AD0N.png</t>
  </si>
  <si>
    <t>https://giantfoodstores.com/product/bushs-best-brown-sugar-hickory-baked-beans-28-oz-can/222118</t>
  </si>
  <si>
    <t>https://i5.peapod.com/c/ZJ/ZJWBV.png</t>
  </si>
  <si>
    <t>Bush's Best Brown Sugar Hickory Baked Beans</t>
  </si>
  <si>
    <t>https://giantfoodstores.com/product/bushs-best-honey-sweet-baked-beans-16-oz-can/140513</t>
  </si>
  <si>
    <t>https://i5.peapod.com/c/5A/5AC9L.png</t>
  </si>
  <si>
    <t>Bush's Best Honey Sweet Baked Beans</t>
  </si>
  <si>
    <t>https://giantfoodstores.com/product/bushs-best-maple-cured-bacon-baked-beans-28-oz-can/117115</t>
  </si>
  <si>
    <t>https://i5.peapod.com/c/VO/VOCED.png</t>
  </si>
  <si>
    <t>https://giantfoodstores.com/product/bushs-best-homestyle-baked-beans-28-oz-can/50897</t>
  </si>
  <si>
    <t>https://i5.peapod.com/c/O3/O3MFV.png</t>
  </si>
  <si>
    <t>https://giantfoodstores.com/product/bushs-best-homestyle-baked-beans-8.3-oz-can/203492</t>
  </si>
  <si>
    <t>https://i5.peapod.com/c/TF/TFE5M.png</t>
  </si>
  <si>
    <t>https://giantfoodstores.com/product/bushs-best-grillin-beans-bourbon-brown-sugar-22-oz-can/148812</t>
  </si>
  <si>
    <t>https://i5.peapod.com/c/2W/2WMHJ.png</t>
  </si>
  <si>
    <t>Bush's Best Grillin' Beans Bourbon &amp; Brown Sugar</t>
  </si>
  <si>
    <t>22 OZ CAN</t>
  </si>
  <si>
    <t>$0.15 /OZ</t>
  </si>
  <si>
    <t>https://giantfoodstores.com/product/bushs-best-red-chili-beans-in-mild-sauce-16-oz-can/158246</t>
  </si>
  <si>
    <t>https://i5.peapod.com/c/7G/7GTUP.png</t>
  </si>
  <si>
    <t>Bush's Best Red Chili Beans in Mild Sauce</t>
  </si>
  <si>
    <t>https://giantfoodstores.com/product/bushs-best-red-chili-beans-in-medium-sauce-16-oz-can/156750</t>
  </si>
  <si>
    <t>https://i5.peapod.com/c/DB/DBM3O.png</t>
  </si>
  <si>
    <t>Bush's Best Red Chili Beans in Medium Sauce</t>
  </si>
  <si>
    <t>https://giantfoodstores.com/product/bushs-best-zero-sugar-added-baked-beans-27.5-oz-can/338495</t>
  </si>
  <si>
    <t>https://i5.peapod.com/c/5A/5A3VV.png</t>
  </si>
  <si>
    <t>27.5 OZ CAN</t>
  </si>
  <si>
    <t>https://giantfoodstores.com/product/bushs-best-grillin-beans-steakhouse-recipe-22-oz-can/148811</t>
  </si>
  <si>
    <t>https://i5.peapod.com/c/KO/KOZOD.png</t>
  </si>
  <si>
    <t>Bush's Best Grillin' Beans Steakhouse Recipe</t>
  </si>
  <si>
    <t>https://giantfoodstores.com/product/bushs-best-grillin-beans-smokehouse-tradition-22-oz-can/149102</t>
  </si>
  <si>
    <t>https://i5.peapod.com/c/KY/KYTGP.png</t>
  </si>
  <si>
    <t>Bush's Best Grillin' Beans Smokehouse Tradition</t>
  </si>
  <si>
    <t>https://giantfoodstores.com/product/bushs-best-grillin-beans-southern-pit-barbecue-22-oz-can/149103</t>
  </si>
  <si>
    <t>https://i5.peapod.com/c/JZ/JZJ59.png</t>
  </si>
  <si>
    <t>Bush's Best Grillin' Beans Southern Pit Barbecue</t>
  </si>
  <si>
    <t>https://giantfoodstores.com/product/bushs-best-zero-sugar-added-baked-beans-8.1-oz-can/369266</t>
  </si>
  <si>
    <t>https://i5.peapod.com/c/1Y/1YJ4J.png</t>
  </si>
  <si>
    <t>8.1 OZ CAN</t>
  </si>
  <si>
    <t>$0.20 /OZ</t>
  </si>
  <si>
    <t>https://giantfoodstores.com/product/bushs-best-grillin-beans-hot-honey-21.7-oz-can/368939</t>
  </si>
  <si>
    <t>https://i5.peapod.com/c/OF/OFLVA.png</t>
  </si>
  <si>
    <t>Bush's Best Grillin' Beans Hot Honey</t>
  </si>
  <si>
    <t>21.7 OZ CAN</t>
  </si>
  <si>
    <t>https://giantfoodstores.com/product/bushs-best-boston-recipe-baked-beans-28-oz-can/167753</t>
  </si>
  <si>
    <t>https://i5.peapod.com/c/NH/NHYJ2.png</t>
  </si>
  <si>
    <t>Bush's Best Boston Recipe Baked Beans</t>
  </si>
  <si>
    <t>https://giantfoodstores.com/product/chobani-non-fat-plain-greek-yogurt-cup-5.3-oz-cup/151522</t>
  </si>
  <si>
    <t>https://i5.peapod.com/c/T7/T7QXQ.png</t>
  </si>
  <si>
    <t>Chobani Non Fat Plain Greek Yogurt Cup</t>
  </si>
  <si>
    <t>Chobani</t>
  </si>
  <si>
    <t>5.3 OZ CUP</t>
  </si>
  <si>
    <t>https://giantfoodstores.com/product/chobani-flip-greek-chocolate-covered-strawberry-yogurt-cup-4.5-oz-cup/365233</t>
  </si>
  <si>
    <t>https://i5.peapod.com/c/EF/EFE2V.png</t>
  </si>
  <si>
    <t>Chobani Flip Greek Chocolate Covered Strawberry Yogurt Cup</t>
  </si>
  <si>
    <t>4.5 OZ CUP</t>
  </si>
  <si>
    <t>$0.42 /OZ</t>
  </si>
  <si>
    <t>https://giantfoodstores.com/product/chobani-reduced-fat-mixed-berry-blended-greek-yogurt-cup-5.3-oz-cup/213019</t>
  </si>
  <si>
    <t>https://i5.peapod.com/c/VJ/VJHEP.png</t>
  </si>
  <si>
    <t>Chobani Reduced Fat Mixed Berry Blended Greek Yogurt Cup</t>
  </si>
  <si>
    <t>https://giantfoodstores.com/product/chobani-non-fat-vanilla-greek-yogurt-cup-5.3-oz-cup/153579</t>
  </si>
  <si>
    <t>https://i5.peapod.com/c/5S/5SYYN.png</t>
  </si>
  <si>
    <t>Chobani Non Fat Vanilla Greek Yogurt Cup</t>
  </si>
  <si>
    <t>https://giantfoodstores.com/product/chobani-non-fat-peach-on-the-bottom-greek-yogurt-cup-5.3-oz-cup/154225</t>
  </si>
  <si>
    <t>https://i5.peapod.com/c/6E/6EORG.png</t>
  </si>
  <si>
    <t>Chobani Non Fat Peach on the Bottom Greek Yogurt Cup</t>
  </si>
  <si>
    <t>https://giantfoodstores.com/product/chobani-flip-low-fat-key-lime-crumble-greek-yogurt-cup-4.5-oz-cup/194198</t>
  </si>
  <si>
    <t>https://i5.peapod.com/c/DB/DBABK.png</t>
  </si>
  <si>
    <t>Chobani Flip Low Fat Key Lime Crumble Greek Yogurt Cup</t>
  </si>
  <si>
    <t>https://giantfoodstores.com/product/chobani-non-fat-vanilla-greek-yogurt-32-oz-tub/159852</t>
  </si>
  <si>
    <t>https://i5.peapod.com/c/3T/3TO58.png</t>
  </si>
  <si>
    <t>Chobani Non Fat Vanilla Greek Yogurt</t>
  </si>
  <si>
    <t>32 OZ TUB</t>
  </si>
  <si>
    <t>https://giantfoodstores.com/product/chobani-20g-protein-lowfat-vanilla-greek-yogurt-6.7-oz-cup/370506</t>
  </si>
  <si>
    <t>https://i5.peapod.com/c/83/83FGC.png</t>
  </si>
  <si>
    <t>Chobani 20g Protein Lowfat Vanilla Greek Yogurt</t>
  </si>
  <si>
    <t>6.7 OZ CUP</t>
  </si>
  <si>
    <t>$0.30 /OZ</t>
  </si>
  <si>
    <t>https://giantfoodstores.com/product/chobani-non-fat-strawberry-on-the-bottom-greek-yogurt-cup-5.3-oz-cup/153713</t>
  </si>
  <si>
    <t>https://i5.peapod.com/c/0V/0VGS2.png</t>
  </si>
  <si>
    <t>Chobani Non Fat Strawberry on the Bottom Greek Yogurt Cup</t>
  </si>
  <si>
    <t>https://giantfoodstores.com/product/chobani-non-fat-plain-greek-yogurt-32-oz-tub/159744</t>
  </si>
  <si>
    <t>https://i5.peapod.com/c/H4/H4K0F.png</t>
  </si>
  <si>
    <t>Chobani Non Fat Plain Greek Yogurt</t>
  </si>
  <si>
    <t>https://giantfoodstores.com/product/chobani-non-fat-black-cherry-on-the-bottom-greek-yogurt-cup-5.3-oz-cup/161874</t>
  </si>
  <si>
    <t>https://i5.peapod.com/c/60/60B6D.png</t>
  </si>
  <si>
    <t>Chobani Non Fat Black Cherry on the Bottom Greek Yogurt Cup</t>
  </si>
  <si>
    <t>https://giantfoodstores.com/product/chobani-flip-low-fat-strawberry-cheesecake-greek-yogurt-cup-4.5-oz-cup/254627</t>
  </si>
  <si>
    <t>https://i5.peapod.com/c/I2/I2N7T.png</t>
  </si>
  <si>
    <t>Chobani Flip Low Fat Strawberry Cheesecake Greek Yogurt Cup</t>
  </si>
  <si>
    <t>https://giantfoodstores.com/product/chobani-low-fat-key-lime-blended-greek-yogurt-cup-5.3-oz-cup/197525</t>
  </si>
  <si>
    <t>https://i5.peapod.com/c/Y4/Y44N2.png</t>
  </si>
  <si>
    <t>Chobani Low Fat Key Lime Blended Greek Yogurt Cup</t>
  </si>
  <si>
    <t>https://giantfoodstores.com/product/chobani-less-sugar-low-fat-madagascar-vanilla-cinnamon-greek-yogurt-cup-5.3-oz-cup/224590</t>
  </si>
  <si>
    <t>https://i5.peapod.com/c/LP/LPZED.png</t>
  </si>
  <si>
    <t>Chobani Less Sugar Low Fat Madagascar Vanilla &amp; Cinnamon Greek Yogurt Cup</t>
  </si>
  <si>
    <t>https://giantfoodstores.com/product/chobani-low-fat-vanilla-mixed-berry-on-the-bottom-greek-yogurt-cup-4-ct-21.2-oz-pkg/254626</t>
  </si>
  <si>
    <t>https://i5.peapod.com/c/VZ/VZF7V.png</t>
  </si>
  <si>
    <t>Chobani Low Fat Vanilla Mixed Berry on the Bottom Greek Yogurt Cup - 4 ct</t>
  </si>
  <si>
    <t>21.2 OZ PKG</t>
  </si>
  <si>
    <t>$0.26 /OZ</t>
  </si>
  <si>
    <t>https://giantfoodstores.com/product/chobani-flip-low-fat-coconut-caramel-cookie-greek-yogurt-cup-4.5-oz-cup/348748</t>
  </si>
  <si>
    <t>https://i5.peapod.com/c/U8/U8NM7.png</t>
  </si>
  <si>
    <t>Chobani Flip Low Fat Coconut Caramel Cookie Greek Yogurt Cup</t>
  </si>
  <si>
    <t>https://giantfoodstores.com/product/chobani-20g-protein-lowfat-raspberry-lemon-greek-yogurt-6.7-oz-cup/370507</t>
  </si>
  <si>
    <t>https://i5.peapod.com/c/WX/WXBXE.png</t>
  </si>
  <si>
    <t>Chobani 20g Protein Lowfat Raspberry Lemon Greek Yogurt</t>
  </si>
  <si>
    <t>https://giantfoodstores.com/product/chobani-flip-low-fat-perfect-peach-cobbler-greek-yogurt-cup-4.5-oz-cup/224205</t>
  </si>
  <si>
    <t>https://i5.peapod.com/c/S3/S3QFG.png</t>
  </si>
  <si>
    <t>Chobani Flip Low Fat Perfect Peach Cobbler Greek Yogurt Cup</t>
  </si>
  <si>
    <t>https://giantfoodstores.com/product/chobani-non-fat-blueberry-on-the-bottom-greek-yogurt-cup-5.3-oz-cup/153581</t>
  </si>
  <si>
    <t>https://i5.peapod.com/c/N7/N75MV.png</t>
  </si>
  <si>
    <t>Chobani Non Fat Blueberry on the Bottom Greek Yogurt Cup</t>
  </si>
  <si>
    <t>https://giantfoodstores.com/product/chobani-less-sugar-low-fat-refreshing-lemon-greek-yogurt-cup-5.3-oz-cup/276153</t>
  </si>
  <si>
    <t>https://i5.peapod.com/c/Z8/Z86DG.png</t>
  </si>
  <si>
    <t>Chobani Less Sugar Low Fat Refreshing Lemon Greek Yogurt Cup</t>
  </si>
  <si>
    <t>https://giantfoodstores.com/product/chobani-less-sugar-low-fat-orchard-peach-greek-yogurt-cup-5.3-oz-cup/238544</t>
  </si>
  <si>
    <t>https://i5.peapod.com/c/S1/S1MZH.png</t>
  </si>
  <si>
    <t>Chobani Less Sugar Low Fat Orchard Peach Greek Yogurt Cup</t>
  </si>
  <si>
    <t>https://giantfoodstores.com/product/chobani-non-fat-vanilla-greek-yogurt-cup-4-ct-21.2-oz-pkg/202972</t>
  </si>
  <si>
    <t>https://i5.peapod.com/c/WB/WB4OJ.png</t>
  </si>
  <si>
    <t>Chobani Non Fat Vanilla Greek Yogurt Cup - 4 ct</t>
  </si>
  <si>
    <t>https://giantfoodstores.com/product/chobani-20g-protein-lowfat-cherry-berry-greek-yogurt-6.7-oz-cup/370505</t>
  </si>
  <si>
    <t>https://i5.peapod.com/c/8S/8SDHW.png</t>
  </si>
  <si>
    <t>Chobani 20g Protein Lowfat Cherry Berry Greek Yogurt</t>
  </si>
  <si>
    <t>https://giantfoodstores.com/product/chobani-low-fat-coconut-blended-greek-yogurt-cup-5.3-oz-cup/214928</t>
  </si>
  <si>
    <t>https://i5.peapod.com/c/69/697XK.png</t>
  </si>
  <si>
    <t>Chobani Low Fat Coconut Blended Greek Yogurt Cup</t>
  </si>
  <si>
    <t>https://giantfoodstores.com/product/chobani-non-fat-raspberry-on-the-bottom-greek-yogurt-cup-5.3-oz-cup/158005</t>
  </si>
  <si>
    <t>https://i5.peapod.com/c/6H/6H2WQ.png</t>
  </si>
  <si>
    <t>Chobani Non Fat Raspberry on the Bottom Greek Yogurt Cup</t>
  </si>
  <si>
    <t>https://giantfoodstores.com/product/chobani-low-fat-vanilla-mixed-berry-on-the-bottom-greek-yogurt-cup-5.3-oz-cup/329117</t>
  </si>
  <si>
    <t>https://i5.peapod.com/c/7Y/7YFGW.png</t>
  </si>
  <si>
    <t>Chobani Low Fat Vanilla Mixed Berry on the Bottom Greek Yogurt Cup</t>
  </si>
  <si>
    <t>https://giantfoodstores.com/product/chobani-less-sugar-low-fat-ripe-strawberry-greek-yogurt-cup-5.3-oz-cup/224591</t>
  </si>
  <si>
    <t>https://i5.peapod.com/c/XK/XK2WR.png</t>
  </si>
  <si>
    <t>Chobani Less Sugar Low Fat Ripe Strawberry Greek Yogurt Cup</t>
  </si>
  <si>
    <t>https://giantfoodstores.com/product/chobani-low-fat-strawberry-banana-on-the-bottom-greek-yogurt-cup-5.3-oz-cup/159219</t>
  </si>
  <si>
    <t>https://i5.peapod.com/c/O5/O51LN.png</t>
  </si>
  <si>
    <t>Chobani Low Fat Strawberry Banana on the Bottom Greek Yogurt Cup</t>
  </si>
  <si>
    <t>https://giantfoodstores.com/product/chobani-zero-sugar-non-fat-vanilla-greek-yogurt-cup-5.3-oz-cup/314006</t>
  </si>
  <si>
    <t>https://i5.peapod.com/c/ZH/ZH9LD.png</t>
  </si>
  <si>
    <t>Chobani Zero Sugar Non Fat Vanilla Greek Yogurt Cup</t>
  </si>
  <si>
    <t>https://giantfoodstores.com/product/chobani-low-fat-pineapple-on-the-bottom-greek-yogurt-cup-5.3-oz-cup/158004</t>
  </si>
  <si>
    <t>https://i5.peapod.com/c/55/55APC.png</t>
  </si>
  <si>
    <t>Chobani Low Fat Pineapple on the Bottom Greek Yogurt Cup</t>
  </si>
  <si>
    <t>https://giantfoodstores.com/product/chobani-20g-protein-lowfat-strawberry-kiwi-greek-yogurt-6.7-oz-cup/370504</t>
  </si>
  <si>
    <t>https://i5.peapod.com/c/KE/KE8D3.png</t>
  </si>
  <si>
    <t>Chobani 20g Protein Lowfat Strawberry Kiwi Greek Yogurt</t>
  </si>
  <si>
    <t>https://giantfoodstores.com/product/chobani-whole-milk-plain-greek-yogurt-32-oz-tub/209062</t>
  </si>
  <si>
    <t>https://i5.peapod.com/c/BQ/BQW4F.png</t>
  </si>
  <si>
    <t>Chobani Whole Milk Plain Greek Yogurt</t>
  </si>
  <si>
    <t>https://giantfoodstores.com/product/chobani-zero-sugar-non-fat-peach-greek-yogurt-cup-5.3-oz-cup/329124</t>
  </si>
  <si>
    <t>https://i5.peapod.com/c/49/494Q9.png</t>
  </si>
  <si>
    <t>Chobani Zero Sugar Non Fat Peach Greek Yogurt Cup</t>
  </si>
  <si>
    <t>https://giantfoodstores.com/product/chobani-less-sugar-low-fat-wild-blueberry-greek-yogurt-cup-5.3-oz-cup/224589</t>
  </si>
  <si>
    <t>https://i5.peapod.com/c/N3/N3FI4.png</t>
  </si>
  <si>
    <t>Chobani Less Sugar Low Fat Wild Blueberry Greek Yogurt Cup</t>
  </si>
  <si>
    <t>https://giantfoodstores.com/product/chobani-non-fat-peach-on-the-bottom-greek-yogurt-cup-4-ct-21.2-oz-pkg/197544</t>
  </si>
  <si>
    <t>https://i5.peapod.com/c/MO/MOFNM.png</t>
  </si>
  <si>
    <t>Chobani Non Fat Peach on the Bottom Greek Yogurt Cup - 4 ct</t>
  </si>
  <si>
    <t>https://giantfoodstores.com/product/chobani-zero-sugar-non-fat-blueberry-greek-yogurt-cup-5.3-oz-cup/314004</t>
  </si>
  <si>
    <t>https://i5.peapod.com/c/GZ/GZ9H6.png</t>
  </si>
  <si>
    <t>Chobani Zero Sugar Non Fat Blueberry Greek Yogurt Cup</t>
  </si>
  <si>
    <t>https://giantfoodstores.com/product/chobani-flip-low-fat-key-lemon-meringue-pie-greek-yogurt-cup-4.5-oz-cup/259556</t>
  </si>
  <si>
    <t>https://i5.peapod.com/c/ET/ET63M.png</t>
  </si>
  <si>
    <t>Chobani Flip Low Fat Key Lemon Meringue Pie Greek Yogurt Cup</t>
  </si>
  <si>
    <t>https://giantfoodstores.com/product/chobani-reduced-fat-lemon-blended-greek-yogurt-cup-5.3-oz-cup/354911</t>
  </si>
  <si>
    <t>https://i5.peapod.com/c/XA/XAFSI.png</t>
  </si>
  <si>
    <t>Chobani Reduced Fat Lemon Blended Greek Yogurt Cup</t>
  </si>
  <si>
    <t>https://giantfoodstores.com/product/chobani-zero-sugar-non-fat-toasted-coconut-vanilla-greek-yogurt-cup-5.3-oz-cup/325701</t>
  </si>
  <si>
    <t>https://i5.peapod.com/c/S2/S23VX.png</t>
  </si>
  <si>
    <t>Chobani Zero Sugar Non Fat Toasted Coconut Vanilla Greek Yogurt Cup</t>
  </si>
  <si>
    <t>https://giantfoodstores.com/product/chobani-low-fat-key-lime-blended-greek-yogurt-cup-4-ct-21.2-oz-pkg/197538</t>
  </si>
  <si>
    <t>https://i5.peapod.com/c/O9/O9S80.png</t>
  </si>
  <si>
    <t>Chobani Low Fat Key Lime Blended Greek Yogurt Cup - 4 ct</t>
  </si>
  <si>
    <t>https://giantfoodstores.com/product/chobani-zero-sugar-non-fat-black-cherry-greek-yogurt-cup-5.3-oz-cup/329120</t>
  </si>
  <si>
    <t>https://i5.peapod.com/c/2B/2BRL0.png</t>
  </si>
  <si>
    <t>Chobani Zero Sugar Non Fat Black Cherry Greek Yogurt Cup</t>
  </si>
  <si>
    <t>https://giantfoodstores.com/product/chobani-zero-sugar-non-fat-mixed-berry-greek-yogurt-cup-5.3-oz-cup/314008</t>
  </si>
  <si>
    <t>https://i5.peapod.com/c/EA/EAUQI.png</t>
  </si>
  <si>
    <t>Chobani Zero Sugar Non Fat Mixed Berry Greek Yogurt Cup</t>
  </si>
  <si>
    <t>https://giantfoodstores.com/product/chobani-non-fat-black-cherry-on-the-bottom-greek-yogurt-cup-4-ct-21.2-oz-pkg/197545</t>
  </si>
  <si>
    <t>https://i5.peapod.com/c/QP/QPRXV.png</t>
  </si>
  <si>
    <t>Chobani Non Fat Black Cherry on the Bottom Greek Yogurt Cup - 4 ct</t>
  </si>
  <si>
    <t>https://giantfoodstores.com/product/chobani-creations-cherry-cheesecake-greek-yogurt-cup-5.3-oz-cup/355655</t>
  </si>
  <si>
    <t>https://i5.peapod.com/c/J2/J2OAB.png</t>
  </si>
  <si>
    <t>Chobani Creations Cherry Cheesecake Greek Yogurt Cup</t>
  </si>
  <si>
    <t>https://giantfoodstores.com/product/chobani-zero-sugar-non-fat-vanilla-greek-yogurt-32-oz-tub/311253</t>
  </si>
  <si>
    <t>https://i5.peapod.com/c/4Q/4QR53.png</t>
  </si>
  <si>
    <t>Chobani Zero Sugar Non Fat Vanilla Greek Yogurt</t>
  </si>
  <si>
    <t>https://giantfoodstores.com/product/chobani-low-fat-strawberry-banana-on-the-bottom-greek-yogurt-cup-4-ct-21.2-oz-pkg/219653</t>
  </si>
  <si>
    <t>https://i5.peapod.com/c/4V/4VOJF.png</t>
  </si>
  <si>
    <t>Chobani Low Fat Strawberry Banana on the Bottom Greek Yogurt Cup - 4 ct</t>
  </si>
  <si>
    <t>https://giantfoodstores.com/product/chobani-zero-sugar-non-fat-strawberry-cheesecake-greek-yogurt-cup-5.3-oz-cup/325700</t>
  </si>
  <si>
    <t>https://i5.peapod.com/c/P6/P6GVW.png</t>
  </si>
  <si>
    <t>Chobani Zero Sugar Non Fat Strawberry Cheesecake Greek Yogurt Cup</t>
  </si>
  <si>
    <t>https://giantfoodstores.com/product/chobani-zero-sugar-non-fat-key-lime-pie-greek-yogurt-cup-5.3-oz-cup/325698</t>
  </si>
  <si>
    <t>https://i5.peapod.com/c/JJ/JJ97V.png</t>
  </si>
  <si>
    <t>Chobani Zero Sugar Non Fat Key Lime Pie Greek Yogurt Cup</t>
  </si>
  <si>
    <t>https://giantfoodstores.com/product/chobani-non-fat-plain-greek-yogurt-cup-4-ct-21.2-oz-pkg/223718</t>
  </si>
  <si>
    <t>https://i5.peapod.com/c/W6/W6H9E.png</t>
  </si>
  <si>
    <t>Chobani Non Fat Plain Greek Yogurt Cup - 4 ct</t>
  </si>
  <si>
    <t>https://giantfoodstores.com/product/chobani-non-fat-strawberry-on-the-bottom-greek-yogurt-cup-4-ct-21.2-oz-pkg/197542</t>
  </si>
  <si>
    <t>https://i5.peapod.com/c/C8/C8SUT.png</t>
  </si>
  <si>
    <t>Chobani Non Fat Strawberry on the Bottom Greek Yogurt Cup - 4 ct</t>
  </si>
  <si>
    <t>https://giantfoodstores.com/product/chobani-low-fat-coconut-blended-greek-yogurt-cup-4-ct-21.2-oz-pkg/197539</t>
  </si>
  <si>
    <t>https://i5.peapod.com/c/A9/A9IQM.png</t>
  </si>
  <si>
    <t>Chobani Low Fat Coconut Blended Greek Yogurt Cup - 4 ct</t>
  </si>
  <si>
    <t>https://giantfoodstores.com/product/chobani-non-fat-strawberry-blended-greek-yogurt-32-oz-tub/162059</t>
  </si>
  <si>
    <t>https://i5.peapod.com/c/3R/3RAB2.png</t>
  </si>
  <si>
    <t>Chobani Non Fat Strawberry Blended Greek Yogurt</t>
  </si>
  <si>
    <t>https://giantfoodstores.com/product/chobani-reduced-fat-honey-vanilla-blended-greek-yogurt-32-oz-tub/355963</t>
  </si>
  <si>
    <t>https://i5.peapod.com/c/FT/FT8FU.png</t>
  </si>
  <si>
    <t>Chobani Reduced Fat Honey Vanilla Blended Greek Yogurt</t>
  </si>
  <si>
    <t>https://giantfoodstores.com/product/chobani-zero-sugar-lemon-meringue-pie-greek-yogurt-cup-5.3-oz-cup/350441</t>
  </si>
  <si>
    <t>https://i5.peapod.com/c/RZ/RZN5H.png</t>
  </si>
  <si>
    <t>Chobani Zero Sugar Lemon Meringue Pie Greek Yogurt Cup</t>
  </si>
  <si>
    <t>https://giantfoodstores.com/product/chobani-zero-sugar-raspberry-greek-yogurt-cup-5.3-oz-cup/350442</t>
  </si>
  <si>
    <t>https://i5.peapod.com/c/C5/C5QRK.png</t>
  </si>
  <si>
    <t>Chobani Zero Sugar Raspberry Greek Yogurt Cup</t>
  </si>
  <si>
    <t>https://giantfoodstores.com/product/chobani-zero-sugar-non-fat-vanilla-greek-yogurt-cup-4-ct-21.2-oz-pkg/311255</t>
  </si>
  <si>
    <t>https://i5.peapod.com/c/7J/7J43B.png</t>
  </si>
  <si>
    <t>Chobani Zero Sugar Non Fat Vanilla Greek Yogurt Cup - 4 ct</t>
  </si>
  <si>
    <t>https://giantfoodstores.com/product/chobani-non-fat-blueberry-on-the-bottom-greek-yogurt-cup-4-ct-21.2-oz-pkg/197541</t>
  </si>
  <si>
    <t>https://i5.peapod.com/c/IZ/IZL0R.png</t>
  </si>
  <si>
    <t>Chobani Non Fat Blueberry on the Bottom Greek Yogurt Cup - 4 ct</t>
  </si>
  <si>
    <t>https://giantfoodstores.com/product/chobani-less-sugar-low-fat-vanilla-cinnamon-greek-yogurt-cup-4-ct-21.2-oz-box/238547</t>
  </si>
  <si>
    <t>https://i5.peapod.com/c/3U/3UPF6.png</t>
  </si>
  <si>
    <t>Chobani Less Sugar Low Fat Vanilla &amp; Cinnamon Greek Yogurt Cup - 4 ct</t>
  </si>
  <si>
    <t>21.2 OZ BOX</t>
  </si>
  <si>
    <t>https://giantfoodstores.com/product/chobani-low-fat-plain-greek-yogurt-32-oz-tub/238553</t>
  </si>
  <si>
    <t>https://i5.peapod.com/c/U4/U4N85.png</t>
  </si>
  <si>
    <t>Chobani Low Fat Plain Greek Yogurt</t>
  </si>
  <si>
    <t>https://giantfoodstores.com/product/chobani-flip-low-fat-key-lime-crumble-greek-yogurt-cup-4-ct-18-oz-pkg/213007</t>
  </si>
  <si>
    <t>https://i5.peapod.com/c/P2/P2D4G.png</t>
  </si>
  <si>
    <t>Chobani Flip Low Fat Key Lime Crumble Greek Yogurt Cup - 4 ct</t>
  </si>
  <si>
    <t>18 OZ PKG</t>
  </si>
  <si>
    <t>$0.37 /OZ</t>
  </si>
  <si>
    <t>https://giantfoodstores.com/product/chobani-zero-sugar-non-fat-mixed-berry-greek-yogurt-cup-4-ct-21.2-oz-pkg/312204</t>
  </si>
  <si>
    <t>https://i5.peapod.com/c/EO/EOOP6.png</t>
  </si>
  <si>
    <t>Chobani Zero Sugar Non Fat Mixed Berry Greek Yogurt Cup - 4 ct</t>
  </si>
  <si>
    <t>https://giantfoodstores.com/product/chobani-unstuck-tropical-on-the-bottom-vanilla-greek-yogurt-cup-4-ct-21.2-oz-pkg/329123</t>
  </si>
  <si>
    <t>https://i5.peapod.com/c/5Q/5QFTW.png</t>
  </si>
  <si>
    <t>Chobani UNSTUCK Tropical on the Bottom Vanilla Greek Yogurt Cup - 4 ct</t>
  </si>
  <si>
    <t>https://giantfoodstores.com/product/chobani-non-fat-raspberry-on-the-bottom-greek-yogurt-cup-4-ct-21.2-oz-pkg/219429</t>
  </si>
  <si>
    <t>https://i5.peapod.com/c/WA/WA9OF.png</t>
  </si>
  <si>
    <t>Chobani Non Fat Raspberry on the Bottom Greek Yogurt Cup - 4 ct</t>
  </si>
  <si>
    <t>https://giantfoodstores.com/product/chobani-low-fat-pineapple-on-the-bottom-greek-yogurt-cup-4-ct-21.2-oz-pkg/197543</t>
  </si>
  <si>
    <t>https://i5.peapod.com/c/PN/PN0KS.png</t>
  </si>
  <si>
    <t>Chobani Low Fat Pineapple on the Bottom Greek Yogurt Cup - 4 ct</t>
  </si>
  <si>
    <t>https://giantfoodstores.com/product/chobani-less-sugar-low-fat-ripe-strawberry-greek-yogurt-cup-4-ct-21.2-oz-pkg/238548</t>
  </si>
  <si>
    <t>https://i5.peapod.com/c/XQ/XQR56.png</t>
  </si>
  <si>
    <t>Chobani Less Sugar Low Fat Ripe Strawberry Greek Yogurt Cup - 4 ct</t>
  </si>
  <si>
    <t>https://giantfoodstores.com/product/chobani-zero-sugar-non-fat-strawberry-greek-yogurt-32-oz-tub/329118</t>
  </si>
  <si>
    <t>https://i5.peapod.com/c/A4/A458S.png</t>
  </si>
  <si>
    <t>Chobani Zero Sugar Non Fat Strawberry Greek Yogurt</t>
  </si>
  <si>
    <t>https://giantfoodstores.com/product/chobani-flip-lowfat-salted-caramel-crunch-greek-yogurt-4-ct-18-oz-pkg/376654</t>
  </si>
  <si>
    <t>https://i5.peapod.com/c/DY/DYCHP.png</t>
  </si>
  <si>
    <t>Chobani Flip Lowfat Salted Caramel Crunch Greek Yogurt - 4 ct</t>
  </si>
  <si>
    <t>https://giantfoodstores.com/product/chobani-zero-sugar-non-fat-toasted-coconut-vanilla-greek-yogurt-cup-4-ct-21.2-oz-pkg/338192</t>
  </si>
  <si>
    <t>https://i5.peapod.com/c/NF/NFNIN.png</t>
  </si>
  <si>
    <t>Chobani Zero Sugar Non Fat Toasted Coconut Vanilla Greek Yogurt Cup - 4 ct</t>
  </si>
  <si>
    <t>https://giantfoodstores.com/product/chobani-zero-sugar-non-fat-strawberry-cheesecake-greek-yogurt-cup-4-ct-21.2-oz-pkg/329119</t>
  </si>
  <si>
    <t>https://i5.peapod.com/c/G4/G4R0W.png</t>
  </si>
  <si>
    <t>Chobani Zero Sugar Non Fat Strawberry Cheesecake Greek Yogurt Cup - 4 ct</t>
  </si>
  <si>
    <t>https://giantfoodstores.com/product/chobani-flip-low-fat-strawberry-cheesecake-greek-yogurt-cup-4-ct-18-oz-pkg/308212</t>
  </si>
  <si>
    <t>https://i5.peapod.com/c/8F/8F9PU.png</t>
  </si>
  <si>
    <t>Chobani Flip Low Fat Strawberry Cheesecake Greek Yogurt Cup - 4 ct</t>
  </si>
  <si>
    <t>https://giantfoodstores.com/product/chobani-flip-low-fat-cookie-dough-greek-yogurt-cup-4.5-oz-cup/266278</t>
  </si>
  <si>
    <t>https://i5.peapod.com/c/VJ/VJHFH.png</t>
  </si>
  <si>
    <t>Chobani Flip Low Fat Cookie Dough Greek Yogurt Cup</t>
  </si>
  <si>
    <t>https://giantfoodstores.com/product/chobani-flip-low-fat-cookies-cream-greek-yogurt-cup-4.5-oz-cup/238542</t>
  </si>
  <si>
    <t>https://i5.peapod.com/c/X1/X1627.png</t>
  </si>
  <si>
    <t>Chobani Flip Low Fat Cookies &amp; Cream Greek Yogurt Cup</t>
  </si>
  <si>
    <t>https://giantfoodstores.com/product/chobani-flip-low-fat-peanut-butter-cup-greek-yogurt-cup-4.5-oz-cup/219778</t>
  </si>
  <si>
    <t>https://i5.peapod.com/c/4R/4R4J5.png</t>
  </si>
  <si>
    <t>Chobani Flip Low Fat Peanut Butter Cup Greek Yogurt Cup</t>
  </si>
  <si>
    <t>https://giantfoodstores.com/product/chobani-flip-low-fat-smore-smores-greek-yogurt-cup-4.5-oz-cup/223714</t>
  </si>
  <si>
    <t>https://i5.peapod.com/c/NL/NLWPL.png</t>
  </si>
  <si>
    <t>Chobani Flip Low Fat S'more S'mores Greek Yogurt Cup</t>
  </si>
  <si>
    <t>https://giantfoodstores.com/product/chobani-flip-low-fat-mint-chocolate-chip-greek-yogurt-cup-4.5-oz-cup/225999</t>
  </si>
  <si>
    <t>https://i5.peapod.com/c/RF/RF74F.png</t>
  </si>
  <si>
    <t>Chobani Flip Low Fat Mint Chocolate Chip Greek Yogurt Cup</t>
  </si>
  <si>
    <t>https://giantfoodstores.com/product/chobani-complete-low-fat-mixed-berry-vanilla-greek-protein-yogurt-drink-10-oz-btl/285059</t>
  </si>
  <si>
    <t>https://i5.peapod.com/c/KX/KX6WA.png</t>
  </si>
  <si>
    <t>Chobani Complete Low Fat Mixed Berry Vanilla Greek Protein Yogurt Drink</t>
  </si>
  <si>
    <t>10 OZ BTL</t>
  </si>
  <si>
    <t>https://giantfoodstores.com/product/chobani-complete-strawberry-cream-advanced-nutrition-greek-yogurt-shake-10-oz-btl/285428</t>
  </si>
  <si>
    <t>https://i5.peapod.com/c/II/II0HQ.png</t>
  </si>
  <si>
    <t>Chobani Complete Strawberry Cream Advanced Nutrition Greek Yogurt Shake</t>
  </si>
  <si>
    <t>https://giantfoodstores.com/product/chobani-flip-limited-batch-low-fat-confetti-birthday-cake-greek-yogurt-cup-4.5-oz-cup/341723</t>
  </si>
  <si>
    <t>https://i5.peapod.com/c/X4/X4WSP.png</t>
  </si>
  <si>
    <t>Chobani Flip Limited Batch Low Fat Confetti Birthday Cake Greek Yogurt Cup</t>
  </si>
  <si>
    <t>https://giantfoodstores.com/product/chobani-flip-low-fat-salted-caramel-crunch-greek-yogurt-cup-4.5-oz-cup/213009</t>
  </si>
  <si>
    <t>https://i5.peapod.com/c/RN/RNINU.png</t>
  </si>
  <si>
    <t>Chobani Flip Low Fat Salted Caramel Crunch Greek Yogurt Cup</t>
  </si>
  <si>
    <t>https://giantfoodstores.com/product/chobani-low-fat-strawberry-banana-greek-yogurt-drink-7-oz-btl/219782</t>
  </si>
  <si>
    <t>https://i5.peapod.com/c/DI/DI9MU.png</t>
  </si>
  <si>
    <t>Chobani Low Fat Strawberry Banana Greek Yogurt Drink</t>
  </si>
  <si>
    <t>7 OZ BTL</t>
  </si>
  <si>
    <t>$0.33 /OZ</t>
  </si>
  <si>
    <t>https://giantfoodstores.com/product/chobani-flip-low-fat-almond-coco-loco-greek-yogurt-cup-4.5-oz-cup/192894</t>
  </si>
  <si>
    <t>https://i5.peapod.com/c/YC/YCMUR.png</t>
  </si>
  <si>
    <t>Chobani Flip Low Fat Almond Coco Loco Greek Yogurt Cup</t>
  </si>
  <si>
    <t>https://giantfoodstores.com/product/chobani-reduced-fat-mango-on-the-bottom-greek-yogurt-cup-5.3-oz-cup/161873</t>
  </si>
  <si>
    <t>https://i5.peapod.com/c/FD/FDLKC.png</t>
  </si>
  <si>
    <t>Chobani Reduced Fat Mango on the Bottom Greek Yogurt Cup</t>
  </si>
  <si>
    <t>https://giantfoodstores.com/product/chobani-flip-low-fat-peanut-butter-dream-greek-yogurt-cup-4.5-oz-cup/216363</t>
  </si>
  <si>
    <t>https://i5.peapod.com/c/FC/FC38T.png</t>
  </si>
  <si>
    <t>Chobani Flip Low Fat Peanut Butter Dream Greek Yogurt Cup</t>
  </si>
  <si>
    <t>https://giantfoodstores.com/product/chobani-flip-low-fat-boston-cream-pie-greek-yogurt-cup-4.5-oz-cup/266275</t>
  </si>
  <si>
    <t>https://i5.peapod.com/c/19/19143.png</t>
  </si>
  <si>
    <t>Chobani Flip Low Fat Boston Cream Pie Greek Yogurt Cup</t>
  </si>
  <si>
    <t>https://giantfoodstores.com/product/chobani-complete-vanilla-greek-protein-yogurt-drink-10-oz-btl/285061</t>
  </si>
  <si>
    <t>https://i5.peapod.com/c/0X/0X26W.png</t>
  </si>
  <si>
    <t>Chobani Complete Vanilla Greek Protein Yogurt Drink</t>
  </si>
  <si>
    <t>https://giantfoodstores.com/product/chobani-reduced-fat-coffee-blended-greek-yogurt-cup-5.3-oz-cup/354910</t>
  </si>
  <si>
    <t>https://i5.peapod.com/c/LA/LA8NR.png</t>
  </si>
  <si>
    <t>Chobani Reduced Fat Coffee Blended Greek Yogurt Cup</t>
  </si>
  <si>
    <t>https://giantfoodstores.com/product/chobani-20g-protein-lowfat-mango-greek-yogurt-6.7-oz-cup/370508</t>
  </si>
  <si>
    <t>https://i5.peapod.com/c/6C/6C2UL.png</t>
  </si>
  <si>
    <t>Chobani 20g Protein Lowfat Mango Greek Yogurt</t>
  </si>
  <si>
    <t>https://giantfoodstores.com/product/chobani-complete-low-fat-peaches-cream-greek-protein-20g-yogurt-drink-10-oz-btl/366950</t>
  </si>
  <si>
    <t>https://i5.peapod.com/c/G5/G5J47.png</t>
  </si>
  <si>
    <t>Chobani Complete Low Fat Peaches &amp; Cream Greek Protein 20g Yogurt Drink</t>
  </si>
  <si>
    <t>https://giantfoodstores.com/product/chobani-flip-low-fat-cinnamon-french-toast-greek-yogurt-cup-4.5-oz-cup/354909</t>
  </si>
  <si>
    <t>https://i5.peapod.com/c/WV/WVLKK.png</t>
  </si>
  <si>
    <t>Chobani Flip Low Fat Cinnamon French Toast Greek Yogurt Cup</t>
  </si>
  <si>
    <t>https://giantfoodstores.com/product/chobani-low-fat-peach-greek-yogurt-drink-7-oz-btl/223717</t>
  </si>
  <si>
    <t>https://i5.peapod.com/c/AM/AMAHS.png</t>
  </si>
  <si>
    <t>Chobani Low Fat Peach Greek Yogurt Drink</t>
  </si>
  <si>
    <t>https://giantfoodstores.com/product/chobani-low-fat-mixed-berry-greek-yogurt-drink-7-oz-btl/219781</t>
  </si>
  <si>
    <t>https://i5.peapod.com/c/VM/VMKHZ.png</t>
  </si>
  <si>
    <t>Chobani Low Fat Mixed Berry Greek Yogurt Drink</t>
  </si>
  <si>
    <t>https://giantfoodstores.com/product/chobani-complete-low-fat-cherry-vanilla-greek-protein-yogurt-drink-10-oz-btl/365232</t>
  </si>
  <si>
    <t>https://i5.peapod.com/c/GC/GC8L7.png</t>
  </si>
  <si>
    <t>Chobani Complete Low Fat Cherry Vanilla Greek Protein Yogurt Drink</t>
  </si>
  <si>
    <t>https://giantfoodstores.com/product/chobani-low-fat-mango-greek-yogurt-drink-7-oz-btl/219784</t>
  </si>
  <si>
    <t>https://i5.peapod.com/c/S2/S257B.png</t>
  </si>
  <si>
    <t>Chobani Low Fat Mango Greek Yogurt Drink</t>
  </si>
  <si>
    <t>https://giantfoodstores.com/product/chobani-flip-low-fat-red-velvet-cupcake-greek-yogurt-cup-4.5-oz-cup/285064</t>
  </si>
  <si>
    <t>https://i5.peapod.com/c/DU/DUX86.png</t>
  </si>
  <si>
    <t>Chobani Flip Low Fat Red Velvet Cupcake Greek Yogurt Cup</t>
  </si>
  <si>
    <t>https://giantfoodstores.com/product/chobani-zero-sugar-non-fat-milk-cookies-greek-yogurt-cup-5.3-oz-cup/325699</t>
  </si>
  <si>
    <t>https://i5.peapod.com/c/RJ/RJGUR.png</t>
  </si>
  <si>
    <t>Chobani Zero Sugar Non Fat Milk &amp; Cookies Greek Yogurt Cup</t>
  </si>
  <si>
    <t>https://giantfoodstores.com/product/chobani-creations-apple-pie-a-la-mode-greek-yogurt-cup-5.3-oz-cup/355652</t>
  </si>
  <si>
    <t>https://i5.peapod.com/c/K0/K0VKN.png</t>
  </si>
  <si>
    <t>Chobani Creations Apple Pie a La Mode Greek Yogurt Cup</t>
  </si>
  <si>
    <t>https://giantfoodstores.com/product/chobani-low-fat-strawberry-greek-yogurt-drink-7-oz-btl/343704</t>
  </si>
  <si>
    <t>https://i5.peapod.com/c/X9/X9MPP.png</t>
  </si>
  <si>
    <t>Chobani Low Fat Strawberry Greek Yogurt Drink</t>
  </si>
  <si>
    <t>https://giantfoodstores.com/product/chobani-creations-caramel-sundae-greek-yogurt-cup-5.3-oz-cup/355654</t>
  </si>
  <si>
    <t>https://i5.peapod.com/c/GD/GD5MY.png</t>
  </si>
  <si>
    <t>Chobani Creations Caramel Sundae Greek Yogurt Cup</t>
  </si>
  <si>
    <t>https://giantfoodstores.com/product/chobani-flip-low-fat-cookies-cream-greek-yogurt-cup-4-ct-18-oz-pkg/263733</t>
  </si>
  <si>
    <t>https://i5.peapod.com/c/PV/PVQKJ.png</t>
  </si>
  <si>
    <t>Chobani Flip Low Fat Cookies &amp; Cream Greek Yogurt Cup - 4 ct</t>
  </si>
  <si>
    <t>https://giantfoodstores.com/product/chobani-zero-added-sugar-strawberries-cream-greek-yogurt-protein-drink-7-oz-btl/374389</t>
  </si>
  <si>
    <t>https://i5.peapod.com/c/H9/H99OR.png</t>
  </si>
  <si>
    <t>Chobani Zero Added Sugar Strawberries &amp; Cream Greek Yogurt Protein Drink</t>
  </si>
  <si>
    <t>https://giantfoodstores.com/product/chobani-creations-orange-cream-pop-greek-yogurt-cup-5.3-oz-cup/355656</t>
  </si>
  <si>
    <t>https://i5.peapod.com/c/QI/QITA2.png</t>
  </si>
  <si>
    <t>Chobani Creations Orange Cream Pop Greek Yogurt Cup</t>
  </si>
  <si>
    <t>https://giantfoodstores.com/product/chobani-flip-low-fat-cookie-dough-greek-yogurt-cup-4-ct-18-oz-pkg/350058</t>
  </si>
  <si>
    <t>https://i5.peapod.com/c/RQ/RQDCD.png</t>
  </si>
  <si>
    <t>Chobani Flip Low Fat Cookie Dough Greek Yogurt Cup - 4 ct</t>
  </si>
  <si>
    <t>https://giantfoodstores.com/product/chobani-zero-added-sugar-tropical-punch-greek-yogurt-protein-drink-7-oz-btl/374390</t>
  </si>
  <si>
    <t>https://i5.peapod.com/c/UY/UYIQF.png</t>
  </si>
  <si>
    <t>Chobani Zero Added Sugar Tropical Punch Greek Yogurt Protein Drink</t>
  </si>
  <si>
    <t>https://giantfoodstores.com/product/chobani-flip-low-fat-smore-smores-greek-yogurt-cup-4-ct-18-oz-pkg/238543</t>
  </si>
  <si>
    <t>https://i5.peapod.com/c/UJ/UJQ49.png</t>
  </si>
  <si>
    <t>Chobani Flip Low Fat S'more S'mores Greek Yogurt Cup - 4 ct</t>
  </si>
  <si>
    <t>https://giantfoodstores.com/product/chobani-low-fat-strawberry-banana-greek-yogurt-drink-4-ct-7-oz-btl/354913</t>
  </si>
  <si>
    <t>https://i5.peapod.com/c/R7/R7EIB.png</t>
  </si>
  <si>
    <t>Chobani Low Fat Strawberry Banana Greek Yogurt Drink - 4 ct</t>
  </si>
  <si>
    <t>https://giantfoodstores.com/product/chobani-low-fat-mixed-berry-greek-yogurt-drink-4-ct-7-oz-btl/354912</t>
  </si>
  <si>
    <t>https://i5.peapod.com/c/K3/K33R2.png</t>
  </si>
  <si>
    <t>Chobani Low Fat Mixed Berry Greek Yogurt Drink - 4 ct</t>
  </si>
  <si>
    <t>https://giantfoodstores.com/product/chobani-complete-low-fat-cookies-cream-protein-yogurt-drink-10-oz-btl/342638</t>
  </si>
  <si>
    <t>https://i5.peapod.com/c/IX/IXJKK.png</t>
  </si>
  <si>
    <t>Chobani Complete Low Fat Cookies &amp; Cream Protein Yogurt Drink</t>
  </si>
  <si>
    <t>https://giantfoodstores.com/product/chobani-zero-added-sugar-vanilla-ice-cream-greek-yogurt-protein-drink-14-oz-btl/374392</t>
  </si>
  <si>
    <t>https://i5.peapod.com/c/L7/L74Y0.png</t>
  </si>
  <si>
    <t>Chobani Zero Added Sugar Vanilla Ice Cream Greek Yogurt Protein Drink</t>
  </si>
  <si>
    <t>14 OZ BTL</t>
  </si>
  <si>
    <t>https://giantfoodstores.com/product/chobani-flip-low-fat-almond-coco-loco-greek-yogurt-cup-4-ct-18-oz-pkg/218297</t>
  </si>
  <si>
    <t>https://i5.peapod.com/c/5H/5HL6W.png</t>
  </si>
  <si>
    <t>Chobani Flip Low Fat Almond Coco Loco Greek Yogurt Cup - 4 ct</t>
  </si>
  <si>
    <t>https://giantfoodstores.com/product/chobani-zero-added-sugar-strawberries-cream-greek-yogurt-protein-drink-14-oz-btl/374391</t>
  </si>
  <si>
    <t>https://i5.peapod.com/c/VB/VBS16.png</t>
  </si>
  <si>
    <t>https://giantfoodstores.com/product/chobani-low-fat-strawberry-greek-yogurt-drink-4-ct-7-oz-btl/355551</t>
  </si>
  <si>
    <t>https://i5.peapod.com/c/C8/C8H61.png</t>
  </si>
  <si>
    <t>Chobani Low Fat Strawberry Greek Yogurt Drink - 4 ct</t>
  </si>
  <si>
    <t>https://giantfoodstores.com/product/chobani-flip-low-fat-peanut-butter-cup-greek-yogurt-cup-4-ct-18-oz-pkg/350059</t>
  </si>
  <si>
    <t>https://i5.peapod.com/c/Y1/Y146P.png</t>
  </si>
  <si>
    <t>Chobani Flip Low Fat Peanut Butter Cup Greek Yogurt Cup - 4 ct</t>
  </si>
  <si>
    <t>https://giantfoodstores.com/product/chobani-reduced-fat-raspberry-lemonade-layered-greek-yogurt-cup-4-ct-21.2-oz-pkg/352044</t>
  </si>
  <si>
    <t>https://i5.peapod.com/c/J2/J27W8.png</t>
  </si>
  <si>
    <t>Chobani Reduced Fat Raspberry Lemonade Layered Greek Yogurt Cup - 4 ct</t>
  </si>
  <si>
    <t>https://giantfoodstores.com/product/chobani-lowfat-raspberry-lemonade-greek-yogurt-drink-7-oz-btl/366951</t>
  </si>
  <si>
    <t>https://i5.peapod.com/c/97/9754S.png</t>
  </si>
  <si>
    <t>Chobani Lowfat Raspberry Lemonade Greek Yogurt Drink</t>
  </si>
  <si>
    <t>https://giantfoodstores.com/product/chobani-reduced-fat-fruit-punch-blended-greek-yogurt-5.3-oz-cup/378555</t>
  </si>
  <si>
    <t>https://i5.peapod.com/c/FH/FHU8J.png</t>
  </si>
  <si>
    <t>Chobani Reduced Fat Fruit Punch Blended Greek Yogurt</t>
  </si>
  <si>
    <t>$0.32 /OZ</t>
  </si>
  <si>
    <t>https://giantfoodstores.com/product/del-monte-sliced-peaches-in-100-juice-15-oz-can/12031</t>
  </si>
  <si>
    <t>https://i5.peapod.com/c/DS/DS5GQ.png</t>
  </si>
  <si>
    <t>Del Monte Sliced Peaches in 100% Juice</t>
  </si>
  <si>
    <t>Del Monte</t>
  </si>
  <si>
    <t>15 OZ CAN</t>
  </si>
  <si>
    <t>https://giantfoodstores.com/product/del-monte-no-sugar-added-sliced-peaches-in-water-14.5-oz-can/155932</t>
  </si>
  <si>
    <t>https://i5.peapod.com/c/2D/2DV64.png</t>
  </si>
  <si>
    <t>Del Monte No Sugar Added Sliced Peaches in Water</t>
  </si>
  <si>
    <t>14.5 OZ CAN</t>
  </si>
  <si>
    <t>$0.21 /OZ</t>
  </si>
  <si>
    <t>https://giantfoodstores.com/product/del-monte-sliced-peaches-in-heavy-syrup-15.2-oz-can/2144</t>
  </si>
  <si>
    <t>https://i5.peapod.com/c/CQ/CQATU.png</t>
  </si>
  <si>
    <t>Del Monte Sliced Peaches in Heavy Syrup</t>
  </si>
  <si>
    <t>15.2 OZ CAN</t>
  </si>
  <si>
    <t>https://giantfoodstores.com/product/del-monte-lite-sliced-peaches-in-extra-light-syrup-15-oz-can/2183</t>
  </si>
  <si>
    <t>https://i5.peapod.com/c/NQ/NQ16V.png</t>
  </si>
  <si>
    <t>Del Monte Lite Sliced Peaches in Extra Light Syrup</t>
  </si>
  <si>
    <t>https://giantfoodstores.com/product/del-monte-sliced-peaches-in-heavy-syrup-29-oz-can/2143</t>
  </si>
  <si>
    <t>https://i5.peapod.com/c/TO/TOKKU.png</t>
  </si>
  <si>
    <t>29 OZ CAN</t>
  </si>
  <si>
    <t>https://giantfoodstores.com/product/del-monte-peaches-chunks-in-heavy-syrup-15.2-oz-can/168702</t>
  </si>
  <si>
    <t>https://i5.peapod.com/c/AK/AKSMT.png</t>
  </si>
  <si>
    <t>Del Monte Peaches Chunks in Heavy Syrup</t>
  </si>
  <si>
    <t>https://giantfoodstores.com/product/del-monte-lite-sliced-peaches-in-extra-light-syrup-29-oz-can/22316</t>
  </si>
  <si>
    <t>https://i5.peapod.com/c/WO/WO67F.png</t>
  </si>
  <si>
    <t>https://giantfoodstores.com/product/del-monte-freestone-sliced-peaches-in-heavy-syrup-15.2-oz-can/229246</t>
  </si>
  <si>
    <t>https://i5.peapod.com/c/TI/TITF3.png</t>
  </si>
  <si>
    <t>Del Monte Freestone Sliced Peaches in Heavy Syrup</t>
  </si>
  <si>
    <t>https://giantfoodstores.com/product/del-monte-peaches-halves-in-heavy-syrup-15.25-oz-can/327916</t>
  </si>
  <si>
    <t>https://i5.peapod.com/c/TO/TO27T.png</t>
  </si>
  <si>
    <t>Del Monte Peaches Halves in Heavy Syrup</t>
  </si>
  <si>
    <t>15.25 OZ CAN</t>
  </si>
  <si>
    <t>https://giantfoodstores.com/product/del-monte-diced-peaches-fruit-cups-in-juice-4-ct-16-oz-pkg/114944</t>
  </si>
  <si>
    <t>https://i5.peapod.com/c/8H/8HIW4.png</t>
  </si>
  <si>
    <t>Del Monte Diced Peaches Fruit Cups in Juice - 4 ct</t>
  </si>
  <si>
    <t>https://giantfoodstores.com/product/del-monte-no-sugar-added-diced-peaches-fruit-cups-in-water-4-ct-15-oz-pkg/155933</t>
  </si>
  <si>
    <t>https://i5.peapod.com/c/T5/T5VLG.png</t>
  </si>
  <si>
    <t>Del Monte No Sugar Added Diced Peaches Fruit Cups in Water - 4 ct</t>
  </si>
  <si>
    <t>15 OZ PKG</t>
  </si>
  <si>
    <t>https://giantfoodstores.com/product/del-monte-diced-peaches-fruit-cups-in-juice-family-pack-12-ct-48-oz-box/282339</t>
  </si>
  <si>
    <t>https://i5.peapod.com/c/A2/A2H2U.png</t>
  </si>
  <si>
    <t>Del Monte Diced Peaches Fruit Cups in Juice Family Pack - 12 ct</t>
  </si>
  <si>
    <t>48 OZ BOX</t>
  </si>
  <si>
    <t>https://giantfoodstores.com/product/del-monte-no-sugar-added-diced-peaches-fruit-cups-in-water-12-ct-45-oz-pkg/299052</t>
  </si>
  <si>
    <t>https://i5.peapod.com/c/0E/0EE7G.png</t>
  </si>
  <si>
    <t>Del Monte No Sugar Added Diced Peaches Fruit Cups in Water - 12 ct</t>
  </si>
  <si>
    <t>45 OZ PKG</t>
  </si>
  <si>
    <t>https://giantfoodstores.com/product/del-monte-no-sugar-added-peaches-mixed-fruit-variety-fruit-cups-12-ct-2.94-lb-box/327914</t>
  </si>
  <si>
    <t>https://i5.peapod.com/c/KT/KTH8X.png</t>
  </si>
  <si>
    <t>Del Monte No Sugar Added Peaches/Mixed Fruit Variety Fruit Cups - 12 ct</t>
  </si>
  <si>
    <t>2.94 LB BOX</t>
  </si>
  <si>
    <t>https://giantfoodstores.com/product/del-monte-peaches-boba-in-strawberry-flavored-gel-4-ct-18-oz-pkg/370967</t>
  </si>
  <si>
    <t>https://i5.peapod.com/c/QJ/QJHAO.png</t>
  </si>
  <si>
    <t>Del Monte Peaches &amp; Boba in Strawberry Flavored Gel - 4 ct</t>
  </si>
  <si>
    <t>https://giantfoodstores.com/product/dole-no-sugar-added-pineapple-chunks-in-juice-20-oz-can/3967</t>
  </si>
  <si>
    <t>https://i5.peapod.com/c/LH/LH6XD.png</t>
  </si>
  <si>
    <t>Dole No Sugar Added Pineapple Chunks in Juice</t>
  </si>
  <si>
    <t>Dole</t>
  </si>
  <si>
    <t>20 OZ CAN</t>
  </si>
  <si>
    <t>$0.10 /OZ</t>
  </si>
  <si>
    <t>https://giantfoodstores.com/product/dole-no-sugar-added-pineapple-slices-in-juice-20-oz-can/3964</t>
  </si>
  <si>
    <t>https://i5.peapod.com/c/21/21BEE.png</t>
  </si>
  <si>
    <t>Dole No Sugar Added Pineapple Slices in Juice</t>
  </si>
  <si>
    <t>https://giantfoodstores.com/product/dole-no-sugar-added-crushed-pineapple-in-juice-20-oz-can/3968</t>
  </si>
  <si>
    <t>https://i5.peapod.com/c/UB/UBNVS.png</t>
  </si>
  <si>
    <t>Dole No Sugar Added Crushed Pineapple in Juice</t>
  </si>
  <si>
    <t>https://giantfoodstores.com/product/dole-no-sugar-added-pineapple-tidbits-in-juice-20-oz-can/76934</t>
  </si>
  <si>
    <t>https://i5.peapod.com/c/JB/JBE1D.png</t>
  </si>
  <si>
    <t>Dole No Sugar Added Pineapple Tidbits in Juice</t>
  </si>
  <si>
    <t>https://giantfoodstores.com/product/dole-no-sugar-added-tropical-gold-pineapple-chunks-in-juice-15.2-oz-can/351049</t>
  </si>
  <si>
    <t>https://i5.peapod.com/c/E2/E2RTI.png</t>
  </si>
  <si>
    <t>Dole No Sugar Added Tropical Gold Pineapple Chunks in Juice</t>
  </si>
  <si>
    <t>https://giantfoodstores.com/product/dole-pineapple-chunks-in-heavy-syrup-20-oz-can/3965</t>
  </si>
  <si>
    <t>https://i5.peapod.com/c/CG/CGJVS.png</t>
  </si>
  <si>
    <t>Dole Pineapple Chunks in Heavy Syrup</t>
  </si>
  <si>
    <t>https://giantfoodstores.com/product/dole-crushed-pineapple-in-heavy-syrup-20-oz-can/195857</t>
  </si>
  <si>
    <t>https://i5.peapod.com/c/DR/DRWUG.png</t>
  </si>
  <si>
    <t>Dole Crushed Pineapple in Heavy Syrup</t>
  </si>
  <si>
    <t>https://giantfoodstores.com/product/dole-pineapple-slices-in-heavy-syrup-20-oz-can/14902</t>
  </si>
  <si>
    <t>https://i5.peapod.com/c/6M/6MZ78.png</t>
  </si>
  <si>
    <t>Dole Pineapple Slices in Heavy Syrup</t>
  </si>
  <si>
    <t>https://giantfoodstores.com/product/dole-no-sugar-added-tropical-gold-pineapple-slices-in-juice-15.2-oz-can/351048</t>
  </si>
  <si>
    <t>https://i5.peapod.com/c/W2/W22IO.png</t>
  </si>
  <si>
    <t>Dole No Sugar Added Tropical Gold Pineapple Slices in Juice</t>
  </si>
  <si>
    <t>https://giantfoodstores.com/product/dole-pineapple-paradise-tidbits-fruit-cups-in-juice-4-ct-16-oz-pkg/112648</t>
  </si>
  <si>
    <t>https://i5.peapod.com/c/QX/QXV8R.png</t>
  </si>
  <si>
    <t>Dole Pineapple Paradise Tidbits Fruit Cups in Juice - 4 ct</t>
  </si>
  <si>
    <t>https://giantfoodstores.com/product/dole-no-sugar-added-pineapple-tidbits-fruit-cups-with-stevia-4-ct-16-oz-pkg/212085</t>
  </si>
  <si>
    <t>https://i5.peapod.com/c/I1/I11EM.png</t>
  </si>
  <si>
    <t>Dole No Sugar Added Pineapple Tidbits Fruit Cups with Stevia - 4 ct</t>
  </si>
  <si>
    <t>https://giantfoodstores.com/product/dole-pineapple-fruit-cups-in-lime-gel-4-ct-17.2-oz-pkg/169438</t>
  </si>
  <si>
    <t>https://i5.peapod.com/c/2D/2DAA6.png</t>
  </si>
  <si>
    <t>Dole Pineapple Fruit Cups in Lime Gel - 4 ct</t>
  </si>
  <si>
    <t>17.2 OZ PKG</t>
  </si>
  <si>
    <t>https://giantfoodstores.com/product/dole-pineapple-tidbits-fruit-cups-in-juice-12-ct-48-oz-box/315960</t>
  </si>
  <si>
    <t>https://i5.peapod.com/c/F4/F4G14.png</t>
  </si>
  <si>
    <t>Dole Pineapple Tidbits Fruit Cups in Juice - 12 ct</t>
  </si>
  <si>
    <t>https://giantfoodstores.com/product/fairlife-lactose-free-2-reduced-fat-ultra-filtered-milk-52-oz-btl/211041</t>
  </si>
  <si>
    <t>https://i5.peapod.com/c/OA/OA6KD.png</t>
  </si>
  <si>
    <t>fairlife Lactose Free 2% Reduced Fat Ultra-Filtered Milk</t>
  </si>
  <si>
    <t>fairlife</t>
  </si>
  <si>
    <t>52 OZ BTL</t>
  </si>
  <si>
    <t>https://giantfoodstores.com/product/fairlife-lactose-free-2-reduced-fat-ultra-filtered-chocolate-milk-52-oz-btl/211042</t>
  </si>
  <si>
    <t>https://i5.peapod.com/c/HM/HMWFZ.png</t>
  </si>
  <si>
    <t>fairlife Lactose Free 2% Reduced Fat Ultra-Filtered Chocolate Milk</t>
  </si>
  <si>
    <t>https://giantfoodstores.com/product/fairlife-lactose-free-fat-free-ultra-filtered-milk-52-oz-btl/211043</t>
  </si>
  <si>
    <t>https://i5.peapod.com/c/2N/2NPZ7.png</t>
  </si>
  <si>
    <t>fairlife Lactose Free Fat Free Ultra-Filtered Milk</t>
  </si>
  <si>
    <t>https://giantfoodstores.com/product/fairlife-lactose-free-whole-ultra-filtered-milk-52-oz-btl/211044</t>
  </si>
  <si>
    <t>https://i5.peapod.com/c/EF/EF8DU.png</t>
  </si>
  <si>
    <t>fairlife Lactose Free Whole Ultra-Filtered Milk</t>
  </si>
  <si>
    <t>https://giantfoodstores.com/product/horizon-organic-vitamin-d-whole-milk-1-2-gallon/92013</t>
  </si>
  <si>
    <t>https://i5.peapod.com/c/Y2/Y2I5V.png</t>
  </si>
  <si>
    <t>Horizon Organic Vitamin D Whole Milk</t>
  </si>
  <si>
    <t>1/2 GALLON</t>
  </si>
  <si>
    <t>https://giantfoodstores.com/product/horizon-organic-growing-years-whole-milk-with-dha-omega-3-59-oz-ctn/372949</t>
  </si>
  <si>
    <t>https://i5.peapod.com/c/TW/TWNWD.png</t>
  </si>
  <si>
    <t>Horizon Organic Growing Years Whole Milk with DHA Omega-3</t>
  </si>
  <si>
    <t>59 OZ CTN</t>
  </si>
  <si>
    <t>https://giantfoodstores.com/product/horizon-organic-vitamin-d-whole-milk-dha-omega-3-1-2-gallon/148413</t>
  </si>
  <si>
    <t>https://i5.peapod.com/c/1N/1NI3Q.png</t>
  </si>
  <si>
    <t>Horizon Organic Vitamin D Whole Milk DHA Omega-3</t>
  </si>
  <si>
    <t>https://giantfoodstores.com/product/horizon-organic-2-reduced-fat-milk-1-2-gallon/90689</t>
  </si>
  <si>
    <t>https://i5.peapod.com/c/KD/KDQVV.png</t>
  </si>
  <si>
    <t>Horizon Organic 2% Reduced Fat Milk</t>
  </si>
  <si>
    <t>https://giantfoodstores.com/product/horizon-organic-2-reduced-fat-milk-with-dha-omega-3-1-2-gallon/149518</t>
  </si>
  <si>
    <t>https://i5.peapod.com/c/6D/6DENZ.png</t>
  </si>
  <si>
    <t>Horizon Organic 2% Reduced Fat Milk with DHA Omega-3</t>
  </si>
  <si>
    <t>https://giantfoodstores.com/product/horizon-organic-1-low-fat-milk-1-2-gallon/97225</t>
  </si>
  <si>
    <t>https://i5.peapod.com/c/KT/KTFN1.png</t>
  </si>
  <si>
    <t>Horizon Organic 1% Low Fat Milk</t>
  </si>
  <si>
    <t>https://giantfoodstores.com/product/horizon-organic-vitamin-d-whole-milk-1-gallon/174406</t>
  </si>
  <si>
    <t>https://i5.peapod.com/c/FA/FAKZ8.png</t>
  </si>
  <si>
    <t>1 GALLON</t>
  </si>
  <si>
    <t>$0.08 /OZ</t>
  </si>
  <si>
    <t>https://giantfoodstores.com/product/horizon-organic-fat-free-skim-milk-1-2-gallon/90690</t>
  </si>
  <si>
    <t>https://i5.peapod.com/c/QJ/QJV6F.png</t>
  </si>
  <si>
    <t>Horizon Organic Fat Free Skim Milk</t>
  </si>
  <si>
    <t>https://giantfoodstores.com/product/horizon-organic-vitamin-d-whole-milk-12-pk-shelf-stable-8-oz-ctn/263867</t>
  </si>
  <si>
    <t>https://i5.peapod.com/c/GT/GTFQ6.png</t>
  </si>
  <si>
    <t>Horizon Organic Vitamin D Whole Milk - 12 pk Shelf Stable</t>
  </si>
  <si>
    <t>8 OZ CTN</t>
  </si>
  <si>
    <t>https://giantfoodstores.com/product/horizon-organic-vitamin-d-whole-milk-6-pk-shelf-stable-8-oz-ctn/263877</t>
  </si>
  <si>
    <t>https://i5.peapod.com/c/7Y/7YHA7.png</t>
  </si>
  <si>
    <t>Horizon Organic Vitamin D Whole Milk - 6 pk Shelf Stable</t>
  </si>
  <si>
    <t>https://giantfoodstores.com/product/horizon-organic-low-fat-chocolate-milk-12-pk-shelf-stable-8-oz-box/146343</t>
  </si>
  <si>
    <t>https://i5.peapod.com/c/7K/7K7AN.png</t>
  </si>
  <si>
    <t>Horizon Organic Low Fat Chocolate Milk - 12 pk Shelf Stable</t>
  </si>
  <si>
    <t>8 OZ BOX</t>
  </si>
  <si>
    <t>https://giantfoodstores.com/product/horizon-organic-low-fat-chocolate-milk-6-pk-shelf-stable-8-oz-box/202182</t>
  </si>
  <si>
    <t>https://i5.peapod.com/c/MU/MUXS7.png</t>
  </si>
  <si>
    <t>Horizon Organic Low Fat Chocolate Milk - 6 pk Shelf Stable</t>
  </si>
  <si>
    <t>https://giantfoodstores.com/product/horizon-organic-low-fat-chocolate-milk-w-dha-omega-3-12-pk-shelf-stable-8-oz-box/200639</t>
  </si>
  <si>
    <t>https://i5.peapod.com/c/VS/VSXLC.png</t>
  </si>
  <si>
    <t>Horizon Organic Low Fat Chocolate Milk w/DHA Omega-3 - 12 pk Shelf Stable</t>
  </si>
  <si>
    <t>https://giantfoodstores.com/product/horizon-organic-low-fat-strawberry-milk-6-pk-shelf-stable-8-oz-box/212690</t>
  </si>
  <si>
    <t>https://i5.peapod.com/c/UA/UACLA.png</t>
  </si>
  <si>
    <t>Horizon Organic Low Fat Strawberry Milk - 6 pk Shelf Stable</t>
  </si>
  <si>
    <t>https://giantfoodstores.com/product/horizon-organic-low-fat-vanilla-milk-6-pk-shelf-stable-8-oz-ctn/203627</t>
  </si>
  <si>
    <t>https://i5.peapod.com/c/5G/5GIQ2.png</t>
  </si>
  <si>
    <t>Horizon Organic Low Fat Vanilla Milk - 6 pk Shelf Stable</t>
  </si>
  <si>
    <t>https://giantfoodstores.com/product/horizon-organic-low-fat-vanilla-milk-12-pk-shelf-stable-8-oz-box/146342</t>
  </si>
  <si>
    <t>https://i5.peapod.com/c/MZ/MZ3OO.png</t>
  </si>
  <si>
    <t>Horizon Organic Low Fat Vanilla Milk - 12 pk Shelf Stable</t>
  </si>
  <si>
    <t>https://giantfoodstores.com/product/hunts-100-natural-tomato-sauce-15-oz-can/2457</t>
  </si>
  <si>
    <t>https://i5.peapod.com/c/TC/TCY7J.png</t>
  </si>
  <si>
    <t>Hunt's 100% Natural Tomato Sauce</t>
  </si>
  <si>
    <t>Hunt's</t>
  </si>
  <si>
    <t>https://giantfoodstores.com/product/hunts-100-natural-tomato-sauce-29-oz-can/2458</t>
  </si>
  <si>
    <t>https://i5.peapod.com/c/WU/WUFT3.png</t>
  </si>
  <si>
    <t>$0.09 /OZ</t>
  </si>
  <si>
    <t>https://giantfoodstores.com/product/hunts-100-natural-tomato-paste-6-oz-can/2453</t>
  </si>
  <si>
    <t>https://i5.peapod.com/c/KQ/KQV4F.png</t>
  </si>
  <si>
    <t>Hunt's 100% Natural Tomato Paste</t>
  </si>
  <si>
    <t>6 OZ CAN</t>
  </si>
  <si>
    <t>$0.23 /OZ</t>
  </si>
  <si>
    <t>https://giantfoodstores.com/product/hunts-100-natural-tomato-sauce-8-oz-can/2455</t>
  </si>
  <si>
    <t>https://i5.peapod.com/c/CW/CWMGO.png</t>
  </si>
  <si>
    <t>8 OZ CAN</t>
  </si>
  <si>
    <t>https://giantfoodstores.com/product/hunts-100-natural-tomato-paste-12-oz-can/2452</t>
  </si>
  <si>
    <t>https://i5.peapod.com/c/UV/UVSKA.png</t>
  </si>
  <si>
    <t>12 OZ CAN</t>
  </si>
  <si>
    <t>https://giantfoodstores.com/product/hunts-100-natural-tomato-sauce-with-basil-garlic-oregano-8-oz-can/126389</t>
  </si>
  <si>
    <t>https://i5.peapod.com/c/KR/KR9UY.png</t>
  </si>
  <si>
    <t>Hunt's 100% Natural Tomato Sauce with Basil Garlic &amp; Oregano</t>
  </si>
  <si>
    <t>https://giantfoodstores.com/product/hunts-100-natural-no-salt-added-tomato-sauce-15-oz-can/212066</t>
  </si>
  <si>
    <t>https://i5.peapod.com/c/K8/K8EOH.png</t>
  </si>
  <si>
    <t>Hunt's 100% Natural No Salt Added Tomato Sauce</t>
  </si>
  <si>
    <t>https://giantfoodstores.com/product/hunts-100-natural-no-salt-added-tomato-sauce-8-oz-can/2456</t>
  </si>
  <si>
    <t>https://i5.peapod.com/c/P3/P3WR5.png</t>
  </si>
  <si>
    <t>https://giantfoodstores.com/product/hunts-100-natural-no-salt-added-tomato-paste-6-oz-can/79067</t>
  </si>
  <si>
    <t>https://i5.peapod.com/c/NG/NGD84.png</t>
  </si>
  <si>
    <t>Hunt's 100% Natural No Salt Added Tomato Paste</t>
  </si>
  <si>
    <t>https://giantfoodstores.com/product/hunts-100-natural-tomato-paste-18-oz-can/120370</t>
  </si>
  <si>
    <t>https://i5.peapod.com/c/8J/8JDZK.png</t>
  </si>
  <si>
    <t>18 OZ CAN</t>
  </si>
  <si>
    <t>https://giantfoodstores.com/product/hunts-100-natural-tomato-paste-with-basil-garlic-oregano-6-oz-can/78524</t>
  </si>
  <si>
    <t>https://i5.peapod.com/c/9C/9CWCN.png</t>
  </si>
  <si>
    <t>Hunt's 100% Natural Tomato Paste with Basil Garlic &amp; Oregano</t>
  </si>
  <si>
    <t>https://giantfoodstores.com/product/hunts-100-natural-tomato-puree-29-oz-can/156762</t>
  </si>
  <si>
    <t>https://i5.peapod.com/c/UF/UFOIY.png</t>
  </si>
  <si>
    <t>Hunt's 100% Natural Tomato Puree</t>
  </si>
  <si>
    <t>https://giantfoodstores.com/product/hunts-100-natural-fire-roasted-diced-tomatoes-14.5-oz-can/158987</t>
  </si>
  <si>
    <t>https://i5.peapod.com/c/ES/ESPMZ.png</t>
  </si>
  <si>
    <t>Hunt's 100% Natural Fire Roasted Diced Tomatoes</t>
  </si>
  <si>
    <t>https://giantfoodstores.com/product/hunts-100-natural-petite-diced-tomatoes-14.5-oz-can/126390</t>
  </si>
  <si>
    <t>https://i5.peapod.com/c/DR/DR4BC.png</t>
  </si>
  <si>
    <t>Hunt's 100% Natural Petite Diced Tomatoes</t>
  </si>
  <si>
    <t>https://giantfoodstores.com/product/hunts-100-natural-diced-tomatoes-14.5-oz-can/22521</t>
  </si>
  <si>
    <t>https://i5.peapod.com/c/TS/TS79R.png</t>
  </si>
  <si>
    <t>Hunt's 100% Natural Diced Tomatoes</t>
  </si>
  <si>
    <t>https://giantfoodstores.com/product/hunts-100-natural-crushed-tomatoes-15-oz-can/367023</t>
  </si>
  <si>
    <t>https://i5.peapod.com/c/21/21QC5.png</t>
  </si>
  <si>
    <t>Hunt's 100% Natural Crushed Tomatoes</t>
  </si>
  <si>
    <t>https://giantfoodstores.com/product/hunts-100-natural-diced-tomatoes-with-basil-garlic-oregano-14.5-oz-can/45320</t>
  </si>
  <si>
    <t>https://i5.peapod.com/c/DT/DTJWW.png</t>
  </si>
  <si>
    <t>Hunt's 100% Natural Diced Tomatoes with Basil Garlic &amp; Oregano</t>
  </si>
  <si>
    <t>https://giantfoodstores.com/product/hunts-100-natural-stewed-tomatoes-14.5-oz-can/166204</t>
  </si>
  <si>
    <t>https://i5.peapod.com/c/QB/QBV4E.png</t>
  </si>
  <si>
    <t>Hunt's 100% Natural Stewed Tomatoes</t>
  </si>
  <si>
    <t>https://giantfoodstores.com/product/hunts-100-natural-fire-roasted-diced-tomatoes-with-garlic-14.5-oz-can/166202</t>
  </si>
  <si>
    <t>https://i5.peapod.com/c/1I/1IMXL.png</t>
  </si>
  <si>
    <t>Hunt's 100% Natural Fire Roasted Diced Tomatoes with Garlic</t>
  </si>
  <si>
    <t>https://giantfoodstores.com/product/hunts-100-natural-no-salt-added-petite-diced-tomatoes-14.5-oz-can/212067</t>
  </si>
  <si>
    <t>https://i5.peapod.com/c/5Q/5Q79O.png</t>
  </si>
  <si>
    <t>Hunt's 100% Natural No Salt Added Petite Diced Tomatoes</t>
  </si>
  <si>
    <t>https://giantfoodstores.com/product/hunts-100-natural-crushed-tomatoes-28-oz-can/77454</t>
  </si>
  <si>
    <t>https://i5.peapod.com/c/JK/JKRB5.png</t>
  </si>
  <si>
    <t>https://giantfoodstores.com/product/hunts-100-natural-fire-roasted-diced-tomatoes-28-oz-can/320231</t>
  </si>
  <si>
    <t>https://i5.peapod.com/c/BD/BDKP6.png</t>
  </si>
  <si>
    <t>https://giantfoodstores.com/product/hunts-100-natural-stewed-tomatoes-with-basil-garlic-oregano-14.5-oz-can/333242</t>
  </si>
  <si>
    <t>https://i5.peapod.com/c/IK/IKKYD.png</t>
  </si>
  <si>
    <t>Hunt's 100% Natural Stewed Tomatoes with Basil Garlic &amp; Oregano</t>
  </si>
  <si>
    <t>https://giantfoodstores.com/product/hunts-100-natural-no-salt-added-diced-tomatoes-14.5-oz-can/160325</t>
  </si>
  <si>
    <t>https://i5.peapod.com/c/AA/AARTP.png</t>
  </si>
  <si>
    <t>Hunt's 100% Natural No Salt Added Diced Tomatoes</t>
  </si>
  <si>
    <t>https://giantfoodstores.com/product/hunts-100-natural-basil-crushed-tomatoes-28-oz-can/166205</t>
  </si>
  <si>
    <t>https://i5.peapod.com/c/OX/OX30P.png</t>
  </si>
  <si>
    <t>Hunt's 100% Natural Basil Crushed Tomatoes</t>
  </si>
  <si>
    <t>https://giantfoodstores.com/product/jif-creamy-peanut-butter-16-oz-jar/3552</t>
  </si>
  <si>
    <t>https://i5.peapod.com/c/A4/A46FA.png</t>
  </si>
  <si>
    <t>Jif Creamy Peanut Butter</t>
  </si>
  <si>
    <t>Jif</t>
  </si>
  <si>
    <t>16 OZ JAR</t>
  </si>
  <si>
    <t>https://giantfoodstores.com/product/jif-creamy-peanut-butter-28-oz-jar/3553</t>
  </si>
  <si>
    <t>https://i5.peapod.com/c/R1/R1RKY.png</t>
  </si>
  <si>
    <t>28 OZ JAR</t>
  </si>
  <si>
    <t>https://giantfoodstores.com/product/jif-natural-low-sodium-creamy-peanut-butter-spread-16-oz-jar/155943</t>
  </si>
  <si>
    <t>https://i5.peapod.com/c/5B/5B68X.png</t>
  </si>
  <si>
    <t>Jif Natural Low Sodium Creamy Peanut Butter Spread</t>
  </si>
  <si>
    <t>https://giantfoodstores.com/product/jif-natural-low-sodium-creamy-peanut-butter-28-oz-jar/155804</t>
  </si>
  <si>
    <t>https://i5.peapod.com/c/SW/SWQV7.png</t>
  </si>
  <si>
    <t>Jif Natural Low Sodium Creamy Peanut Butter</t>
  </si>
  <si>
    <t>https://giantfoodstores.com/product/jif-creamy-peanut-butter-40-oz-jar/3556</t>
  </si>
  <si>
    <t>https://i5.peapod.com/c/D3/D3WIY.png</t>
  </si>
  <si>
    <t>40 OZ JAR</t>
  </si>
  <si>
    <t>https://giantfoodstores.com/product/jif-to-go-creamy-peanut-butter-portable-snack-cups-8-ct-8.8-oz-box/370314</t>
  </si>
  <si>
    <t>https://i5.peapod.com/c/9M/9MRHZ.png</t>
  </si>
  <si>
    <t>Jif To Go Creamy Peanut Butter Portable Snack Cups - 8 ct</t>
  </si>
  <si>
    <t>$0.41 /OZ</t>
  </si>
  <si>
    <t>https://giantfoodstores.com/product/jif-extra-crunchy-peanut-butter-16-oz-jar/3554</t>
  </si>
  <si>
    <t>https://i5.peapod.com/c/RP/RPFO3.png</t>
  </si>
  <si>
    <t>Jif Extra Crunchy Peanut Butter</t>
  </si>
  <si>
    <t>https://giantfoodstores.com/product/jif-reduced-fat-creamy-peanut-butter-spread-16-oz-jar/33999</t>
  </si>
  <si>
    <t>https://i5.peapod.com/c/H7/H78OZ.png</t>
  </si>
  <si>
    <t>Jif Reduced Fat Creamy Peanut Butter Spread</t>
  </si>
  <si>
    <t>https://giantfoodstores.com/product/jif-to-go-natural-creamy-peanut-butter-portable-snack-cups-8-ct-8.8-oz-box/370315</t>
  </si>
  <si>
    <t>https://i5.peapod.com/c/HO/HOVTE.png</t>
  </si>
  <si>
    <t>Jif To Go Natural Creamy Peanut Butter Portable Snack Cups - 8 ct</t>
  </si>
  <si>
    <t>https://giantfoodstores.com/product/jif-natural-low-sodium-creamy-peanut-butter-40-oz-jar/196143</t>
  </si>
  <si>
    <t>https://i5.peapod.com/c/X7/X74ZB.png</t>
  </si>
  <si>
    <t>https://giantfoodstores.com/product/jif-creamy-peanut-butter-40-oz-2-ct-80-oz-pkg/199013</t>
  </si>
  <si>
    <t>https://i5.peapod.com/c/JA/JA1DN.png</t>
  </si>
  <si>
    <t>Jif Creamy Peanut Butter 40 oz/2 ct</t>
  </si>
  <si>
    <t>80 OZ PKG</t>
  </si>
  <si>
    <t>https://giantfoodstores.com/product/simply-jif-creamy-peanut-butter-15.5-oz-jar/3653</t>
  </si>
  <si>
    <t>https://i5.peapod.com/c/KB/KBV8U.png</t>
  </si>
  <si>
    <t>15.5 OZ JAR</t>
  </si>
  <si>
    <t>https://giantfoodstores.com/product/jif-natural-low-sodium-creamy-peanut-butter-spread-40-oz-2-ct-80-oz-pkg/248996</t>
  </si>
  <si>
    <t>https://i5.peapod.com/c/29/29Q3Q.png</t>
  </si>
  <si>
    <t>Jif Natural Low Sodium Creamy Peanut Butter Spread 40 oz/2 ct</t>
  </si>
  <si>
    <t>https://giantfoodstores.com/product/jif-peanut-butter-chocolate-flavored-spread-15-oz-jar/365634</t>
  </si>
  <si>
    <t>https://i5.peapod.com/c/IV/IVC7C.png</t>
  </si>
  <si>
    <t>Jif Peanut Butter &amp; Chocolate Flavored Spread</t>
  </si>
  <si>
    <t>15 OZ JAR</t>
  </si>
  <si>
    <t>$0.24 /OZ</t>
  </si>
  <si>
    <t>https://giantfoodstores.com/product/jif-extra-crunchy-peanut-butter-40-oz-jar/196145</t>
  </si>
  <si>
    <t>https://i5.peapod.com/c/LM/LM27W.png</t>
  </si>
  <si>
    <t>https://giantfoodstores.com/product/jif-natural-honey-creamy-peanut-butter-spread-16-oz-jar/141050</t>
  </si>
  <si>
    <t>https://i5.peapod.com/c/IF/IF4YY.png</t>
  </si>
  <si>
    <t>Jif Natural Honey Creamy Peanut Butter Spread</t>
  </si>
  <si>
    <t>https://giantfoodstores.com/product/jif-creamy-peanut-butter-squeeze-13-oz-sqz/283337</t>
  </si>
  <si>
    <t>https://i5.peapod.com/c/IP/IP6Y2.png</t>
  </si>
  <si>
    <t>Jif Creamy Peanut Butter Squeeze</t>
  </si>
  <si>
    <t>13 OZ SQZ</t>
  </si>
  <si>
    <t>https://giantfoodstores.com/product/simply-jif-creamy-peanut-butter-27.3-oz-jar/226723</t>
  </si>
  <si>
    <t>https://i5.peapod.com/c/D2/D2OA9.png</t>
  </si>
  <si>
    <t>27.3 OZ JAR</t>
  </si>
  <si>
    <t>https://giantfoodstores.com/product/jif-natural-low-sodium-crunchy-peanut-butter-spread-40-oz-jar/304828</t>
  </si>
  <si>
    <t>https://i5.peapod.com/c/AE/AEH6E.png</t>
  </si>
  <si>
    <t>Jif Natural Low Sodium Crunchy Peanut Butter Spread</t>
  </si>
  <si>
    <t>https://giantfoodstores.com/product/jif-extra-crunchy-peanut-butter-28-oz-jar/3555</t>
  </si>
  <si>
    <t>https://i5.peapod.com/c/PX/PXEG0.png</t>
  </si>
  <si>
    <t>https://giantfoodstores.com/product/jif-no-sugar-added-creamy-peanut-butter-spread-15.5-oz-jar/283336</t>
  </si>
  <si>
    <t>https://i5.peapod.com/c/KO/KO5TF.png</t>
  </si>
  <si>
    <t>Jif No Sugar Added Creamy Peanut Butter Spread</t>
  </si>
  <si>
    <t>https://giantfoodstores.com/product/jif-to-go-peanut-butter-chocolate-spread-portable-snack-cups-8-ct-8.8-oz-box/365635</t>
  </si>
  <si>
    <t>https://i5.peapod.com/c/6V/6VIL9.png</t>
  </si>
  <si>
    <t>Jif To Go Peanut Butter &amp; Chocolate Spread Portable Snack Cups - 8 ct</t>
  </si>
  <si>
    <t>https://giantfoodstores.com/product/jif-reduced-fat-creamy-peanut-butter-40-oz-jar/355239</t>
  </si>
  <si>
    <t>https://i5.peapod.com/c/KO/KO9B6.png</t>
  </si>
  <si>
    <t>Jif Reduced Fat Creamy Peanut Butter</t>
  </si>
  <si>
    <t>https://giantfoodstores.com/product/jif-no-added-sugar-creamy-peanut-butter-spread-33.5-oz-jar/309883</t>
  </si>
  <si>
    <t>https://i5.peapod.com/c/XT/XTY8Z.png</t>
  </si>
  <si>
    <t>Jif No Added Sugar Creamy Peanut Butter Spread</t>
  </si>
  <si>
    <t>33.5 OZ JAR</t>
  </si>
  <si>
    <t>https://giantfoodstores.com/product/kraft-natural-shredded-mexican-style-4-cheese-blend-8-oz-bag/51257</t>
  </si>
  <si>
    <t>https://i5.peapod.com/c/KF/KFD3E.png</t>
  </si>
  <si>
    <t>Kraft Natural Shredded Mexican Style 4 Cheese Blend</t>
  </si>
  <si>
    <t>Kraft</t>
  </si>
  <si>
    <t>8 OZ BAG</t>
  </si>
  <si>
    <t>$6.38 /LB</t>
  </si>
  <si>
    <t>https://giantfoodstores.com/product/kraft-natural-shredded-whole-milk-mozzarella-cheese-8-oz-pkg/256160</t>
  </si>
  <si>
    <t>https://i5.peapod.com/c/TU/TUZL5.png</t>
  </si>
  <si>
    <t>Kraft Natural Shredded Whole Milk Mozzarella Cheese</t>
  </si>
  <si>
    <t>https://giantfoodstores.com/product/kraft-natural-shredded-sharp-cheddar-cheese-8-oz-bag/1788</t>
  </si>
  <si>
    <t>https://i5.peapod.com/c/ZS/ZSBOL.png</t>
  </si>
  <si>
    <t>Kraft Natural Shredded Sharp Cheddar Cheese</t>
  </si>
  <si>
    <t>https://giantfoodstores.com/product/kraft-natural-shredded-part-skim-mozzarella-cheese-8-oz-bag/1797</t>
  </si>
  <si>
    <t>https://i5.peapod.com/c/ER/ERWYH.png</t>
  </si>
  <si>
    <t>Kraft Natural Shredded Part Skim Mozzarella Cheese</t>
  </si>
  <si>
    <t>https://giantfoodstores.com/product/kraft-natural-finely-shredded-colby-jack-cheese-8-oz-bag/51255</t>
  </si>
  <si>
    <t>https://i5.peapod.com/c/UN/UNYOH.png</t>
  </si>
  <si>
    <t>Kraft Natural Finely Shredded Colby Jack Cheese</t>
  </si>
  <si>
    <t>https://giantfoodstores.com/product/kraft-grated-parmesan-cheese-8-oz-can/1761</t>
  </si>
  <si>
    <t>https://i5.peapod.com/c/OK/OKB03.png</t>
  </si>
  <si>
    <t>Kraft Grated Parmesan Cheese</t>
  </si>
  <si>
    <t>https://giantfoodstores.com/product/kraft-natural-finely-shredded-parmesan-cheese-6-oz-bag/264570</t>
  </si>
  <si>
    <t>https://i5.peapod.com/c/AR/ARRLM.png</t>
  </si>
  <si>
    <t>Kraft Natural Finely Shredded Parmesan Cheese</t>
  </si>
  <si>
    <t>6 OZ BAG</t>
  </si>
  <si>
    <t>$8.39 /LB</t>
  </si>
  <si>
    <t>https://giantfoodstores.com/product/kraft-natural-finely-shredded-triple-cheddar-cheese-blend-8-oz-bag/206968</t>
  </si>
  <si>
    <t>https://i5.peapod.com/c/ON/ONDUQ.png</t>
  </si>
  <si>
    <t>Kraft Natural Finely Shredded Triple Cheddar Cheese Blend</t>
  </si>
  <si>
    <t>https://giantfoodstores.com/product/kraft-natural-finely-shredded-mexican-style-cheddar-jack-cheese-8-oz-bag/51258</t>
  </si>
  <si>
    <t>https://i5.peapod.com/c/7V/7VFLA.png</t>
  </si>
  <si>
    <t>Kraft Natural Finely Shredded Mexican Style Cheddar Jack Cheese</t>
  </si>
  <si>
    <t>https://giantfoodstores.com/product/kraft-natural-fat-free-shredded-mozzarella-cheese-7-oz-bag/51539</t>
  </si>
  <si>
    <t>https://i5.peapod.com/c/IW/IWLH6.png</t>
  </si>
  <si>
    <t>Kraft Natural Fat Free Shredded Mozzarella Cheese</t>
  </si>
  <si>
    <t>7 OZ BAG</t>
  </si>
  <si>
    <t>$7.25 /LB</t>
  </si>
  <si>
    <t>https://giantfoodstores.com/product/kraft-natural-shredded-sharp-white-cheddar-cheese-8-oz-bag/165608</t>
  </si>
  <si>
    <t>https://i5.peapod.com/c/8A/8ARB8.png</t>
  </si>
  <si>
    <t>Kraft Natural Shredded Sharp White Cheddar Cheese</t>
  </si>
  <si>
    <t>https://giantfoodstores.com/product/kraft-natural-finely-shredded-sharp-cheddar-cheese-8-oz-bag/51264</t>
  </si>
  <si>
    <t>https://i5.peapod.com/c/4I/4I8SY.png</t>
  </si>
  <si>
    <t>Kraft Natural Finely Shredded Sharp Cheddar Cheese</t>
  </si>
  <si>
    <t>https://giantfoodstores.com/product/kraft-natural-shredded-2-part-skim-mozzarella-cheese-7-oz-bag/1781</t>
  </si>
  <si>
    <t>https://i5.peapod.com/c/IL/ILFYD.png</t>
  </si>
  <si>
    <t>Kraft Natural Shredded 2% Part Skim Mozzarella Cheese</t>
  </si>
  <si>
    <t>https://giantfoodstores.com/product/kraft-natural-signature-thick-cut-shredded-mexican-cheese-blend-8-oz-bag/358007</t>
  </si>
  <si>
    <t>https://i5.peapod.com/c/N9/N9VK7.png</t>
  </si>
  <si>
    <t>Kraft Natural Signature Thick Cut Shredded Mexican Cheese Blend</t>
  </si>
  <si>
    <t>https://giantfoodstores.com/product/kraft-signature-thick-cut-shredded-cheddar-cheese-blend-8-oz-pkg/358006</t>
  </si>
  <si>
    <t>https://i5.peapod.com/c/NY/NYZTN.png</t>
  </si>
  <si>
    <t>Kraft Signature Thick Cut Shredded Cheddar Cheese Blend</t>
  </si>
  <si>
    <t>https://giantfoodstores.com/product/kraft-singles-white-american-cheese-slices-24-ct-16-oz-pkg/65935</t>
  </si>
  <si>
    <t>https://i5.peapod.com/c/6K/6KDII.png</t>
  </si>
  <si>
    <t>Kraft Singles White American Cheese Slices - 24 ct</t>
  </si>
  <si>
    <t>$5.99 /LB</t>
  </si>
  <si>
    <t>https://giantfoodstores.com/product/kraft-singles-american-cheese-slices-16-ct-12-oz-pkg/1738</t>
  </si>
  <si>
    <t>https://i5.peapod.com/c/D9/D9WI8.png</t>
  </si>
  <si>
    <t>Kraft Singles American Cheese Slices - 16 ct</t>
  </si>
  <si>
    <t>12 OZ PKG</t>
  </si>
  <si>
    <t>$6.25 /LB</t>
  </si>
  <si>
    <t>https://giantfoodstores.com/product/kraft-signature-natural-thick-cut-shredded-whole-milk-mozzarella-cheese-8-oz-pkg/358005</t>
  </si>
  <si>
    <t>https://i5.peapod.com/c/TY/TYG3N.png</t>
  </si>
  <si>
    <t>Kraft Signature Natural Thick Cut Shredded Whole Milk Mozzarella Cheese</t>
  </si>
  <si>
    <t>https://giantfoodstores.com/product/kraft-deli-deluxe-white-american-cheese-slices-24-ct-16-oz-pkg/92387</t>
  </si>
  <si>
    <t>https://i5.peapod.com/c/8P/8PLQT.png</t>
  </si>
  <si>
    <t>Kraft Deli Deluxe White American Cheese Slices - 24 ct</t>
  </si>
  <si>
    <t>https://giantfoodstores.com/product/kraft-singles-american-cheese-slices-24-ct-16-oz-pkg/1760</t>
  </si>
  <si>
    <t>https://i5.peapod.com/c/EJ/EJDZT.png</t>
  </si>
  <si>
    <t>Kraft Singles American Cheese Slices - 24 ct</t>
  </si>
  <si>
    <t>https://giantfoodstores.com/product/kraft-grated-parmesan-cheese-16-oz-btl/165595</t>
  </si>
  <si>
    <t>https://i5.peapod.com/c/K3/K3L3D.png</t>
  </si>
  <si>
    <t>16 OZ BTL</t>
  </si>
  <si>
    <t>$8.99 /LB</t>
  </si>
  <si>
    <t>https://giantfoodstores.com/product/kraft-deli-deluxe-american-cheese-slices-24-ct-16-oz-pkg/1736</t>
  </si>
  <si>
    <t>https://i5.peapod.com/c/F7/F7X87.png</t>
  </si>
  <si>
    <t>Kraft Deli Deluxe American Cheese Slices - 24 ct</t>
  </si>
  <si>
    <t>https://giantfoodstores.com/product/kraft-grated-parmesan-romano-cheese-8-oz-can/45600</t>
  </si>
  <si>
    <t>https://i5.peapod.com/c/T4/T4FFL.png</t>
  </si>
  <si>
    <t>Kraft Grated Parmesan &amp; Romano Cheese</t>
  </si>
  <si>
    <t>https://giantfoodstores.com/product/kraft-singles-white-american-cheese-slices-16-ct-12-oz-pkg/18222</t>
  </si>
  <si>
    <t>https://i5.peapod.com/c/ZH/ZHQ4J.png</t>
  </si>
  <si>
    <t>Kraft Singles White American Cheese Slices - 16 ct</t>
  </si>
  <si>
    <t>https://giantfoodstores.com/product/kraft-shredded-parmesan-cheese-5-oz-tub/313603</t>
  </si>
  <si>
    <t>https://i5.peapod.com/c/JL/JLJF4.png</t>
  </si>
  <si>
    <t>Kraft Shredded Parmesan Cheese</t>
  </si>
  <si>
    <t>$15.13 /LB</t>
  </si>
  <si>
    <t>https://giantfoodstores.com/product/kraft-grated-parmesan-cheese-5-oz-tub/324087</t>
  </si>
  <si>
    <t>https://i5.peapod.com/c/NI/NILKU.png</t>
  </si>
  <si>
    <t>https://giantfoodstores.com/product/kraft-singles-american-cheese-slices-twin-pack-32-ct-24-oz-pkg/121877</t>
  </si>
  <si>
    <t>https://i5.peapod.com/c/IR/IR142.png</t>
  </si>
  <si>
    <t>Kraft Singles American Cheese Slices Twin Pack - 32 ct</t>
  </si>
  <si>
    <t>24 OZ PKG</t>
  </si>
  <si>
    <t>$4.99 /LB</t>
  </si>
  <si>
    <t>https://giantfoodstores.com/product/kraft-singles-2-milk-reduced-fat-white-american-cheese-16-ct-10.7-oz-pkg/75045</t>
  </si>
  <si>
    <t>https://i5.peapod.com/c/1E/1E999.png</t>
  </si>
  <si>
    <t>Kraft Singles 2% Milk Reduced Fat White American Cheese - 16 ct</t>
  </si>
  <si>
    <t>10.7 OZ PKG</t>
  </si>
  <si>
    <t>$7.00 /LB</t>
  </si>
  <si>
    <t>https://giantfoodstores.com/product/kraft-singles-2-milk-reduced-fat-american-cheese-slices-16-ct-10.7-oz-pkg/51233</t>
  </si>
  <si>
    <t>https://i5.peapod.com/c/YN/YNF68.png</t>
  </si>
  <si>
    <t>Kraft Singles 2% Milk Reduced Fat American Cheese Slices - 16 ct</t>
  </si>
  <si>
    <t>https://giantfoodstores.com/product/kraft-singles-2-milk-reduced-fat-american-cheese-slices-22-ct-14.7-oz-pkg/94517</t>
  </si>
  <si>
    <t>https://i5.peapod.com/c/N9/N9CU0.png</t>
  </si>
  <si>
    <t>Kraft Singles 2% Milk Reduced Fat American Cheese Slices - 22 ct</t>
  </si>
  <si>
    <t>14.7 OZ PKG</t>
  </si>
  <si>
    <t>$6.51 /LB</t>
  </si>
  <si>
    <t>https://giantfoodstores.com/product/kraft-singles-sharp-cheddar-cheese-slices-16-ct-10.7-oz-pkg/148753</t>
  </si>
  <si>
    <t>https://i5.peapod.com/c/8S/8ST1D.png</t>
  </si>
  <si>
    <t>Kraft Singles Sharp Cheddar Cheese Slices - 16 ct</t>
  </si>
  <si>
    <t>https://giantfoodstores.com/product/kraft-deli-deluxe-reduced-fat-yellow-american-cheese-slices-24-ct-16-oz-pkg/136698</t>
  </si>
  <si>
    <t>https://i5.peapod.com/c/I2/I2FF4.png</t>
  </si>
  <si>
    <t>Kraft Deli Deluxe Reduced Fat Yellow American Cheese Slices - 24 ct</t>
  </si>
  <si>
    <t>https://giantfoodstores.com/product/kraft-singles-american-cheese-slices-72-ct-48-oz-box/24046</t>
  </si>
  <si>
    <t>https://i5.peapod.com/c/5R/5RWNE.png</t>
  </si>
  <si>
    <t>Kraft Singles American Cheese Slices - 72 ct</t>
  </si>
  <si>
    <t>$4.76 /LB</t>
  </si>
  <si>
    <t>https://giantfoodstores.com/product/kraft-singles-caramelized-onion-cheese-product-slices-16-ct-10.7-oz-box/358259</t>
  </si>
  <si>
    <t>https://i5.peapod.com/c/03/03NXP.png</t>
  </si>
  <si>
    <t>Kraft Singles Caramelized Onion Cheese Product Slices - 16 ct</t>
  </si>
  <si>
    <t>10.7 OZ BOX</t>
  </si>
  <si>
    <t>$7.11 /LB</t>
  </si>
  <si>
    <t>https://giantfoodstores.com/product/kraft-singles-jalapeno-cheese-slices-16-ct-10.7-oz-pkg/358557</t>
  </si>
  <si>
    <t>https://i5.peapod.com/c/LM/LMUZB.png</t>
  </si>
  <si>
    <t>Kraft Singles Jalapeno Cheese Slices - 16 ct</t>
  </si>
  <si>
    <t>https://giantfoodstores.com/product/kraft-original-flavor-mac-cheese-dinner-7.25-oz-box/1858</t>
  </si>
  <si>
    <t>https://i5.peapod.com/c/P4/P41F6.png</t>
  </si>
  <si>
    <t>Kraft Original Flavor Mac &amp; Cheese Dinner</t>
  </si>
  <si>
    <t>7.25 OZ BOX</t>
  </si>
  <si>
    <t>https://giantfoodstores.com/product/kraft-spirals-original-flavor-mac-cheese-dinner-5.5-oz-box/1865</t>
  </si>
  <si>
    <t>https://i5.peapod.com/c/JT/JTCOE.png</t>
  </si>
  <si>
    <t>Kraft Spirals Original Flavor Mac &amp; Cheese Dinner</t>
  </si>
  <si>
    <t>5.5 OZ BOX</t>
  </si>
  <si>
    <t>https://giantfoodstores.com/product/kraft-thick-n-creamy-mac-cheese-dinner-7.25-oz-box/41848</t>
  </si>
  <si>
    <t>https://i5.peapod.com/c/CV/CVDQE.png</t>
  </si>
  <si>
    <t>Kraft Thick 'n Creamy Mac &amp; Cheese Dinner</t>
  </si>
  <si>
    <t>https://giantfoodstores.com/product/kraft-original-flavor-mac-cheese-dinner-microwaveable-cup-4-ct-8.2-oz-pkg/161189</t>
  </si>
  <si>
    <t>https://i5.peapod.com/c/9C/9CC1T.png</t>
  </si>
  <si>
    <t>Kraft Original Flavor Mac &amp; Cheese Dinner Microwaveable Cup - 4 ct</t>
  </si>
  <si>
    <t>8.2 OZ PKG</t>
  </si>
  <si>
    <t>$0.49 /OZ</t>
  </si>
  <si>
    <t>https://giantfoodstores.com/product/kraft-natural-mozzarella-string-cheese-12-ct-12-oz-bag/334474</t>
  </si>
  <si>
    <t>https://i5.peapod.com/c/DN/DNITP.png</t>
  </si>
  <si>
    <t>Kraft Natural Mozzarella String Cheese - 12 ct</t>
  </si>
  <si>
    <t>$6.65 /LB</t>
  </si>
  <si>
    <t>https://giantfoodstores.com/product/kraft-deluxe-original-cheddar-mac-cheese-dinner-14-oz-box/1859</t>
  </si>
  <si>
    <t>https://i5.peapod.com/c/YA/YANR9.png</t>
  </si>
  <si>
    <t>Kraft Deluxe Original Cheddar Mac &amp; Cheese Dinner</t>
  </si>
  <si>
    <t>14 OZ BOX</t>
  </si>
  <si>
    <t>https://giantfoodstores.com/product/kraft-three-cheese-pasta-shells-mac-cheese-dinner-7.25-oz-box/49370</t>
  </si>
  <si>
    <t>https://i5.peapod.com/c/QK/QKFCF.png</t>
  </si>
  <si>
    <t>Kraft Three Cheese Pasta Shells Mac &amp; Cheese Dinner</t>
  </si>
  <si>
    <t>https://giantfoodstores.com/product/kraft-spongebob-squarepants-mac-cheese-dinner-5.5-oz-box/354564</t>
  </si>
  <si>
    <t>https://i5.peapod.com/c/US/USWH9.png</t>
  </si>
  <si>
    <t>Kraft SpongeBob SquarePants Mac &amp; Cheese Dinner</t>
  </si>
  <si>
    <t>https://giantfoodstores.com/product/kraft-original-flavor-mac-cheese-dinner-5-ct-36.2-oz-pkg/47290</t>
  </si>
  <si>
    <t>https://i5.peapod.com/c/LC/LCL93.png</t>
  </si>
  <si>
    <t>Kraft Original Flavor Mac &amp; Cheese Dinner - 5 ct</t>
  </si>
  <si>
    <t>36.2 OZ PKG</t>
  </si>
  <si>
    <t>https://giantfoodstores.com/product/kraft-cheez-whiz-original-cheese-dip-15-oz-jar/1748</t>
  </si>
  <si>
    <t>https://i5.peapod.com/c/BQ/BQTBF.png</t>
  </si>
  <si>
    <t>Kraft Cheez Whiz Original Cheese Dip</t>
  </si>
  <si>
    <t>$0.43 /OZ</t>
  </si>
  <si>
    <t>https://giantfoodstores.com/product/kraft-white-cheddar-pasta-shells-mac-cheese-dinner-7.3-oz-box/15571</t>
  </si>
  <si>
    <t>https://i5.peapod.com/c/5Y/5YMZX.png</t>
  </si>
  <si>
    <t>Kraft White Cheddar Pasta Shells Mac &amp; Cheese Dinner</t>
  </si>
  <si>
    <t>7.3 OZ BOX</t>
  </si>
  <si>
    <t>https://giantfoodstores.com/product/kraft-easy-mac-original-macaroni-cheese-dinner-microwavable-6-ct-12.9-oz-box/101663</t>
  </si>
  <si>
    <t>https://i5.peapod.com/c/KQ/KQNK1.png</t>
  </si>
  <si>
    <t>Kraft Easy Mac Original Macaroni &amp; Cheese Dinner Microwavable - 6 ct</t>
  </si>
  <si>
    <t>12.9 OZ BOX</t>
  </si>
  <si>
    <t>https://giantfoodstores.com/product/kraft-paw-patrol-mac-cheese-dinner-5.5-oz-box/295439</t>
  </si>
  <si>
    <t>https://i5.peapod.com/c/WG/WG23E.png</t>
  </si>
  <si>
    <t>Kraft Paw Patrol Mac &amp; Cheese Dinner</t>
  </si>
  <si>
    <t>https://giantfoodstores.com/product/kraft-mozzarella-string-cheese-12-ct-12-oz-pkg/376500</t>
  </si>
  <si>
    <t>https://i5.peapod.com/c/D6/D69TG.png</t>
  </si>
  <si>
    <t>Kraft Mozzarella String Cheese - 12 ct</t>
  </si>
  <si>
    <t>https://giantfoodstores.com/product/kraft-original-flavor-mac-cheese-dinner-family-size-14.5-oz-box/1864</t>
  </si>
  <si>
    <t>https://i5.peapod.com/c/M8/M8067.png</t>
  </si>
  <si>
    <t>Kraft Original Flavor Mac &amp; Cheese Dinner Family Size</t>
  </si>
  <si>
    <t>https://giantfoodstores.com/product/kraft-deluxe-original-cheddar-mac-cheese-dinner-microwaveable-cup-4-ct-9.56-oz-pkg/226501</t>
  </si>
  <si>
    <t>https://i5.peapod.com/c/91/918KT.png</t>
  </si>
  <si>
    <t>Kraft Deluxe Original Cheddar Mac &amp; Cheese Dinner Microwaveable Cup - 4 ct</t>
  </si>
  <si>
    <t>9.56 OZ PKG</t>
  </si>
  <si>
    <t>https://giantfoodstores.com/product/kraft-gluten-free-original-flavor-mac-cheese-dinner-6-oz-box/308011</t>
  </si>
  <si>
    <t>https://i5.peapod.com/c/EK/EK63T.png</t>
  </si>
  <si>
    <t>Kraft Gluten Free Original Flavor Mac &amp; Cheese Dinner</t>
  </si>
  <si>
    <t>$0.67 /OZ</t>
  </si>
  <si>
    <t>https://giantfoodstores.com/product/kraft-super-mario-bros-shapes-macaroni-cheese-dinner-5.5-oz-box/372871</t>
  </si>
  <si>
    <t>https://i5.peapod.com/c/ZW/ZW5KF.png</t>
  </si>
  <si>
    <t>Kraft Super Mario Bros Shapes Macaroni &amp; Cheese Dinner</t>
  </si>
  <si>
    <t>https://giantfoodstores.com/product/kraft-original-flavor-whole-grain-mac-cheese-dinner-6-oz-box/152608</t>
  </si>
  <si>
    <t>https://i5.peapod.com/c/XG/XG7GQ.png</t>
  </si>
  <si>
    <t>Kraft Original Flavor Whole Grain Mac &amp; Cheese Dinner</t>
  </si>
  <si>
    <t>https://giantfoodstores.com/product/kraft-paw-patrol-macaroni-cheese-dinner-microwaveable-cup-4-ct-7.6-oz-pkg/227692</t>
  </si>
  <si>
    <t>https://i5.peapod.com/c/EU/EUC9O.png</t>
  </si>
  <si>
    <t>Kraft Paw Patrol Macaroni &amp; Cheese Dinner Microwaveable Cup - 4 ct</t>
  </si>
  <si>
    <t>7.6 OZ PKG</t>
  </si>
  <si>
    <t>$0.53 /OZ</t>
  </si>
  <si>
    <t>https://giantfoodstores.com/product/kraft-original-flavor-mac-cheese-dinner-microwaveable-cup-8-ct-16.4-oz-box/209978</t>
  </si>
  <si>
    <t>https://i5.peapod.com/c/Y5/Y5B8P.png</t>
  </si>
  <si>
    <t>Kraft Original Flavor Mac &amp; Cheese Dinner Microwaveable Cup - 8 ct</t>
  </si>
  <si>
    <t>16.4 OZ BOX</t>
  </si>
  <si>
    <t>$0.72 /OZ</t>
  </si>
  <si>
    <t>https://giantfoodstores.com/product/kraft-deluxe-four-cheese-mac-cheese-dinner-14-oz-box/76938</t>
  </si>
  <si>
    <t>https://i5.peapod.com/c/OH/OHFDT.png</t>
  </si>
  <si>
    <t>Kraft Deluxe Four Cheese Mac &amp; Cheese Dinner</t>
  </si>
  <si>
    <t>https://giantfoodstores.com/product/kraft-natural-whole-milk-creamy-mozzarella-string-cheese-12-ct-12-oz-pkg/365230</t>
  </si>
  <si>
    <t>https://i5.peapod.com/c/O5/O5D5E.png</t>
  </si>
  <si>
    <t>Kraft Natural Whole Milk Creamy Mozzarella String Cheese - 12 ct</t>
  </si>
  <si>
    <t>https://giantfoodstores.com/product/kraft-deluxe-white-cheddar-garlic-herbs-mac-cheese-dinner-11.9-oz-box/207155</t>
  </si>
  <si>
    <t>https://i5.peapod.com/c/UF/UFCWW.png</t>
  </si>
  <si>
    <t>Kraft Deluxe White Cheddar Garlic &amp; Herbs Mac &amp; Cheese Dinner</t>
  </si>
  <si>
    <t>11.9 OZ BOX</t>
  </si>
  <si>
    <t>https://giantfoodstores.com/product/kraft-triple-cheese-mac-cheese-dinner-microwaveable-cup-4-ct-8.2-oz-pkg/196513</t>
  </si>
  <si>
    <t>https://i5.peapod.com/c/PU/PUWO3.png</t>
  </si>
  <si>
    <t>Kraft Triple Cheese Mac &amp; Cheese Dinner Microwaveable Cup - 4 ct</t>
  </si>
  <si>
    <t>https://giantfoodstores.com/product/kraft-deluxe-original-cheddar-mac-cheese-dinner-3-ct-42-oz-box/223142</t>
  </si>
  <si>
    <t>https://i5.peapod.com/c/12/1285P.png</t>
  </si>
  <si>
    <t>Kraft Deluxe Original Cheddar Mac &amp; Cheese Dinner - 3 ct</t>
  </si>
  <si>
    <t>42 OZ BOX</t>
  </si>
  <si>
    <t>https://giantfoodstores.com/product/kraft-original-flavor-macaroni-cheese-dinner-microwaveable-cup-2.05-oz-cup/140511</t>
  </si>
  <si>
    <t>https://i5.peapod.com/c/9R/9RPA1.png</t>
  </si>
  <si>
    <t>Kraft Original Flavor Macaroni &amp; Cheese Dinner Microwaveable Cup</t>
  </si>
  <si>
    <t>2.05 OZ CUP</t>
  </si>
  <si>
    <t>$1.12 /OZ</t>
  </si>
  <si>
    <t>https://giantfoodstores.com/product/kraft-deluxe-sharp-cheddar-mac-cheese-dinner-14-oz-box/175515</t>
  </si>
  <si>
    <t>https://i5.peapod.com/c/44/44RTM.png</t>
  </si>
  <si>
    <t>Kraft Deluxe Sharp Cheddar Mac &amp; Cheese Dinner</t>
  </si>
  <si>
    <t>https://giantfoodstores.com/product/kraft-spongebob-squarepants-mac-cheese-dinner-microwaveable-cup-4-ct-7.6-oz-pkg/354565</t>
  </si>
  <si>
    <t>https://i5.peapod.com/c/AM/AM4QM.png</t>
  </si>
  <si>
    <t>Kraft SpongeBob SquarePants Mac &amp; Cheese Dinner Microwaveable Cup - 4 ct</t>
  </si>
  <si>
    <t>https://giantfoodstores.com/product/kraft-deluxe-southern-homestyle-mac-cheese-dinner-11.75-oz-box/336242</t>
  </si>
  <si>
    <t>https://i5.peapod.com/c/7A/7A3JL.png</t>
  </si>
  <si>
    <t>Kraft Deluxe Southern Homestyle Mac &amp; Cheese Dinner</t>
  </si>
  <si>
    <t>11.75 OZ BOX</t>
  </si>
  <si>
    <t>https://giantfoodstores.com/product/kraft-super-mario-bros-shapes-mac-cheese-dinner-microwaveable-cup-4-ct-7.6-oz-pkg/372870</t>
  </si>
  <si>
    <t>https://i5.peapod.com/c/Y7/Y7A10.png</t>
  </si>
  <si>
    <t>Kraft Super Mario Bros Shapes Mac &amp; Cheese Dinner Microwaveable Cup - 4 ct</t>
  </si>
  <si>
    <t>https://giantfoodstores.com/product/kraft-gluten-free-original-mac-cheese-dinner-microwavable-cup-4-ct-7.6-oz-pkg/336245</t>
  </si>
  <si>
    <t>https://i5.peapod.com/c/V3/V383G.png</t>
  </si>
  <si>
    <t>Kraft Gluten Free Original Mac &amp; Cheese Dinner Microwavable Cup - 4 ct</t>
  </si>
  <si>
    <t>$0.92 /OZ</t>
  </si>
  <si>
    <t>https://giantfoodstores.com/product/kraft-notco-plant-based-original-flavor-mac-cheese-dinner-6-oz-box/366914</t>
  </si>
  <si>
    <t>https://i5.peapod.com/c/DH/DHIGP.png</t>
  </si>
  <si>
    <t>Kraft NotCo Plant-Based Original Flavor Mac &amp; Cheese Dinner</t>
  </si>
  <si>
    <t>$0.57 /OZ</t>
  </si>
  <si>
    <t>https://giantfoodstores.com/product/kraft-deluxe-original-cheddar-mac-cheese-dinner-12-oz-box/365972</t>
  </si>
  <si>
    <t>https://i5.peapod.com/c/KR/KRX5F.png</t>
  </si>
  <si>
    <t>https://giantfoodstores.com/product/kraft-deluxe-2-milk-cheese-mac-cheese-dinner-14-oz-box/76706</t>
  </si>
  <si>
    <t>https://i5.peapod.com/c/TU/TUVUY.png</t>
  </si>
  <si>
    <t>Kraft Deluxe 2% Milk Cheese Mac &amp; Cheese Dinner</t>
  </si>
  <si>
    <t>https://giantfoodstores.com/product/kraft-notco-plant-based-white-cheddar-style-mac-cheese-dinner-6-oz-box/366915</t>
  </si>
  <si>
    <t>https://i5.peapod.com/c/KC/KC9F3.png</t>
  </si>
  <si>
    <t>Kraft NotCo Plant-Based White Cheddar Style Mac &amp; Cheese Dinner</t>
  </si>
  <si>
    <t>https://giantfoodstores.com/product/kraft-spongebob-squarepants-mac-cheese-dinner-4-ct-22-oz-pkg/355487</t>
  </si>
  <si>
    <t>https://i5.peapod.com/c/IU/IUP4Z.png</t>
  </si>
  <si>
    <t>Kraft SpongeBob Squarepants Mac &amp; Cheese Dinner - 4 ct</t>
  </si>
  <si>
    <t>22 OZ PKG</t>
  </si>
  <si>
    <t>https://giantfoodstores.com/product/kraft-deluxe-original-cheddar-mac-cheese-dinner-family-size-24-oz-box/222112</t>
  </si>
  <si>
    <t>https://i5.peapod.com/c/GL/GLR64.png</t>
  </si>
  <si>
    <t>Kraft Deluxe Original Cheddar Mac &amp; Cheese Dinner Family Size</t>
  </si>
  <si>
    <t>24 OZ BOX</t>
  </si>
  <si>
    <t>https://giantfoodstores.com/product/kraft-paw-patrol-macaroni-cheese-dinner-4-ct-22-oz-box/332171</t>
  </si>
  <si>
    <t>https://i5.peapod.com/c/T3/T33ZQ.png</t>
  </si>
  <si>
    <t>Kraft Paw Patrol Macaroni &amp; Cheese Dinner - 4 ct</t>
  </si>
  <si>
    <t>22 OZ BOX</t>
  </si>
  <si>
    <t>https://giantfoodstores.com/product/kraft-jalapeno-flavored-mac-cheese-7.25-oz-box/370805</t>
  </si>
  <si>
    <t>https://i5.peapod.com/c/JU/JUTP0.png</t>
  </si>
  <si>
    <t>Kraft Jalapeno Flavored Mac &amp; Cheese</t>
  </si>
  <si>
    <t>https://giantfoodstores.com/product/kraft-ranch-flavored-mac-cheese-7.25-oz-box/370806</t>
  </si>
  <si>
    <t>https://i5.peapod.com/c/Q2/Q2QKX.png</t>
  </si>
  <si>
    <t>Kraft Ranch Flavored Mac &amp; Cheese</t>
  </si>
  <si>
    <t>https://giantfoodstores.com/product/kraft-chunky-blue-cheese-dressing-16-oz-btl/194218</t>
  </si>
  <si>
    <t>https://i5.peapod.com/c/UA/UAS3L.png</t>
  </si>
  <si>
    <t>Kraft Chunky Blue Cheese Dressing</t>
  </si>
  <si>
    <t>https://giantfoodstores.com/product/kraft-deluxe-homestyle-original-cheddar-mac-cheese-dinner-12-oz-box/348304</t>
  </si>
  <si>
    <t>https://i5.peapod.com/c/X8/X88V9.png</t>
  </si>
  <si>
    <t>Kraft Deluxe Homestyle Original Cheddar Mac &amp; Cheese Dinner</t>
  </si>
  <si>
    <t>https://giantfoodstores.com/product/kraft-deluxe-homestyle-four-cheese-mac-cheese-dinner-12-oz-box/348303</t>
  </si>
  <si>
    <t>https://i5.peapod.com/c/SM/SMYRX.png</t>
  </si>
  <si>
    <t>Kraft Deluxe Homestyle Four Cheese Mac &amp; Cheese Dinner</t>
  </si>
  <si>
    <t>https://giantfoodstores.com/product/lactaid-lactose-free-protein-vitamin-d-whole-milk-52-oz-ctn/279075</t>
  </si>
  <si>
    <t>https://i5.peapod.com/c/Q3/Q36YG.png</t>
  </si>
  <si>
    <t>Lactaid Lactose Free Protein Vitamin D Whole Milk</t>
  </si>
  <si>
    <t>Lactaid</t>
  </si>
  <si>
    <t>52 OZ CTN</t>
  </si>
  <si>
    <t>https://giantfoodstores.com/product/lactaid-lactose-free-2-reduced-fat-milk-96-oz-jug/134378</t>
  </si>
  <si>
    <t>https://i5.peapod.com/c/QO/QOA55.png</t>
  </si>
  <si>
    <t>Lactaid Lactose Free 2% Reduced Fat Milk</t>
  </si>
  <si>
    <t>96 OZ JUG</t>
  </si>
  <si>
    <t>$0.07 /OZ</t>
  </si>
  <si>
    <t>https://giantfoodstores.com/product/lactaid-lactose-free-vitamin-d-milk-96-oz-jug/134377</t>
  </si>
  <si>
    <t>https://i5.peapod.com/c/X3/X3J7P.png</t>
  </si>
  <si>
    <t>Lactaid Lactose Free Vitamin D Milk</t>
  </si>
  <si>
    <t>https://giantfoodstores.com/product/lactaid-lactose-free-2-reduced-fat-milk-1-2-gallon/51421</t>
  </si>
  <si>
    <t>https://i5.peapod.com/c/3I/3IWF2.png</t>
  </si>
  <si>
    <t>https://giantfoodstores.com/product/lactaid-lactose-free-fat-free-milk-96-oz-jug/134379</t>
  </si>
  <si>
    <t>https://i5.peapod.com/c/XB/XB8W8.png</t>
  </si>
  <si>
    <t>Lactaid Lactose Free Fat Free Milk</t>
  </si>
  <si>
    <t>https://giantfoodstores.com/product/lactaid-lactose-free-whole-milk-1-2-gallon/123811</t>
  </si>
  <si>
    <t>https://i5.peapod.com/c/TA/TA5WE.png</t>
  </si>
  <si>
    <t>Lactaid Lactose Free Whole Milk</t>
  </si>
  <si>
    <t>https://giantfoodstores.com/product/lactaid-lactose-free-calcium-enriched-2-reduced-fat-milk-96-oz-jug/255140</t>
  </si>
  <si>
    <t>https://i5.peapod.com/c/42/42U3H.png</t>
  </si>
  <si>
    <t>Lactaid Lactose Free Calcium Enriched 2% Reduced Fat Milk</t>
  </si>
  <si>
    <t>https://giantfoodstores.com/product/lactaid-lactose-free-calcium-enriched-2-reduced-fat-milk-1-2-gallon/127090</t>
  </si>
  <si>
    <t>https://i5.peapod.com/c/YY/YYPC6.png</t>
  </si>
  <si>
    <t>https://giantfoodstores.com/product/lactaid-lactose-free-protein-2-reduced-fat-milk-52-oz-ctn/279074</t>
  </si>
  <si>
    <t>https://i5.peapod.com/c/CS/CSX1J.png</t>
  </si>
  <si>
    <t>Lactaid Lactose Free Protein 2% Reduced Fat Milk</t>
  </si>
  <si>
    <t>https://giantfoodstores.com/product/lactaid-lactose-free-calcium-enriched-fat-free-milk-1-2-gallon/94314</t>
  </si>
  <si>
    <t>https://i5.peapod.com/c/16/16UUA.png</t>
  </si>
  <si>
    <t>Lactaid Lactose Free Calcium Enriched Fat Free Milk</t>
  </si>
  <si>
    <t>https://giantfoodstores.com/product/lactaid-lactose-free-1-low-fat-milk-1-2-gallon/92840</t>
  </si>
  <si>
    <t>https://i5.peapod.com/c/Z1/Z184I.png</t>
  </si>
  <si>
    <t>Lactaid Lactose Free 1% Low Fat Milk</t>
  </si>
  <si>
    <t>https://giantfoodstores.com/product/lactaid-lactose-free-calcium-enriched-vitamin-d-milk-1-2-gallon/138350</t>
  </si>
  <si>
    <t>https://i5.peapod.com/c/PG/PGJ4I.png</t>
  </si>
  <si>
    <t>Lactaid Lactose Free Calcium Enriched Vitamin D Milk</t>
  </si>
  <si>
    <t>https://giantfoodstores.com/product/lactaid-lactose-free-1-low-fat-milk-96-oz-jug/144762</t>
  </si>
  <si>
    <t>https://i5.peapod.com/c/BY/BYO3Q.png</t>
  </si>
  <si>
    <t>https://giantfoodstores.com/product/mission-flour-tortillas-soft-taco-size-10-ct-17.5-oz-pkg/18385</t>
  </si>
  <si>
    <t>https://i5.peapod.com/c/BW/BW1BJ.png</t>
  </si>
  <si>
    <t>Mission Flour Tortillas Soft Taco Size - 10 ct</t>
  </si>
  <si>
    <t>Mission</t>
  </si>
  <si>
    <t>17.5 OZ PKG</t>
  </si>
  <si>
    <t>https://giantfoodstores.com/product/mission-carb-balance-low-carb-flour-tortillas-soft-taco-size-8-ct-12-oz-pkg/180833</t>
  </si>
  <si>
    <t>https://i5.peapod.com/c/9L/9LLS5.png</t>
  </si>
  <si>
    <t>Mission Carb Balance Low Carb Flour Tortillas Soft Taco Size - 8 ct</t>
  </si>
  <si>
    <t>$0.38 /OZ</t>
  </si>
  <si>
    <t>https://giantfoodstores.com/product/mission-flour-tortillas-super-soft-fajita-taco-size-20-ct-23-oz-pkg/189295</t>
  </si>
  <si>
    <t>https://i5.peapod.com/c/VW/VWT8A.png</t>
  </si>
  <si>
    <t>Mission Flour Tortillas Super Soft Fajita &amp; Taco Size - 20 ct</t>
  </si>
  <si>
    <t>23 OZ PKG</t>
  </si>
  <si>
    <t>https://giantfoodstores.com/product/mission-flour-tortillas-burrito-size-large-8-ct-20-oz-pkg/25379</t>
  </si>
  <si>
    <t>https://i5.peapod.com/c/V2/V26QW.png</t>
  </si>
  <si>
    <t>Mission Flour Tortillas Burrito Size Large - 8 ct</t>
  </si>
  <si>
    <t>20 OZ PKG</t>
  </si>
  <si>
    <t>https://giantfoodstores.com/product/mission-zero-net-carbs-keto-original-tortillas-soft-taco-size-14-ct-8.89-oz-pkg/334135</t>
  </si>
  <si>
    <t>https://i5.peapod.com/c/SX/SXW9Y.png</t>
  </si>
  <si>
    <t>Mission Zero Net Carbs Keto Original Tortillas Soft Taco Size - 14 ct</t>
  </si>
  <si>
    <t>8.89 OZ PKG</t>
  </si>
  <si>
    <t>$0.40 /OZ</t>
  </si>
  <si>
    <t>https://giantfoodstores.com/product/mission-street-taco-mini-flour-tortillas-12-ct-11-oz-pkg/236622</t>
  </si>
  <si>
    <t>https://i5.peapod.com/c/Q3/Q3VWY.png</t>
  </si>
  <si>
    <t>Mission Street Taco Mini Flour Tortillas - 12 ct</t>
  </si>
  <si>
    <t>11 OZ PKG</t>
  </si>
  <si>
    <t>https://giantfoodstores.com/product/mission-carb-balance-low-carb-whole-wheat-tortillas-soft-taco-size-8-ct-12-oz-bag/226056</t>
  </si>
  <si>
    <t>https://i5.peapod.com/c/LH/LHY94.png</t>
  </si>
  <si>
    <t>Mission Carb Balance Low Carb Whole Wheat Tortillas Soft Taco Size - 8 ct</t>
  </si>
  <si>
    <t>https://giantfoodstores.com/product/mission-gluten-free-original-tortillas-wraps-6-ct-10.5-oz-pkg/221458</t>
  </si>
  <si>
    <t>https://i5.peapod.com/c/42/42AM3.png</t>
  </si>
  <si>
    <t>Mission Gluten Free Original Tortillas Wraps - 6 ct</t>
  </si>
  <si>
    <t>10.5 OZ PKG</t>
  </si>
  <si>
    <t>https://giantfoodstores.com/product/mission-carb-balance-flour-super-soft-burrito-tortilla-wraps-6-ct-15-oz-pkg/363795</t>
  </si>
  <si>
    <t>https://i5.peapod.com/c/UF/UFT9I.png</t>
  </si>
  <si>
    <t>Mission Carb Balance Flour Super Soft Burrito Tortilla Wraps - 6 ct</t>
  </si>
  <si>
    <t>https://giantfoodstores.com/product/mission-yellow-corn-tortillas-street-tacos-24-ct-12.6-oz-pkg/275285</t>
  </si>
  <si>
    <t>https://i5.peapod.com/c/ZH/ZH2XT.png</t>
  </si>
  <si>
    <t>Mission Yellow Corn Tortillas Street Tacos - 24 ct</t>
  </si>
  <si>
    <t>12.6 OZ PKG</t>
  </si>
  <si>
    <t>https://giantfoodstores.com/product/mission-white-corn-tortillas-super-soft-taco-size-30-ct-25-oz-pkg/18139</t>
  </si>
  <si>
    <t>https://i5.peapod.com/c/3V/3VIHH.png</t>
  </si>
  <si>
    <t>Mission White Corn Tortillas Super Soft Taco Size - 30 ct</t>
  </si>
  <si>
    <t>25 OZ PKG</t>
  </si>
  <si>
    <t>https://giantfoodstores.com/product/mission-zero-net-carbs-original-tortilla-wraps-8-ct-11.2-oz-pkg/371152</t>
  </si>
  <si>
    <t>https://i5.peapod.com/c/3M/3MC7Y.png</t>
  </si>
  <si>
    <t>Mission Zero Net Carbs Original Tortilla Wraps - 8 ct</t>
  </si>
  <si>
    <t>11.2 OZ PKG</t>
  </si>
  <si>
    <t>https://giantfoodstores.com/product/mission-100-whole-wheat-flour-tortillas-soft-taco-size-10-ct-16-oz-pkg/216293</t>
  </si>
  <si>
    <t>https://i5.peapod.com/c/W2/W2P2L.png</t>
  </si>
  <si>
    <t>Mission 100% Whole Wheat Flour Tortillas Soft Taco Size - 10 ct</t>
  </si>
  <si>
    <t>https://giantfoodstores.com/product/mission-flour-tortillas-super-soft-burrito-size-16-ct-40-oz-bag/226079</t>
  </si>
  <si>
    <t>https://i5.peapod.com/c/WF/WFYNI.png</t>
  </si>
  <si>
    <t>Mission Flour Tortillas Super Soft Burrito Size -16 ct</t>
  </si>
  <si>
    <t>40 OZ BAG</t>
  </si>
  <si>
    <t>https://giantfoodstores.com/product/mission-yellow-corn-tortillas-extra-thin-taco-size-24-ct-16-oz-pkg/199344</t>
  </si>
  <si>
    <t>https://i5.peapod.com/c/8Z/8ZOLV.png</t>
  </si>
  <si>
    <t>Mission Yellow Corn Tortillas Extra Thin Taco Size - 24 ct</t>
  </si>
  <si>
    <t>https://giantfoodstores.com/product/mission-street-taco-carb-balance-low-carb-whole-wheat-tortillas-12-ct-10-oz-pkg/275284</t>
  </si>
  <si>
    <t>https://i5.peapod.com/c/5Y/5Y2AT.png</t>
  </si>
  <si>
    <t>Mission Street Taco Carb Balance Low Carb Whole Wheat Tortillas - 12 ct</t>
  </si>
  <si>
    <t>10 OZ PKG</t>
  </si>
  <si>
    <t>https://giantfoodstores.com/product/mission-flour-tortillas-soft-taco-size-20-ct-28-oz-pkg/144035</t>
  </si>
  <si>
    <t>https://i5.peapod.com/c/D7/D79DG.png</t>
  </si>
  <si>
    <t>Mission Flour Tortillas Soft Taco Size - 20 ct</t>
  </si>
  <si>
    <t>28 OZ PKG</t>
  </si>
  <si>
    <t>https://giantfoodstores.com/product/mission-zero-net-carbs-keto-sun-dried-tomato-basil-tortillas-14-ct-8.89-oz-pkg/334136</t>
  </si>
  <si>
    <t>https://i5.peapod.com/c/V3/V3NB1.png</t>
  </si>
  <si>
    <t>Mission Zero Net Carbs Keto Sun-Dried Tomato Basil Tortillas - 14 ct</t>
  </si>
  <si>
    <t>https://giantfoodstores.com/product/mission-street-taco-sweet-hawaiian-flour-tortillas-10-ct-8.54-oz-pkg/294667</t>
  </si>
  <si>
    <t>https://i5.peapod.com/c/52/52TNN.png</t>
  </si>
  <si>
    <t>Mission Street Taco Sweet Hawaiian Flour Tortillas - 10 ct</t>
  </si>
  <si>
    <t>8.54 OZ PKG</t>
  </si>
  <si>
    <t>https://giantfoodstores.com/product/mission-yellow-corn-tortillas-super-size-super-soft-taco-size-10-ct-10.8-oz-bag/226099</t>
  </si>
  <si>
    <t>https://i5.peapod.com/c/YN/YN51Z.jpg</t>
  </si>
  <si>
    <t>Mission Yellow Corn Tortillas Super Size Super Soft Taco Size - 10 ct</t>
  </si>
  <si>
    <t>10.8 OZ BAG</t>
  </si>
  <si>
    <t>https://giantfoodstores.com/product/mission-flour-tortillas-small-super-soft-fajita-taco-size-8-ct-9.2-oz-pkg/18283</t>
  </si>
  <si>
    <t>https://i5.peapod.com/c/AP/APQGY.jpg</t>
  </si>
  <si>
    <t>Mission Flour Tortillas Small Super Soft Fajita &amp; Taco Size - 8 ct</t>
  </si>
  <si>
    <t>9.2 OZ PKG</t>
  </si>
  <si>
    <t>https://giantfoodstores.com/product/mission-organics-whole-wheat-tortillas-soft-taco-size-6-ct-10.5-oz-pkg/237662</t>
  </si>
  <si>
    <t>https://i5.peapod.com/c/UD/UDWEC.png</t>
  </si>
  <si>
    <t>Mission Organics Whole Wheat Tortillas Soft Taco Size - 6 ct</t>
  </si>
  <si>
    <t>https://giantfoodstores.com/product/mission-carb-balance-whole-wheat-super-soft-burrito-tortilla-wraps-6-ct-15-oz-pkg/363796</t>
  </si>
  <si>
    <t>https://i5.peapod.com/c/QU/QUTU2.png</t>
  </si>
  <si>
    <t>Mission Carb Balance Whole Wheat Super Soft Burrito Tortilla Wraps - 6 ct</t>
  </si>
  <si>
    <t>https://giantfoodstores.com/product/mission-carb-balance-keto-spinach-herb-super-soft-tortilla-wraps-8-ct-12-oz-pkg/277902</t>
  </si>
  <si>
    <t>https://i5.peapod.com/c/2U/2UOCZ.png</t>
  </si>
  <si>
    <t>Mission Carb Balance Keto Spinach Herb Super Soft Tortilla Wraps - 8 ct</t>
  </si>
  <si>
    <t>https://giantfoodstores.com/product/mission-protein-plant-powered-super-soft-tortilla-wraps-6-ct-9-oz-pkg/276911</t>
  </si>
  <si>
    <t>https://i5.peapod.com/c/ZV/ZV08A.png</t>
  </si>
  <si>
    <t>Mission Protein Plant Powered Super Soft Tortilla Wraps - 6 ct</t>
  </si>
  <si>
    <t>$0.78 /OZ</t>
  </si>
  <si>
    <t>https://giantfoodstores.com/product/mission-carb-balance-keto-wheat-super-soft-tortilla-wraps-fajita-8-ct-8-oz-pkg/353547</t>
  </si>
  <si>
    <t>https://i5.peapod.com/c/IP/IP3AR.png</t>
  </si>
  <si>
    <t>Mission Carb Balance Keto Wheat Super Soft Tortilla Wraps Fajita - 8 ct</t>
  </si>
  <si>
    <t>$0.47 /OZ</t>
  </si>
  <si>
    <t>https://giantfoodstores.com/product/mission-gluten-free-spinach-herb-tortillas-wraps-6-ct-10.5-oz-pkg/275288</t>
  </si>
  <si>
    <t>https://i5.peapod.com/c/AO/AOYKP.png</t>
  </si>
  <si>
    <t>Mission Gluten Free Spinach Herb Tortillas Wraps - 6 ct</t>
  </si>
  <si>
    <t>https://giantfoodstores.com/product/mission-carb-balance-keto-tomato-basil-soft-tortilla-wraps-fajita-8-ct-12-oz-pkg/294666</t>
  </si>
  <si>
    <t>https://i5.peapod.com/c/DL/DLT7O.png</t>
  </si>
  <si>
    <t>Mission Carb Balance Keto Tomato Basil Soft Tortilla Wraps Fajita - 8 ct</t>
  </si>
  <si>
    <t>https://giantfoodstores.com/product/mission-garden-spinach-herb-wraps-6-ct-15-oz-pkg/189294</t>
  </si>
  <si>
    <t>https://i5.peapod.com/c/ZY/ZYOTB.jpg</t>
  </si>
  <si>
    <t>Mission Garden Spinach Herb Wraps - 6 ct</t>
  </si>
  <si>
    <t>https://giantfoodstores.com/product/mission-original-wraps-6-ct-15-oz-pkg/189293</t>
  </si>
  <si>
    <t>https://i5.peapod.com/c/PH/PHRGK.jpg</t>
  </si>
  <si>
    <t>Mission Original Wraps - 6 ct</t>
  </si>
  <si>
    <t>https://giantfoodstores.com/product/mission-sun-dried-tomato-basil-wraps-6-ct-15-oz-pkg/199342</t>
  </si>
  <si>
    <t>https://i5.peapod.com/c/NX/NXNZ3.jpg</t>
  </si>
  <si>
    <t>Mission Sun-Dried Tomato Basil Wraps - 6 ct</t>
  </si>
  <si>
    <t>https://giantfoodstores.com/product/mission-jalapeno-cheddar-wraps-6-ct-15-oz-pkg/199341</t>
  </si>
  <si>
    <t>https://i5.peapod.com/c/37/37KSU.png</t>
  </si>
  <si>
    <t>Mission Jalapeno Cheddar Wraps - 6 ct</t>
  </si>
  <si>
    <t>https://giantfoodstores.com/product/mission-gluten-free-tortilla-rounds-11-oz-bag/196978</t>
  </si>
  <si>
    <t>https://i5.peapod.com/c/H3/H36KZ.png</t>
  </si>
  <si>
    <t>Mission Gluten Free Tortilla Rounds</t>
  </si>
  <si>
    <t>11 OZ BAG</t>
  </si>
  <si>
    <t>https://giantfoodstores.com/product/mission-gluten-free-tortilla-strips-11-oz-bag/196979</t>
  </si>
  <si>
    <t>https://i5.peapod.com/c/01/01VUS.png</t>
  </si>
  <si>
    <t>Mission Gluten Free Tortilla Strips</t>
  </si>
  <si>
    <t>https://giantfoodstores.com/product/mission-gluten-free-tortilla-triangles-11-oz-bag/196980</t>
  </si>
  <si>
    <t>https://i5.peapod.com/c/VQ/VQT71.png</t>
  </si>
  <si>
    <t>Mission Gluten Free Tortilla Triangles</t>
  </si>
  <si>
    <t>https://giantfoodstores.com/product/motts-cinnamon-applesauce-cups-6-ct-24-oz-pkg/874</t>
  </si>
  <si>
    <t>https://i5.peapod.com/c/76/766XV.png</t>
  </si>
  <si>
    <t>Mott's Cinnamon Applesauce Cups - 6 ct</t>
  </si>
  <si>
    <t>Mott's</t>
  </si>
  <si>
    <t>https://giantfoodstores.com/product/motts-applesauce-cups-6-ct-24-oz-pkg/871</t>
  </si>
  <si>
    <t>https://i5.peapod.com/c/3E/3EZB4.png</t>
  </si>
  <si>
    <t>Mott's Applesauce Cups - 6 ct</t>
  </si>
  <si>
    <t>https://giantfoodstores.com/product/motts-no-sugar-added-unsweetened-applesauce-cups-6-ct-23.4-oz-pkg/870</t>
  </si>
  <si>
    <t>https://i5.peapod.com/c/8W/8W06F.png</t>
  </si>
  <si>
    <t>Mott's No Sugar Added Unsweetened Applesauce Cups - 6 ct</t>
  </si>
  <si>
    <t>23.4 OZ PKG</t>
  </si>
  <si>
    <t>https://giantfoodstores.com/product/motts-strawberry-applesauce-cups-6-ct-24-oz-pkg/26545</t>
  </si>
  <si>
    <t>https://i5.peapod.com/c/QR/QRRBB.png</t>
  </si>
  <si>
    <t>Mott's Strawberry Applesauce Cups - 6 ct</t>
  </si>
  <si>
    <t>https://giantfoodstores.com/product/motts-mango-peach-applesauce-cups-6-ct-24-oz-pkg/93162</t>
  </si>
  <si>
    <t>https://i5.peapod.com/c/K0/K0VN6.png</t>
  </si>
  <si>
    <t>Mott's Mango Peach Applesauce Cups - 6 ct</t>
  </si>
  <si>
    <t>https://giantfoodstores.com/product/motts-no-sugar-added-cinnamon-applesauce-cups-6-ct-23.4-oz-pkg/282342</t>
  </si>
  <si>
    <t>https://i5.peapod.com/c/M5/M5PAZ.png</t>
  </si>
  <si>
    <t>Mott's No Sugar Added Cinnamon Applesauce Cups - 6 ct</t>
  </si>
  <si>
    <t>https://giantfoodstores.com/product/motts-no-sugar-added-unsweetened-blueberry-applesauce-cups-6-ct-23.4-oz-pkg/20975</t>
  </si>
  <si>
    <t>https://i5.peapod.com/c/S8/S84XU.png</t>
  </si>
  <si>
    <t>Mott's No Sugar Added Unsweetened Blueberry Applesauce Cups - 6 ct</t>
  </si>
  <si>
    <t>https://giantfoodstores.com/product/motts-mighty-no-sugar-added-honeycrisp-apple-applesauce-cups-6-ct-23.4-oz-pkg/314990</t>
  </si>
  <si>
    <t>https://i5.peapod.com/c/83/83CVC.png</t>
  </si>
  <si>
    <t>Mott's Mighty No Sugar Added Honeycrisp Apple Applesauce Cups - 6 ct</t>
  </si>
  <si>
    <t>https://giantfoodstores.com/product/motts-no-sugar-added-unsweetened-granny-smith-applesauce-cups-6-ct-23.4-oz-pkg/156583</t>
  </si>
  <si>
    <t>https://i5.peapod.com/c/B0/B056X.png</t>
  </si>
  <si>
    <t>Mott's No Sugar Added Unsweetened Granny Smith Applesauce Cups - 6 ct</t>
  </si>
  <si>
    <t>https://giantfoodstores.com/product/motts-mighty-no-sugar-added-strawberry-peach-applesauce-cups-6-ct-23.4-oz-pkg/314992</t>
  </si>
  <si>
    <t>https://i5.peapod.com/c/ZV/ZV5NN.png</t>
  </si>
  <si>
    <t>Mott's Mighty No Sugar Added Strawberry Peach Applesauce Cups - 6 ct</t>
  </si>
  <si>
    <t>https://giantfoodstores.com/product/motts-applesauce-cups-18-ct-72-oz-box/270793</t>
  </si>
  <si>
    <t>https://i5.peapod.com/c/C5/C5WWB.png</t>
  </si>
  <si>
    <t>Mott's Applesauce Cups - 18 ct</t>
  </si>
  <si>
    <t>72 OZ BOX</t>
  </si>
  <si>
    <t>https://giantfoodstores.com/product/motts-cinnamon-applesauce-cups-18-ct-72-oz-pkg/261672</t>
  </si>
  <si>
    <t>https://i5.peapod.com/c/N9/N9A11.png</t>
  </si>
  <si>
    <t>Mott's Cinnamon Applesauce Cups - 18 ct</t>
  </si>
  <si>
    <t>72 OZ PKG</t>
  </si>
  <si>
    <t>https://giantfoodstores.com/product/natures-own-honey-wheat-sliced-bread-20-oz-pkg/154240</t>
  </si>
  <si>
    <t>https://i5.peapod.com/c/DU/DUMA2.png</t>
  </si>
  <si>
    <t>Nature's Own Honey Wheat Sliced Bread</t>
  </si>
  <si>
    <t>Nature's Own</t>
  </si>
  <si>
    <t>https://giantfoodstores.com/product/natures-own-100-whole-wheat-sliced-bread-20-oz-pkg/154239</t>
  </si>
  <si>
    <t>https://i5.peapod.com/c/44/44P9J.png</t>
  </si>
  <si>
    <t>Nature's Own 100% Whole Wheat Sliced Bread</t>
  </si>
  <si>
    <t>https://giantfoodstores.com/product/natures-own-butterbread-white-sliced-bread-20-oz-pkg/154242</t>
  </si>
  <si>
    <t>https://i5.peapod.com/c/SW/SW9ZG.png</t>
  </si>
  <si>
    <t>Nature's Own Butterbread White Sliced Bread</t>
  </si>
  <si>
    <t>https://giantfoodstores.com/product/natures-own-perfectly-crafted-multigrain-thick-sliced-bread-22-oz-pkg/234166</t>
  </si>
  <si>
    <t>https://i5.peapod.com/c/MS/MSRUE.png</t>
  </si>
  <si>
    <t>Nature's Own Perfectly Crafted Multigrain Thick Sliced Bread</t>
  </si>
  <si>
    <t>https://giantfoodstores.com/product/natures-own-perfectly-crafted-white-thick-sliced-bread-22-oz-pkg/228984</t>
  </si>
  <si>
    <t>https://i5.peapod.com/c/IB/IB20E.png</t>
  </si>
  <si>
    <t>Nature's Own Perfectly Crafted White Thick Sliced Bread</t>
  </si>
  <si>
    <t>https://giantfoodstores.com/product/natures-own-life-keto-soft-white-sliced-bread-16-oz-bag/348328</t>
  </si>
  <si>
    <t>https://i5.peapod.com/c/JY/JY4BW.png</t>
  </si>
  <si>
    <t>Nature's Own Life Keto Soft White Sliced Bread</t>
  </si>
  <si>
    <t>16 OZ BAG</t>
  </si>
  <si>
    <t>https://giantfoodstores.com/product/natures-own-hawaiian-sliced-bread-20-oz-bag/326043</t>
  </si>
  <si>
    <t>https://i5.peapod.com/c/ET/ETSFL.png</t>
  </si>
  <si>
    <t>Nature's Own Hawaiian Sliced Bread</t>
  </si>
  <si>
    <t>20 OZ BAG</t>
  </si>
  <si>
    <t>https://giantfoodstores.com/product/natures-own-perfectly-crafted-brioche-style-thick-sliced-bread-22-oz-pkg/277114</t>
  </si>
  <si>
    <t>https://i5.peapod.com/c/K7/K7DNO.png</t>
  </si>
  <si>
    <t>Nature's Own Perfectly Crafted Brioche Style Thick Sliced Bread</t>
  </si>
  <si>
    <t>https://giantfoodstores.com/product/natures-own-perfectly-crafted-brioche-style-hamburger-buns-8-ct-18-oz-pkg/281590</t>
  </si>
  <si>
    <t>https://i5.peapod.com/c/TI/TI8JJ.png</t>
  </si>
  <si>
    <t>Nature's Own Perfectly Crafted Brioche Style Hamburger Buns - 8 ct</t>
  </si>
  <si>
    <t>https://giantfoodstores.com/product/natures-own-life-keto-soft-white-hamburger-buns-8-ct-12-oz-bag/357908</t>
  </si>
  <si>
    <t>https://i5.peapod.com/c/OB/OBXXH.png</t>
  </si>
  <si>
    <t>Nature's Own Life Keto Soft White Hamburger Buns - 8 ct</t>
  </si>
  <si>
    <t>https://giantfoodstores.com/product/natures-own-100-whole-wheat-hamburger-buns-8-ct-15-oz-pkg/186634</t>
  </si>
  <si>
    <t>https://i5.peapod.com/c/G7/G7FO2.png</t>
  </si>
  <si>
    <t>Nature's Own 100% Whole Wheat Hamburger Buns - 8 ct</t>
  </si>
  <si>
    <t>https://giantfoodstores.com/product/philadelphia-original-cream-cheese-block-8-oz-pkg/1751</t>
  </si>
  <si>
    <t>https://i5.peapod.com/c/2E/2EXDX.png</t>
  </si>
  <si>
    <t>Philadelphia Original Cream Cheese Block</t>
  </si>
  <si>
    <t>Philadelphia</t>
  </si>
  <si>
    <t>$0.46 /OZ</t>
  </si>
  <si>
    <t>https://giantfoodstores.com/product/philadelphia-original-cream-cheese-bricks-8-oz-2-ct-16-oz-pkg/214785</t>
  </si>
  <si>
    <t>https://i5.peapod.com/c/XJ/XJRDX.png</t>
  </si>
  <si>
    <t>Philadelphia Original Cream Cheese Bricks 8 oz/2 ct</t>
  </si>
  <si>
    <t>$0.34 /OZ</t>
  </si>
  <si>
    <t>https://giantfoodstores.com/product/philadelphia-original-cream-cheese-spread-8-oz-tub/1665</t>
  </si>
  <si>
    <t>https://i5.peapod.com/c/UK/UK3SV.png</t>
  </si>
  <si>
    <t>Philadelphia Original Cream Cheese Spread</t>
  </si>
  <si>
    <t>$0.62 /OZ</t>
  </si>
  <si>
    <t>https://giantfoodstores.com/product/philadelphia-original-whipped-cream-cheese-spread-8-oz-tub/1771</t>
  </si>
  <si>
    <t>https://i5.peapod.com/c/YI/YIBKT.png</t>
  </si>
  <si>
    <t>Philadelphia Original Whipped Cream Cheese Spread</t>
  </si>
  <si>
    <t>https://giantfoodstores.com/product/philadelphia-original-cream-cheese-spread-16-oz-tub/26830</t>
  </si>
  <si>
    <t>https://i5.peapod.com/c/KO/KOFLW.png</t>
  </si>
  <si>
    <t>$0.55 /OZ</t>
  </si>
  <si>
    <t>https://giantfoodstores.com/product/philadelphia-garden-vegetable-cream-cheese-spread-7.5-oz-tub/60879</t>
  </si>
  <si>
    <t>https://i5.peapod.com/c/I2/I2XZE.png</t>
  </si>
  <si>
    <t>Philadelphia Garden Vegetable Cream Cheese Spread</t>
  </si>
  <si>
    <t>7.5 OZ TUB</t>
  </si>
  <si>
    <t>https://giantfoodstores.com/product/philadelphia-original-whipped-cream-cheese-spread-12-oz-tub/117806</t>
  </si>
  <si>
    <t>https://i5.peapod.com/c/JH/JHAER.png</t>
  </si>
  <si>
    <t>$0.58 /OZ</t>
  </si>
  <si>
    <t>https://giantfoodstores.com/product/philadelphia-reduced-fat-original-cream-cheese-spread-8-oz-tub/1666</t>
  </si>
  <si>
    <t>https://i5.peapod.com/c/12/122G4.png</t>
  </si>
  <si>
    <t>Philadelphia Reduced Fat Original Cream Cheese Spread</t>
  </si>
  <si>
    <t>https://giantfoodstores.com/product/philadelphia-original-cream-cheese-spread-12-oz-tub/1766</t>
  </si>
  <si>
    <t>https://i5.peapod.com/c/LD/LDAU7.png</t>
  </si>
  <si>
    <t>https://giantfoodstores.com/product/philadelphia-strawberry-cream-cheese-spread-7.5-oz-tub/1754</t>
  </si>
  <si>
    <t>https://i5.peapod.com/c/33/334DU.png</t>
  </si>
  <si>
    <t>Philadelphia Strawberry Cream Cheese Spread</t>
  </si>
  <si>
    <t>https://giantfoodstores.com/product/philadelphia-chive-onion-cream-cheese-spread-7.5-oz-tub/1755</t>
  </si>
  <si>
    <t>https://i5.peapod.com/c/3T/3TYPX.png</t>
  </si>
  <si>
    <t>Philadelphia Chive &amp; Onion Cream Cheese Spread</t>
  </si>
  <si>
    <t>https://giantfoodstores.com/product/philadelphia-chive-whipped-cream-cheese-spread-7.5-oz-tub/71280</t>
  </si>
  <si>
    <t>https://i5.peapod.com/c/EY/EYUAT.png</t>
  </si>
  <si>
    <t>Philadelphia Chive Whipped Cream Cheese Spread</t>
  </si>
  <si>
    <t>https://giantfoodstores.com/product/philadelphia-reduced-fat-original-cream-cheese-spread-12-oz-tub/14715</t>
  </si>
  <si>
    <t>https://i5.peapod.com/c/HL/HLNL9.png</t>
  </si>
  <si>
    <t>https://giantfoodstores.com/product/philadelphia-brown-sugar-cinnamon-cream-cheese-spread-7.5-oz-tub/200230</t>
  </si>
  <si>
    <t>https://i5.peapod.com/c/L0/L0VX9.png</t>
  </si>
  <si>
    <t>Philadelphia Brown Sugar &amp; Cinnamon Cream Cheese Spread</t>
  </si>
  <si>
    <t>https://giantfoodstores.com/product/philadelphia-mixed-berry-whipped-cream-cheese-spread-7.5-oz-tub/128555</t>
  </si>
  <si>
    <t>https://i5.peapod.com/c/JT/JTCH6.png</t>
  </si>
  <si>
    <t>Philadelphia Mixed Berry Whipped Cream Cheese Spread</t>
  </si>
  <si>
    <t>https://giantfoodstores.com/product/philadelphia-honey-pecan-cream-cheese-spread-7.5-oz-tub/193309</t>
  </si>
  <si>
    <t>https://i5.peapod.com/c/IB/IBLKY.png</t>
  </si>
  <si>
    <t>Philadelphia Honey Pecan Cream Cheese Spread</t>
  </si>
  <si>
    <t>https://giantfoodstores.com/product/philadelphia-reduced-fat-original-cream-cheese-spread-16-oz-tub/227919</t>
  </si>
  <si>
    <t>https://i5.peapod.com/c/1A/1ABOG.png</t>
  </si>
  <si>
    <t>https://giantfoodstores.com/product/philadelphia-smoked-salmon-cream-cheese-spread-7.5-oz-tub/1756</t>
  </si>
  <si>
    <t>https://i5.peapod.com/c/LZ/LZK27.png</t>
  </si>
  <si>
    <t>Philadelphia Smoked Salmon Cream Cheese Spread</t>
  </si>
  <si>
    <t>https://giantfoodstores.com/product/philadelphia-spicy-jalapeno-cream-cheese-spread-7.5-oz-tub/198384</t>
  </si>
  <si>
    <t>https://i5.peapod.com/c/RO/ROYAJ.png</t>
  </si>
  <si>
    <t>Philadelphia Spicy Jalapeno Cream Cheese Spread</t>
  </si>
  <si>
    <t>https://giantfoodstores.com/product/philadelphia-neufchatel-cheese-brick-8-oz-pkg/1752</t>
  </si>
  <si>
    <t>https://i5.peapod.com/c/M7/M7A5W.png</t>
  </si>
  <si>
    <t>Philadelphia Neufchatel Cheese Brick</t>
  </si>
  <si>
    <t>https://giantfoodstores.com/product/philadelphia-no-bake-original-cheesecake-filling-24.3-oz-tub/142698</t>
  </si>
  <si>
    <t>https://i5.peapod.com/c/WT/WTC8G.png</t>
  </si>
  <si>
    <t>Philadelphia No Bake Original Cheesecake Filling</t>
  </si>
  <si>
    <t>24.3 OZ TUB</t>
  </si>
  <si>
    <t>https://giantfoodstores.com/product/sara-lee-artesano-original-white-sliced-bread-20-oz-pkg/217774</t>
  </si>
  <si>
    <t>https://i5.peapod.com/c/H6/H619B.png</t>
  </si>
  <si>
    <t>Sara Lee Artesano Original White Sliced Bread</t>
  </si>
  <si>
    <t>Sara Lee</t>
  </si>
  <si>
    <t>https://giantfoodstores.com/product/sara-lee-honey-wheat-sliced-bread-20-oz-pkg/129602</t>
  </si>
  <si>
    <t>https://i5.peapod.com/c/6R/6RGK9.png</t>
  </si>
  <si>
    <t>Sara Lee Honey Wheat Sliced Bread</t>
  </si>
  <si>
    <t>https://giantfoodstores.com/product/sara-lee-whole-grain-white-sliced-bread-20-oz-pkg/139026</t>
  </si>
  <si>
    <t>https://i5.peapod.com/c/HI/HIXA4.png</t>
  </si>
  <si>
    <t>Sara Lee Whole Grain White Sliced Bread</t>
  </si>
  <si>
    <t>https://giantfoodstores.com/product/sara-lee-100-whole-wheat-sliced-bread-20-oz-pkg/129599</t>
  </si>
  <si>
    <t>https://i5.peapod.com/c/8I/8IJ73.png</t>
  </si>
  <si>
    <t>Sara Lee 100% Whole Wheat Sliced Bread</t>
  </si>
  <si>
    <t>https://giantfoodstores.com/product/sara-lee-artesano-brioche-sliced-bread-20-oz-pkg/273705</t>
  </si>
  <si>
    <t>https://i5.peapod.com/c/QD/QDKTB.png</t>
  </si>
  <si>
    <t>Sara Lee Artesano Brioche Sliced Bread</t>
  </si>
  <si>
    <t>https://giantfoodstores.com/product/sara-lee-sliced-butter-bread-20-oz-pkg/197093</t>
  </si>
  <si>
    <t>https://i5.peapod.com/c/SD/SDEBE.png</t>
  </si>
  <si>
    <t>Sara Lee Sliced Butter Bread</t>
  </si>
  <si>
    <t>https://giantfoodstores.com/product/sara-lee-artesano-smooth-multigrain-sliced-bread-20-oz-bag/326718</t>
  </si>
  <si>
    <t>https://i5.peapod.com/c/VI/VIB4U.png</t>
  </si>
  <si>
    <t>Sara Lee Artesano Smooth Multigrain Sliced Bread</t>
  </si>
  <si>
    <t>https://giantfoodstores.com/product/sara-lee-delightful-45-calories-healthy-multi-grain-sliced-bread-20-oz-pkg/186262</t>
  </si>
  <si>
    <t>https://i5.peapod.com/c/6P/6P95H.png</t>
  </si>
  <si>
    <t>Sara Lee Delightful 45 Calories Healthy Multi-Grain Sliced Bread</t>
  </si>
  <si>
    <t>https://giantfoodstores.com/product/sara-lee-artesano-hawaiian-bakery-bread-20-oz-pkg/362262</t>
  </si>
  <si>
    <t>https://i5.peapod.com/c/ZK/ZK5JM.png</t>
  </si>
  <si>
    <t>Sara Lee Artesano Hawaiian Bakery Bread</t>
  </si>
  <si>
    <t>https://giantfoodstores.com/product/sara-lee-delightful-no-sugar-added-soft-smooth-wheat-sliced-bread-15-oz-pkg/318493</t>
  </si>
  <si>
    <t>https://i5.peapod.com/c/2R/2RXVL.png</t>
  </si>
  <si>
    <t>Sara Lee Delightful No Sugar Added Soft &amp; Smooth Wheat Sliced Bread</t>
  </si>
  <si>
    <t>https://giantfoodstores.com/product/skippy-creamy-peanut-butter-16.3-oz-jar/6751</t>
  </si>
  <si>
    <t>https://i5.peapod.com/c/8N/8NWMR.png</t>
  </si>
  <si>
    <t>Skippy Creamy Peanut Butter</t>
  </si>
  <si>
    <t>Skippy</t>
  </si>
  <si>
    <t>16.3 OZ JAR</t>
  </si>
  <si>
    <t>https://giantfoodstores.com/product/skippy-natural-creamy-peanut-butter-spread-15-oz-jar/137074</t>
  </si>
  <si>
    <t>https://i5.peapod.com/c/G9/G92B8.png</t>
  </si>
  <si>
    <t>Skippy Natural Creamy Peanut Butter Spread</t>
  </si>
  <si>
    <t>https://giantfoodstores.com/product/skippy-natural-creamy-peanut-butter-spread-40-oz-jar/222711</t>
  </si>
  <si>
    <t>https://i5.peapod.com/c/V9/V910S.png</t>
  </si>
  <si>
    <t>https://giantfoodstores.com/product/skippy-creamy-peanut-butter-40-oz-jar/6753</t>
  </si>
  <si>
    <t>https://i5.peapod.com/c/C9/C930V.png</t>
  </si>
  <si>
    <t>https://giantfoodstores.com/product/skippy-creamy-peanut-butter-28-oz-jar/6752</t>
  </si>
  <si>
    <t>https://i5.peapod.com/c/QS/QSHT1.png</t>
  </si>
  <si>
    <t>https://giantfoodstores.com/product/skippy-natural-super-chunk-extra-crunchy-peanut-butter-spread-15-oz-jar/158368</t>
  </si>
  <si>
    <t>https://i5.peapod.com/c/39/393VO.jpg</t>
  </si>
  <si>
    <t>Skippy Natural Super Chunk Extra Crunchy Peanut Butter Spread</t>
  </si>
  <si>
    <t>https://giantfoodstores.com/product/skippy-super-chunk-extra-crunchy-peanut-butter-16.3-oz-jar/6747</t>
  </si>
  <si>
    <t>https://i5.peapod.com/c/25/25ZZY.png</t>
  </si>
  <si>
    <t>Skippy Super Chunk Extra Crunchy Peanut Butter</t>
  </si>
  <si>
    <t>https://giantfoodstores.com/product/skippy-no-sugar-added-creamy-peanut-butter-spread-16-oz-jar/292734</t>
  </si>
  <si>
    <t>https://i5.peapod.com/c/7V/7VXYG.png</t>
  </si>
  <si>
    <t>Skippy No Sugar Added Creamy Peanut Butter Spread</t>
  </si>
  <si>
    <t>https://giantfoodstores.com/product/skippy-natural-creamy-peanut-butter-spread-twin-pack-2-ct-80-oz-pkg/226718</t>
  </si>
  <si>
    <t>https://i5.peapod.com/c/MQ/MQQDS.png</t>
  </si>
  <si>
    <t>Skippy Natural Creamy Peanut Butter Spread Twin Pack - 2 ct</t>
  </si>
  <si>
    <t>https://giantfoodstores.com/product/skippy-natural-1-3-less-sodium-sugar-creamy-peanut-butter-spread-15-oz-jar/195791</t>
  </si>
  <si>
    <t>https://i5.peapod.com/c/WQ/WQPSI.png</t>
  </si>
  <si>
    <t>Skippy Natural 1/3 Less Sodium &amp; Sugar Creamy Peanut Butter Spread</t>
  </si>
  <si>
    <t>https://giantfoodstores.com/product/skippy-super-chunk-extra-crunchy-peanut-butter-40-oz-jar/227888</t>
  </si>
  <si>
    <t>https://i5.peapod.com/c/N3/N36WX.png</t>
  </si>
  <si>
    <t>https://giantfoodstores.com/product/skippy-reduced-fat-creamy-peanut-butter-spread-40-oz-jar/288664</t>
  </si>
  <si>
    <t>https://i5.peapod.com/c/V6/V6ZIK.png</t>
  </si>
  <si>
    <t>Skippy Reduced Fat Creamy Peanut Butter Spread</t>
  </si>
  <si>
    <t>https://giantfoodstores.com/product/skippy-natural-creamy-peanut-butter-spread-26.5-oz-jar/151171</t>
  </si>
  <si>
    <t>https://i5.peapod.com/c/AP/AP4ZL.png</t>
  </si>
  <si>
    <t>26.5 OZ JAR</t>
  </si>
  <si>
    <t>https://giantfoodstores.com/product/skippy-reduced-fat-super-chunk-peanut-butter-spread-16.3-oz-jar/25206</t>
  </si>
  <si>
    <t>https://i5.peapod.com/c/D1/D106D.jpg</t>
  </si>
  <si>
    <t>Skippy Reduced Fat Super Chunk Peanut Butter Spread</t>
  </si>
  <si>
    <t>https://giantfoodstores.com/product/skippy-creamy-peanut-butter-twin-pack-2-ct-80-oz-pkg/145033</t>
  </si>
  <si>
    <t>https://i5.peapod.com/c/TC/TC9WJ.png</t>
  </si>
  <si>
    <t>Skippy Creamy Peanut Butter Twin Pack - 2 ct</t>
  </si>
  <si>
    <t>https://giantfoodstores.com/product/skippy-roasted-honey-nut-creamy-peanut-butter-16.3-oz-jar/10959</t>
  </si>
  <si>
    <t>https://i5.peapod.com/c/FJ/FJSJF.png</t>
  </si>
  <si>
    <t>Skippy Roasted Honey Nut Creamy Peanut Butter</t>
  </si>
  <si>
    <t>https://giantfoodstores.com/product/skippy-no-sugar-added-chunky-peanut-butter-spread-16-oz-jar/292733</t>
  </si>
  <si>
    <t>https://i5.peapod.com/c/G3/G3Y7K.png</t>
  </si>
  <si>
    <t>Skippy No Sugar Added Chunky Peanut Butter Spread</t>
  </si>
  <si>
    <t>https://giantfoodstores.com/product/skippy-no-sugar-added-creamy-peanut-butter-spread-40-oz-jar/348613</t>
  </si>
  <si>
    <t>https://i5.peapod.com/c/Y2/Y2I0M.png</t>
  </si>
  <si>
    <t>https://giantfoodstores.com/product/skippy-natural-creamy-peanut-butter-spread-squeeze-6-oz-sqz/294022</t>
  </si>
  <si>
    <t>https://i5.peapod.com/c/L6/L6WD2.png</t>
  </si>
  <si>
    <t>Skippy Natural Creamy Peanut Butter Spread Squeeze</t>
  </si>
  <si>
    <t>6 OZ SQZ</t>
  </si>
  <si>
    <t>https://giantfoodstores.com/product/skippy-super-chunk-extra-crunchy-peanut-butter-28-oz-jar/6748</t>
  </si>
  <si>
    <t>https://i5.peapod.com/c/PW/PW0CX.png</t>
  </si>
  <si>
    <t>https://giantfoodstores.com/product/skippy-creamy-peanut-butter-squeeze-6-oz-sqz/294020</t>
  </si>
  <si>
    <t>https://i5.peapod.com/c/99/99R72.png</t>
  </si>
  <si>
    <t>Skippy Creamy Peanut Butter Squeeze</t>
  </si>
  <si>
    <t>https://giantfoodstores.com/product/skippy-p.b.-bites-girl-scouts-chocolate-peanut-butter-5.5-oz-pkg/357856</t>
  </si>
  <si>
    <t>https://i5.peapod.com/c/WY/WYB3N.png</t>
  </si>
  <si>
    <t>Skippy P.B. Bites Girl Scouts Chocolate Peanut Butter</t>
  </si>
  <si>
    <t>5.5 OZ PKG</t>
  </si>
  <si>
    <t>$0.73 /OZ</t>
  </si>
  <si>
    <t>https://giantfoodstores.com/product/skippy-p.b.-bites-double-peanut-butter-snack-6-oz-pkg/219059</t>
  </si>
  <si>
    <t>https://i5.peapod.com/c/JB/JBV8U.png</t>
  </si>
  <si>
    <t>Skippy P.B. Bites Double Peanut Butter Snack</t>
  </si>
  <si>
    <t>https://giantfoodstores.com/product/ben-jerrys-cherry-garcia-ice-cream-1-pint/9284</t>
  </si>
  <si>
    <t>https://i5.peapod.com/c/IS/ISQ15.png</t>
  </si>
  <si>
    <t>Ben &amp; Jerry's Cherry Garcia Ice Cream</t>
  </si>
  <si>
    <t>Ben &amp; Jerry's</t>
  </si>
  <si>
    <t>1 PINT</t>
  </si>
  <si>
    <t>https://giantfoodstores.com/product/ben-jerrys-chocolate-fudge-brownie-ice-cream-1-pint/14520</t>
  </si>
  <si>
    <t>https://i5.peapod.com/c/JF/JFBU1.png</t>
  </si>
  <si>
    <t>Ben &amp; Jerry's Chocolate Fudge Brownie Ice Cream</t>
  </si>
  <si>
    <t>https://giantfoodstores.com/product/ben-jerrys-chocolate-chip-cookie-dough-ice-cream-1-pint/12823</t>
  </si>
  <si>
    <t>https://i5.peapod.com/c/T4/T4JMD.png</t>
  </si>
  <si>
    <t>Ben &amp; Jerry's Chocolate Chip Cookie Dough Ice Cream</t>
  </si>
  <si>
    <t>https://giantfoodstores.com/product/ben-jerrys-phish-food-ice-cream-1-pint/77054</t>
  </si>
  <si>
    <t>https://i5.peapod.com/c/L1/L19M2.png</t>
  </si>
  <si>
    <t>Ben &amp; Jerry's Phish Food Ice Cream</t>
  </si>
  <si>
    <t>https://giantfoodstores.com/product/ben-jerrys-strawberry-cheesecake-ice-cream-1-pint/162961</t>
  </si>
  <si>
    <t>https://i5.peapod.com/c/61/61VI2.png</t>
  </si>
  <si>
    <t>Ben &amp; Jerry's Strawberry Cheesecake Ice Cream</t>
  </si>
  <si>
    <t>https://giantfoodstores.com/product/ben-jerrys-the-tonight-dough-starring-jimmy-fallon-ice-cream-1-pint/212458</t>
  </si>
  <si>
    <t>https://i5.peapod.com/c/U8/U82MJ.png</t>
  </si>
  <si>
    <t>Ben &amp; Jerry's The Tonight Dough Starring Jimmy Fallon Ice Cream</t>
  </si>
  <si>
    <t>https://giantfoodstores.com/product/ben-jerrys-chubby-hubby-ice-cream-1-pint/41655</t>
  </si>
  <si>
    <t>https://i5.peapod.com/c/T9/T9EFT.png</t>
  </si>
  <si>
    <t>Ben &amp; Jerry's Chubby Hubby Ice Cream</t>
  </si>
  <si>
    <t>https://giantfoodstores.com/product/ben-jerrys-chunky-monkey-ice-cream-1-pint/9285</t>
  </si>
  <si>
    <t>https://i5.peapod.com/c/KX/KX8OR.png</t>
  </si>
  <si>
    <t>Ben &amp; Jerry's Chunky Monkey Ice Cream</t>
  </si>
  <si>
    <t>https://giantfoodstores.com/product/ben-jerrys-coffee-toffee-bar-crunch-ice-cream-1-pint/9282</t>
  </si>
  <si>
    <t>https://i5.peapod.com/c/RZ/RZALT.png</t>
  </si>
  <si>
    <t>Ben &amp; Jerry's Coffee Toffee Bar Crunch Ice Cream</t>
  </si>
  <si>
    <t>https://giantfoodstores.com/product/ben-jerrys-mint-chocolate-cookie-ice-cream-1-pint/9279</t>
  </si>
  <si>
    <t>https://i5.peapod.com/c/IE/IE8JM.png</t>
  </si>
  <si>
    <t>Ben &amp; Jerry's Mint Chocolate Cookie Ice Cream</t>
  </si>
  <si>
    <t>https://giantfoodstores.com/product/ben-jerrys-peanut-butter-half-baked-ice-cream-1-pint/277124</t>
  </si>
  <si>
    <t>https://i5.peapod.com/c/SP/SPJER.png</t>
  </si>
  <si>
    <t>Ben &amp; Jerry's Peanut Butter Half Baked Ice Cream</t>
  </si>
  <si>
    <t>https://giantfoodstores.com/product/ben-jerrys-stephen-colberts-americone-dream-ice-cream-1-pint/145441</t>
  </si>
  <si>
    <t>https://i5.peapod.com/c/Q8/Q8LBH.png</t>
  </si>
  <si>
    <t>Ben &amp; Jerry's Stephen Colbert's Americone Dream Ice Cream</t>
  </si>
  <si>
    <t>https://giantfoodstores.com/product/ben-jerrys-chocolate-therapy-ice-cream-1-pint/184297</t>
  </si>
  <si>
    <t>https://i5.peapod.com/c/B2/B2FCY.png</t>
  </si>
  <si>
    <t>Ben &amp; Jerry's Chocolate Therapy Ice Cream</t>
  </si>
  <si>
    <t>https://giantfoodstores.com/product/ben-jerrys-peanut-butter-cup-ice-cream-1-pint/35126</t>
  </si>
  <si>
    <t>https://i5.peapod.com/c/0D/0DSBE.png</t>
  </si>
  <si>
    <t>Ben &amp; Jerry's Peanut Butter Cup Ice Cream</t>
  </si>
  <si>
    <t>https://giantfoodstores.com/product/ben-jerrys-scoop-a-palooza-coffee-fudge-chip-ice-cream-28-oz-ctn/373171</t>
  </si>
  <si>
    <t>https://i5.peapod.com/c/RZ/RZLCR.png</t>
  </si>
  <si>
    <t>Ben &amp; Jerry's Scoop-a-Palooza Coffee &amp; Fudge Chip Ice Cream</t>
  </si>
  <si>
    <t>28 OZ CTN</t>
  </si>
  <si>
    <t>https://giantfoodstores.com/product/ben-jerrys-topped-dirt-cake-ice-cream-15.2-oz-ctn/322523</t>
  </si>
  <si>
    <t>https://i5.peapod.com/c/1S/1S7UM.png</t>
  </si>
  <si>
    <t>Ben &amp; Jerry's Topped Dirt Cake Ice Cream</t>
  </si>
  <si>
    <t>15.2 OZ CTN</t>
  </si>
  <si>
    <t>https://giantfoodstores.com/product/ben-jerrys-vanilla-caramel-fudge-ice-cream-1-pint/150845</t>
  </si>
  <si>
    <t>https://i5.peapod.com/c/IQ/IQKND.png</t>
  </si>
  <si>
    <t>Ben &amp; Jerry's Vanilla Caramel Fudge Ice Cream</t>
  </si>
  <si>
    <t>https://giantfoodstores.com/product/ben-jerrys-pistachio-pistachio-ice-cream-1-pint/106081</t>
  </si>
  <si>
    <t>https://i5.peapod.com/c/HL/HLFEU.png</t>
  </si>
  <si>
    <t>Ben &amp; Jerry's Pistachio Pistachio Ice Cream</t>
  </si>
  <si>
    <t>https://giantfoodstores.com/product/ben-jerrys-vanilla-ice-cream-1-pint/26655</t>
  </si>
  <si>
    <t>https://i5.peapod.com/c/6K/6KJGN.png</t>
  </si>
  <si>
    <t>Ben &amp; Jerry's Vanilla Ice Cream</t>
  </si>
  <si>
    <t>https://giantfoodstores.com/product/ben-jerrys-salted-caramel-ice-cream-1-pint/202176</t>
  </si>
  <si>
    <t>https://i5.peapod.com/c/WO/WOPG6.png</t>
  </si>
  <si>
    <t>Ben &amp; Jerry's Salted Caramel Ice Cream</t>
  </si>
  <si>
    <t>https://giantfoodstores.com/product/ben-jerrys-coffee-coffee-buzz-buzz-buzz-ice-cream-1-pint/191977</t>
  </si>
  <si>
    <t>https://i5.peapod.com/c/7O/7OTJ1.png</t>
  </si>
  <si>
    <t>Ben &amp; Jerry's Coffee Coffee Buzz Buzz Buzz! Ice Cream</t>
  </si>
  <si>
    <t>https://giantfoodstores.com/product/ben-jerrys-new-york-super-fudge-chunk-ice-cream-1-pint/9283</t>
  </si>
  <si>
    <t>https://i5.peapod.com/c/HA/HALQG.png</t>
  </si>
  <si>
    <t>Ben &amp; Jerry's New York Super Fudge Chunk Ice Cream</t>
  </si>
  <si>
    <t>https://giantfoodstores.com/product/ben-jerrys-netflix-chillld-ice-cream-1-pint/277123</t>
  </si>
  <si>
    <t>https://i5.peapod.com/c/YQ/YQ5VK.png</t>
  </si>
  <si>
    <t>Ben &amp; Jerry's Netflix &amp; Chilll'd Ice Cream</t>
  </si>
  <si>
    <t>https://giantfoodstores.com/product/ben-jerrys-scoop-a-palooza-vanilla-fudge-brownie-ice-cream-28-oz-ctn/373169</t>
  </si>
  <si>
    <t>https://i5.peapod.com/c/AI/AIJ4V.png</t>
  </si>
  <si>
    <t>Ben &amp; Jerry's Scoop-a-Palooza Vanilla &amp; Fudge Brownie Ice Cream</t>
  </si>
  <si>
    <t>https://giantfoodstores.com/product/ben-jerrys-scoop-a-palooza-strawberries-cream-ice-cream-28-oz-ctn/373172</t>
  </si>
  <si>
    <t>https://i5.peapod.com/c/67/67L2Q.png</t>
  </si>
  <si>
    <t>Ben &amp; Jerry's Scoop-a-Palooza Strawberries &amp; Cream Ice Cream</t>
  </si>
  <si>
    <t>https://giantfoodstores.com/product/ben-jerrys-core-karamel-sutra-ice-cream-1-pint/174129</t>
  </si>
  <si>
    <t>https://i5.peapod.com/c/M0/M0Z26.png</t>
  </si>
  <si>
    <t>Ben &amp; Jerry's Core Karamel Sutra Ice Cream</t>
  </si>
  <si>
    <t>https://giantfoodstores.com/product/ben-jerrys-scoop-a-palooza-chocolate-fudge-swirl-ice-cream-28-oz-ctn/373174</t>
  </si>
  <si>
    <t>https://i5.peapod.com/c/1R/1RJGG.png</t>
  </si>
  <si>
    <t>Ben &amp; Jerry's Scoop-a-Palooza Chocolate &amp; Fudge Swirl Ice Cream</t>
  </si>
  <si>
    <t>https://giantfoodstores.com/product/ben-jerrys-core-chocolate-chip-cookie-dough-ice-cream-1-pint/278941</t>
  </si>
  <si>
    <t>https://i5.peapod.com/c/6M/6MPYP.png</t>
  </si>
  <si>
    <t>Ben &amp; Jerry's Core Chocolate Chip Cookie Dough Ice Cream</t>
  </si>
  <si>
    <t>https://giantfoodstores.com/product/ben-jerrys-everything-but-the...-ice-cream-1-pint/114930</t>
  </si>
  <si>
    <t>https://i5.peapod.com/c/RT/RTAVJ.png</t>
  </si>
  <si>
    <t>Ben &amp; Jerry's Everything But The... Ice Cream</t>
  </si>
  <si>
    <t>https://giantfoodstores.com/product/ben-jerrys-impretzively-fudged-chocolate-ice-cream-1-pint/357923</t>
  </si>
  <si>
    <t>https://i5.peapod.com/c/T9/T9SMF.png</t>
  </si>
  <si>
    <t>Ben &amp; Jerry's Impretzively Fudged Chocolate Ice Cream</t>
  </si>
  <si>
    <t>https://giantfoodstores.com/product/ben-jerrys-lights-caramel-action-ice-cream-1-pint/353257</t>
  </si>
  <si>
    <t>https://i5.peapod.com/c/7A/7AB0G.png</t>
  </si>
  <si>
    <t>Ben &amp; Jerry's Lights! Caramel! Action! Ice Cream</t>
  </si>
  <si>
    <t>https://giantfoodstores.com/product/ben-jerrys-topped-salted-caramel-brownie-ice-cream-1-pint/301523</t>
  </si>
  <si>
    <t>https://i5.peapod.com/c/BO/BOHTR.png</t>
  </si>
  <si>
    <t>Ben &amp; Jerry's Topped Salted Caramel Brownie Ice Cream</t>
  </si>
  <si>
    <t>https://giantfoodstores.com/product/ben-jerrys-topped-chocolate-caramel-cookie-dough-ice-cream-1-pint/301519</t>
  </si>
  <si>
    <t>https://i5.peapod.com/c/5M/5MEKN.png</t>
  </si>
  <si>
    <t>Ben &amp; Jerry's Topped Chocolate Caramel Cookie Dough Ice Cream</t>
  </si>
  <si>
    <t>https://giantfoodstores.com/product/ben-jerrys-topped-raspberry-cheesecake-ice-cream-15.2-oz-ctn/353074</t>
  </si>
  <si>
    <t>https://i5.peapod.com/c/UV/UV3YE.png</t>
  </si>
  <si>
    <t>Ben &amp; Jerry's Topped Raspberry Cheesecake Ice Cream</t>
  </si>
  <si>
    <t>https://giantfoodstores.com/product/ben-jerrys-pb-smore-ice-cream-1-pint/357951</t>
  </si>
  <si>
    <t>https://i5.peapod.com/c/AQ/AQYOH.png</t>
  </si>
  <si>
    <t>Ben &amp; Jerry's PB S'More Ice Cream</t>
  </si>
  <si>
    <t>https://giantfoodstores.com/product/ben-jerrys-mousse-pie-ice-cream-1-pint/339442</t>
  </si>
  <si>
    <t>https://i5.peapod.com/c/CD/CDT0S.png</t>
  </si>
  <si>
    <t>Ben &amp; Jerry's Mousse Pie Ice Cream</t>
  </si>
  <si>
    <t>https://giantfoodstores.com/product/ben-jerrys-topped-thick-mint-ice-cream-1-pint/301526</t>
  </si>
  <si>
    <t>https://i5.peapod.com/c/5P/5PW2B.png</t>
  </si>
  <si>
    <t>Ben &amp; Jerry's Topped Thick Mint Ice Cream</t>
  </si>
  <si>
    <t>https://giantfoodstores.com/product/ben-jerrys-caramel-chocolate-cheesecake-ice-cream-1-pint/228680</t>
  </si>
  <si>
    <t>https://i5.peapod.com/c/V7/V7DOP.png</t>
  </si>
  <si>
    <t>Ben &amp; Jerry's Caramel Chocolate Cheesecake Ice Cream</t>
  </si>
  <si>
    <t>https://giantfoodstores.com/product/ben-jerrys-sundae-dulce-de-lish-ice-cream-14.4-oz-ctn/373178</t>
  </si>
  <si>
    <t>https://i5.peapod.com/c/AK/AKA5W.png</t>
  </si>
  <si>
    <t>Ben &amp; Jerry's Sundae Dulce De-Lish! Ice Cream</t>
  </si>
  <si>
    <t>14.4 OZ CTN</t>
  </si>
  <si>
    <t>https://giantfoodstores.com/product/ben-jerrys-topped-tiramisu-ice-cream-1-pint/301528</t>
  </si>
  <si>
    <t>https://i5.peapod.com/c/P2/P2ATW.png</t>
  </si>
  <si>
    <t>Ben &amp; Jerry's Topped Tiramisu Ice Cream</t>
  </si>
  <si>
    <t>https://giantfoodstores.com/product/ben-jerrys-milk-cookies-ice-cream-1-pint/158851</t>
  </si>
  <si>
    <t>https://i5.peapod.com/c/TO/TOMKB.png</t>
  </si>
  <si>
    <t>Ben &amp; Jerry's Milk &amp; Cookies Ice Cream</t>
  </si>
  <si>
    <t>https://giantfoodstores.com/product/ben-jerrys-half-baked-ice-cream-1-pint/114933</t>
  </si>
  <si>
    <t>https://i5.peapod.com/c/2C/2C466.png</t>
  </si>
  <si>
    <t>Ben &amp; Jerry's Half Baked Ice Cream</t>
  </si>
  <si>
    <t>https://giantfoodstores.com/product/ben-jerrys-gimme-smore-ice-cream-1-pint/277122</t>
  </si>
  <si>
    <t>https://i5.peapod.com/c/8A/8AK7J.png</t>
  </si>
  <si>
    <t>Ben &amp; Jerry's Gimme S'more! Ice Cream</t>
  </si>
  <si>
    <t>https://giantfoodstores.com/product/ben-jerrys-core-brownie-batter-ice-cream-1-pint/218347</t>
  </si>
  <si>
    <t>https://i5.peapod.com/c/XL/XLQRS.png</t>
  </si>
  <si>
    <t>Ben &amp; Jerry's Core Brownie Batter Ice Cream</t>
  </si>
  <si>
    <t>https://giantfoodstores.com/product/ben-jerrys-churray-for-churros-ice-cream-1-pint/348734</t>
  </si>
  <si>
    <t>https://i5.peapod.com/c/J8/J8CCM.png</t>
  </si>
  <si>
    <t>Ben &amp; Jerry's Churray for Churros! Ice Cream</t>
  </si>
  <si>
    <t>https://giantfoodstores.com/product/ben-jerrys-sundae-cookie-vermont-ster-ice-cream-14.4-oz-ctn/373176</t>
  </si>
  <si>
    <t>https://i5.peapod.com/c/MF/MFBY7.png</t>
  </si>
  <si>
    <t>Ben &amp; Jerry's Sundae Cookie Vermont-Ster Ice Cream</t>
  </si>
  <si>
    <t>https://giantfoodstores.com/product/ben-jerrys-cannoli-ice-cream-1-pint/277121</t>
  </si>
  <si>
    <t>https://i5.peapod.com/c/LN/LNJME.png</t>
  </si>
  <si>
    <t>Ben &amp; Jerry's Cannoli Ice Cream</t>
  </si>
  <si>
    <t>https://giantfoodstores.com/product/ben-jerrys-sundae-choco-lotta-cheesecake-ice-cream-14.4-oz-ctn/373179</t>
  </si>
  <si>
    <t>https://i5.peapod.com/c/LN/LNNSV.png</t>
  </si>
  <si>
    <t>Ben &amp; Jerry's Sundae Choco-Lotta Cheesecake Ice Cream</t>
  </si>
  <si>
    <t>https://giantfoodstores.com/product/ben-jerrys-dublin-mudslide-ice-cream-1-pint/322531</t>
  </si>
  <si>
    <t>https://i5.peapod.com/c/RU/RUMV1.png</t>
  </si>
  <si>
    <t>Ben &amp; Jerry's Dublin Mudslide Ice Cream</t>
  </si>
  <si>
    <t>https://giantfoodstores.com/product/ben-jerrys-topped-bossin-cream-pie-ice-cream-15.2-oz-ctn/342360</t>
  </si>
  <si>
    <t>https://i5.peapod.com/c/MR/MRAKC.png</t>
  </si>
  <si>
    <t>Ben &amp; Jerry's Topped Bossin' Cream Pie Ice Cream</t>
  </si>
  <si>
    <t>https://giantfoodstores.com/product/ben-jerrys-limited-batch-change-is-brewing-ice-cream-1-pint/324907</t>
  </si>
  <si>
    <t>https://i5.peapod.com/c/DU/DU1AJ.png</t>
  </si>
  <si>
    <t>Ben &amp; Jerry's Limited Batch Change Is Brewing Ice Cream</t>
  </si>
  <si>
    <t>https://giantfoodstores.com/product/ben-jerrys-non-dairy-vegan-chocolate-chip-cookie-dough-frozen-dessert-1-pint/258024</t>
  </si>
  <si>
    <t>https://i5.peapod.com/c/EL/EL0QN.png</t>
  </si>
  <si>
    <t>Ben &amp; Jerry's Non-Dairy Vegan Chocolate Chip Cookie Dough Frozen Dessert</t>
  </si>
  <si>
    <t>https://giantfoodstores.com/product/ben-jerrys-non-dairy-vegan-peanut-butter-cookies-frozen-dessert-1-pint/218352</t>
  </si>
  <si>
    <t>https://i5.peapod.com/c/67/67NUH.png</t>
  </si>
  <si>
    <t>Ben &amp; Jerry's Non-Dairy Vegan Peanut Butter &amp; Cookies Frozen Dessert</t>
  </si>
  <si>
    <t>https://giantfoodstores.com/product/ben-jerrys-non-dairy-vegan-phishfood-frozen-dessert-1-pint/301517</t>
  </si>
  <si>
    <t>https://i5.peapod.com/c/NY/NY9UN.png</t>
  </si>
  <si>
    <t>Ben &amp; Jerry's Non-Dairy Vegan Phishfood Frozen Dessert</t>
  </si>
  <si>
    <t>https://giantfoodstores.com/product/ben-jerrys-non-dairy-vegan-cherry-garcia-frozen-dessert-1-pint/222005</t>
  </si>
  <si>
    <t>https://i5.peapod.com/c/S3/S33EC.png</t>
  </si>
  <si>
    <t>Ben &amp; Jerry's Non-Dairy Vegan Cherry Garcia Frozen Dessert</t>
  </si>
  <si>
    <t>https://giantfoodstores.com/product/ben-jerrys-non-dairy-vegan-americone-dream-frozen-dessert-1-pint/301514</t>
  </si>
  <si>
    <t>https://i5.peapod.com/c/6Y/6YWW0.png</t>
  </si>
  <si>
    <t>Ben &amp; Jerry's Non-Dairy Vegan Americone Dream Frozen Dessert</t>
  </si>
  <si>
    <t>https://giantfoodstores.com/product/ben-jerrys-non-dairy-vegan-chocolate-fudge-brownie-frozen-dessert-1-pint/218350</t>
  </si>
  <si>
    <t>https://i5.peapod.com/c/1F/1F5CO.png</t>
  </si>
  <si>
    <t>Ben &amp; Jerry's Non-Dairy Vegan Chocolate Fudge Brownie Frozen Dessert</t>
  </si>
  <si>
    <t>https://giantfoodstores.com/product/ben-jerrys-non-dairy-vegan-strawberry-cheesecake-frozen-dessert-1-pint/357952</t>
  </si>
  <si>
    <t>https://i5.peapod.com/c/R8/R8781.png</t>
  </si>
  <si>
    <t>Ben &amp; Jerry's Non-Dairy Vegan Strawberry Cheesecake Frozen Dessert</t>
  </si>
  <si>
    <t>https://giantfoodstores.com/product/ben-jerrys-non-dairy-vegan-the-tonight-dough-frozen-dessert-1-pint/305324</t>
  </si>
  <si>
    <t>https://i5.peapod.com/c/YE/YEUJF.png</t>
  </si>
  <si>
    <t>Ben &amp; Jerry's Non-Dairy Vegan The Tonight Dough Frozen Dessert</t>
  </si>
  <si>
    <t>https://giantfoodstores.com/product/ben-jerrys-non-dairy-vegan-oatmeal-dream-pie-frozen-dessert-1-pint/353258</t>
  </si>
  <si>
    <t>https://i5.peapod.com/c/X4/X44LG.png</t>
  </si>
  <si>
    <t>Ben &amp; Jerry's Non-Dairy Vegan Oatmeal Dream Pie Frozen Dessert</t>
  </si>
  <si>
    <t>https://giantfoodstores.com/product/ben-jerrys-non-dairy-vegan-peanut-butter-half-baked-frozen-dessert-1-pint/228142</t>
  </si>
  <si>
    <t>https://i5.peapod.com/c/UR/UR3RD.png</t>
  </si>
  <si>
    <t>Ben &amp; Jerry's Non-Dairy Vegan Peanut Butter Half Baked Frozen Dessert</t>
  </si>
  <si>
    <t>https://giantfoodstores.com/product/ben-jerrys-chocolate-caramel-brownie-non-dairy-frozen-dessert-1-pint/373175</t>
  </si>
  <si>
    <t>https://i5.peapod.com/c/69/69NPW.png</t>
  </si>
  <si>
    <t>Ben &amp; Jerry's Chocolate Caramel Brownie Non-Dairy Frozen Dessert</t>
  </si>
  <si>
    <t>https://giantfoodstores.com/product/annies-deluxe-microwavable-classic-cheddar-shells-cheese-cup-2.6-oz-cup/263760</t>
  </si>
  <si>
    <t>https://i5.peapod.com/c/7K/7K31N.png</t>
  </si>
  <si>
    <t>Annie's Deluxe Microwavable Classic Cheddar Shells &amp; Cheese Cup</t>
  </si>
  <si>
    <t>Annie's</t>
  </si>
  <si>
    <t>Pasta</t>
  </si>
  <si>
    <t>2.6 OZ CUP</t>
  </si>
  <si>
    <t>$0.96 /OZ</t>
  </si>
  <si>
    <t>https://giantfoodstores.com/product/annies-deluxe-microwavable-classic-cheddar-shells-cheese-cups-4-ct-10.4-oz-pkg/263764</t>
  </si>
  <si>
    <t>https://i5.peapod.com/c/P0/P06Q2.png</t>
  </si>
  <si>
    <t>Annie's Deluxe Microwavable Classic Cheddar Shells &amp; Cheese Cups - 4 ct</t>
  </si>
  <si>
    <t>10.4 OZ PKG</t>
  </si>
  <si>
    <t>$0.89 /OZ</t>
  </si>
  <si>
    <t>https://giantfoodstores.com/product/annies-deluxe-shells-cheddar-rice-pasta-sauce-gluten-free-11-oz-box/158294</t>
  </si>
  <si>
    <t>https://i5.peapod.com/c/2L/2LE2V.png</t>
  </si>
  <si>
    <t>Annie's Deluxe Shells &amp; Cheddar Rice &amp; Pasta Sauce Gluten Free</t>
  </si>
  <si>
    <t>11 OZ BOX</t>
  </si>
  <si>
    <t>$0.60 /OZ</t>
  </si>
  <si>
    <t>https://giantfoodstores.com/product/annies-disney-100th-shapes-pasta-cheddar-cups-4-ct-7.48-oz-pkg/354220</t>
  </si>
  <si>
    <t>https://i5.peapod.com/c/KF/KFXQQ.png</t>
  </si>
  <si>
    <t>Annie's Disney 100th Shapes Pasta &amp; Cheddar Cups - 4 ct</t>
  </si>
  <si>
    <t>7.48 OZ PKG</t>
  </si>
  <si>
    <t>$1.24 /OZ</t>
  </si>
  <si>
    <t>https://giantfoodstores.com/product/annies-homegrown-macaroni-cheese-classic-cheddar-4-ct-24-oz-box/237357</t>
  </si>
  <si>
    <t>https://i5.peapod.com/c/3B/3BZ6I.png</t>
  </si>
  <si>
    <t>Annie's Homegrown Macaroni &amp; Cheese Classic Cheddar - 4 ct</t>
  </si>
  <si>
    <t>https://giantfoodstores.com/product/annies-homegrown-pasta-penne-four-cheese-organic-5.5-oz-box/222069</t>
  </si>
  <si>
    <t>https://i5.peapod.com/c/RB/RBVJ2.png</t>
  </si>
  <si>
    <t>Annie's Homegrown Pasta Penne &amp; Four Cheese Organic</t>
  </si>
  <si>
    <t>$0.54 /OZ</t>
  </si>
  <si>
    <t>https://giantfoodstores.com/product/annies-macaroni-cheddar-25-less-sodium-organic-6-oz-box/201839</t>
  </si>
  <si>
    <t>https://i5.peapod.com/c/HL/HL4P9.png</t>
  </si>
  <si>
    <t>Annie's Macaroni &amp; Cheddar 25% Less Sodium Organic</t>
  </si>
  <si>
    <t>https://giantfoodstores.com/product/annies-macaroni-cheese-classic-cheddar-organic-6-oz-box/156502</t>
  </si>
  <si>
    <t>https://i5.peapod.com/c/OK/OK1RB.png</t>
  </si>
  <si>
    <t>Annie's Macaroni &amp; Cheese Classic Cheddar Organic</t>
  </si>
  <si>
    <t>https://giantfoodstores.com/product/annies-macaroni-cheese-real-aged-cheddar-cups-organic-4-ct-8.04-oz-box/229911</t>
  </si>
  <si>
    <t>https://i5.peapod.com/c/JJ/JJ8YV.png</t>
  </si>
  <si>
    <t>Annie's Macaroni &amp; Cheese Real Aged Cheddar Cups Organic - 4 ct</t>
  </si>
  <si>
    <t>8.04 OZ BOX</t>
  </si>
  <si>
    <t>$1.16 /OZ</t>
  </si>
  <si>
    <t>https://giantfoodstores.com/product/annies-macaroni-cheese-shells-real-aged-cheddar-6-oz-box/157958</t>
  </si>
  <si>
    <t>https://i5.peapod.com/c/RA/RATF2.png</t>
  </si>
  <si>
    <t>Annie's Macaroni &amp; Cheese Shells &amp; Real Aged Cheddar</t>
  </si>
  <si>
    <t>https://giantfoodstores.com/product/annies-macaroni-cheese-shells-white-cheddar-6-oz-box/22661</t>
  </si>
  <si>
    <t>https://i5.peapod.com/c/OP/OPNF3.png</t>
  </si>
  <si>
    <t>Annie's Macaroni &amp; Cheese Shells &amp; White Cheddar</t>
  </si>
  <si>
    <t>https://giantfoodstores.com/product/annies-macaroni-cheese-shells-white-cheddar-4-ct-24-oz-box/228658</t>
  </si>
  <si>
    <t>https://i5.peapod.com/c/KD/KD1HF.png</t>
  </si>
  <si>
    <t>Annie's Macaroni &amp; Cheese Shells &amp; White Cheddar - 4 ct</t>
  </si>
  <si>
    <t>https://giantfoodstores.com/product/annies-macaroni-cheese-shells-white-cheddar-organic-10.5-oz-box/214805</t>
  </si>
  <si>
    <t>https://i5.peapod.com/c/GE/GEH8L.png</t>
  </si>
  <si>
    <t>Annie's Macaroni &amp; Cheese Shells &amp; White Cheddar Organic</t>
  </si>
  <si>
    <t>10.5 OZ BOX</t>
  </si>
  <si>
    <t>https://giantfoodstores.com/product/annies-macaroni-cheese-white-cheddar-cups-organic-4-ct-8.04-oz-box/229390</t>
  </si>
  <si>
    <t>https://i5.peapod.com/c/UO/UO5BD.png</t>
  </si>
  <si>
    <t>Annie's Macaroni &amp; Cheese White Cheddar Cups Organic - 4 ct</t>
  </si>
  <si>
    <t>https://giantfoodstores.com/product/annies-macaroni-cheese-white-cheddar-organic-2.01-oz-cup/198449</t>
  </si>
  <si>
    <t>https://i5.peapod.com/c/4C/4CYEG.png</t>
  </si>
  <si>
    <t>Annie's Macaroni &amp; Cheese White Cheddar Organic</t>
  </si>
  <si>
    <t>2.01 OZ CUP</t>
  </si>
  <si>
    <t>$1.29 /OZ</t>
  </si>
  <si>
    <t>https://giantfoodstores.com/product/annies-marvel-spidey-his-amazing-friends-pasta-cheddar-4-ct-7.48-oz-pkg/350712</t>
  </si>
  <si>
    <t>https://i5.peapod.com/c/MT/MT3DS.png</t>
  </si>
  <si>
    <t>Annie's Marvel Spidey &amp; His Amazing Friends Pasta &amp; Cheddar - 4 ct</t>
  </si>
  <si>
    <t>https://giantfoodstores.com/product/annies-organic-farm-friends-cheddar-pasta-cheese-6-oz-box/223871</t>
  </si>
  <si>
    <t>https://i5.peapod.com/c/I4/I4784.png</t>
  </si>
  <si>
    <t>Annie's Organic Farm Friends &amp; Cheddar Pasta &amp; Cheese</t>
  </si>
  <si>
    <t>https://giantfoodstores.com/product/annies-organic-mickey-friends-pasta-cheddar-6-oz-box/332583</t>
  </si>
  <si>
    <t>https://i5.peapod.com/c/EK/EK2E1.png</t>
  </si>
  <si>
    <t>Annie's Organic Mickey &amp; Friends Pasta &amp; Cheddar</t>
  </si>
  <si>
    <t>https://giantfoodstores.com/product/annies-organic-vegan-mac-shells-sweet-potato-pumpkin-6-oz-box/224914</t>
  </si>
  <si>
    <t>https://i5.peapod.com/c/G3/G3O4F.png</t>
  </si>
  <si>
    <t>Annie's Organic Vegan Mac Shells &amp; Sweet Potato Pumpkin</t>
  </si>
  <si>
    <t>https://giantfoodstores.com/product/annies-organic-vegan-macaroni-cheddar-6-oz-box/229187</t>
  </si>
  <si>
    <t>https://i5.peapod.com/c/6Y/6YCM5.png</t>
  </si>
  <si>
    <t>Annie's Organic Vegan Macaroni &amp; Cheddar</t>
  </si>
  <si>
    <t>https://giantfoodstores.com/product/annies-pasta-cheddar-mickey-friends-4-ct-7.4-oz-pkg/336109</t>
  </si>
  <si>
    <t>https://i5.peapod.com/c/O4/O48D2.png</t>
  </si>
  <si>
    <t>Annie's Pasta &amp; Cheddar Mickey &amp; Friends - 4 ct</t>
  </si>
  <si>
    <t>7.4 OZ PKG</t>
  </si>
  <si>
    <t>$1.26 /OZ</t>
  </si>
  <si>
    <t>https://giantfoodstores.com/product/annies-pasta-cheese-spirals-with-butter-parmesan-5.25-oz-box/165105</t>
  </si>
  <si>
    <t>https://i5.peapod.com/c/IP/IPKQX.png</t>
  </si>
  <si>
    <t>Annie's Pasta &amp; Cheese Spirals with Butter &amp; Parmesan</t>
  </si>
  <si>
    <t>5.25 OZ BOX</t>
  </si>
  <si>
    <t>https://giantfoodstores.com/product/annies-rice-pasta-cheddar-gluten-free-6-oz-box/160376</t>
  </si>
  <si>
    <t>https://i5.peapod.com/c/AW/AWUYO.png</t>
  </si>
  <si>
    <t>Annie's Rice Pasta &amp; Cheddar Gluten Free</t>
  </si>
  <si>
    <t>https://giantfoodstores.com/product/annies-rice-pasta-white-cheddar-gluten-free-6-oz-box/186450</t>
  </si>
  <si>
    <t>https://i5.peapod.com/c/O2/O2KQN.png</t>
  </si>
  <si>
    <t>Annie's Rice Pasta &amp; White Cheddar Gluten Free</t>
  </si>
  <si>
    <t>https://giantfoodstores.com/product/annies-super-mac-shells-real-aged-cheddar-6-oz-box/357805</t>
  </si>
  <si>
    <t>https://i5.peapod.com/c/ED/EDMK9.png</t>
  </si>
  <si>
    <t>Annie's Super! Mac Shells &amp; Real Aged Cheddar</t>
  </si>
  <si>
    <t>$0.75 /OZ</t>
  </si>
  <si>
    <t>https://giantfoodstores.com/product/annies-super-mac-shells-white-cheddar-6-oz-box/357806</t>
  </si>
  <si>
    <t>https://i5.peapod.com/c/QE/QEUCF.png</t>
  </si>
  <si>
    <t>Annie's Super! Mac Shells &amp; White Cheddar</t>
  </si>
  <si>
    <t>https://giantfoodstores.com/product/annies-yummy-bunnies-cheddar-pasta-cheese-6-oz-box/165508</t>
  </si>
  <si>
    <t>https://i5.peapod.com/c/SI/SII3E.png</t>
  </si>
  <si>
    <t>Annie's Yummy Bunnies &amp; Cheddar Pasta &amp; Cheese</t>
  </si>
  <si>
    <t>https://giantfoodstores.com/product/annies-yummy-bunnies-cheddar-pasta-cheese-4-ct-5.6-oz-pkg/309914</t>
  </si>
  <si>
    <t>https://i5.peapod.com/c/SM/SME03.png</t>
  </si>
  <si>
    <t>Annie's Yummy Bunnies &amp; Cheddar Pasta &amp; Cheese - 4 ct</t>
  </si>
  <si>
    <t>5.6 OZ PKG</t>
  </si>
  <si>
    <t>$1.66 /OZ</t>
  </si>
  <si>
    <t>https://giantfoodstores.com/product/raos-homemade-all-natural-marinara-pasta-sauce-24-oz-jar/117427</t>
  </si>
  <si>
    <t>https://i5.peapod.com/c/LD/LDIFS.png</t>
  </si>
  <si>
    <t>Rao's Homemade All Natural Marinara Pasta Sauce</t>
  </si>
  <si>
    <t>Rao's Homemade</t>
  </si>
  <si>
    <t>https://giantfoodstores.com/product/raos-homemade-all-natural-marinara-pasta-sauce-32-oz-jar/140239</t>
  </si>
  <si>
    <t>https://i5.peapod.com/c/Y3/Y334M.png</t>
  </si>
  <si>
    <t>32 OZ JAR</t>
  </si>
  <si>
    <t>https://giantfoodstores.com/product/raos-homemade-all-natural-pizza-sauce-12.3-oz-jar/351098</t>
  </si>
  <si>
    <t>https://i5.peapod.com/c/6G/6GRLC.png</t>
  </si>
  <si>
    <t>Rao's Homemade All Natural Pizza Sauce</t>
  </si>
  <si>
    <t>12.3 OZ JAR</t>
  </si>
  <si>
    <t>$0.35 /OZ</t>
  </si>
  <si>
    <t>https://giantfoodstores.com/product/raos-homemade-all-natural-tomato-basil-pasta-sauce-24-oz-jar/156885</t>
  </si>
  <si>
    <t>https://i5.peapod.com/c/3D/3DBW4.png</t>
  </si>
  <si>
    <t>Rao's Homemade All Natural Tomato Basil Pasta Sauce</t>
  </si>
  <si>
    <t>https://giantfoodstores.com/product/raos-homemade-all-natural-tomato-basil-pasta-sauce-32-oz-jar/270380</t>
  </si>
  <si>
    <t>https://i5.peapod.com/c/38/384L2.png</t>
  </si>
  <si>
    <t>https://giantfoodstores.com/product/raos-homemade-all-natural-sensitive-marinara-pasta-sauce-24-oz-jar/174947</t>
  </si>
  <si>
    <t>https://i5.peapod.com/c/7L/7LXP5.png</t>
  </si>
  <si>
    <t>Rao's Homemade All Natural Sensitive Marinara Pasta Sauce</t>
  </si>
  <si>
    <t>https://giantfoodstores.com/product/raos-homemade-alfredo-pasta-sauce-15-oz-jar/253933</t>
  </si>
  <si>
    <t>https://i5.peapod.com/c/QG/QGQQP.png</t>
  </si>
  <si>
    <t>Rao's Homemade Alfredo Pasta Sauce</t>
  </si>
  <si>
    <t>https://giantfoodstores.com/product/raos-homemade-all-natural-vodka-pasta-sauce-24-oz-jar/117422</t>
  </si>
  <si>
    <t>https://i5.peapod.com/c/YX/YXHWN.png</t>
  </si>
  <si>
    <t>Rao's Homemade All Natural Vodka Pasta Sauce</t>
  </si>
  <si>
    <t>https://giantfoodstores.com/product/raos-homemade-all-natural-roasted-garlic-pasta-sauce-24-oz-jar/213130</t>
  </si>
  <si>
    <t>https://i5.peapod.com/c/L8/L8ZSG.png</t>
  </si>
  <si>
    <t>Rao's Homemade All Natural Roasted Garlic Pasta Sauce</t>
  </si>
  <si>
    <t>https://giantfoodstores.com/product/raos-homemade-spaghetti-pasta-16-oz-pkg/270369</t>
  </si>
  <si>
    <t>https://i5.peapod.com/c/S2/S2NCL.png</t>
  </si>
  <si>
    <t>Rao's Homemade Spaghetti Pasta</t>
  </si>
  <si>
    <t>https://giantfoodstores.com/product/raos-homemade-all-natural-vodka-pasta-sauce-32-oz-jar/286957</t>
  </si>
  <si>
    <t>https://i5.peapod.com/c/R2/R2J4L.png</t>
  </si>
  <si>
    <t>https://giantfoodstores.com/product/raos-homemade-fusilli-pasta-16-oz-bag/278051</t>
  </si>
  <si>
    <t>https://i5.peapod.com/c/2B/2BS0M.png</t>
  </si>
  <si>
    <t>Rao's Homemade Fusilli Pasta</t>
  </si>
  <si>
    <t>https://giantfoodstores.com/product/raos-brick-oven-crust-five-cheese-pizza-frozen-19-oz-box/346319</t>
  </si>
  <si>
    <t>https://i5.peapod.com/c/WO/WO904.png</t>
  </si>
  <si>
    <t>19 OZ BOX</t>
  </si>
  <si>
    <t>$0.63 /OZ</t>
  </si>
  <si>
    <t>https://giantfoodstores.com/product/raos-homemade-all-natural-four-cheese-pasta-sauce-24-oz-jar/213128</t>
  </si>
  <si>
    <t>https://i5.peapod.com/c/35/352MJ.png</t>
  </si>
  <si>
    <t>Rao's Homemade All Natural Four Cheese Pasta Sauce</t>
  </si>
  <si>
    <t>https://giantfoodstores.com/product/raos-homemade-rigatoni-pasta-16-oz-bag/287902</t>
  </si>
  <si>
    <t>https://i5.peapod.com/c/WZ/WZ69Y.png</t>
  </si>
  <si>
    <t>Rao's Homemade Rigatoni Pasta</t>
  </si>
  <si>
    <t>https://giantfoodstores.com/product/raos-penne-alla-vodka-frozen-meal-9-oz-box/285138</t>
  </si>
  <si>
    <t>https://i5.peapod.com/c/9N/9NO4U.png</t>
  </si>
  <si>
    <t>9 OZ BOX</t>
  </si>
  <si>
    <t>https://giantfoodstores.com/product/raos-four-cheese-ravioli-with-marinara-sauce-frozen-meal-9.5-oz-box/329321</t>
  </si>
  <si>
    <t>https://i5.peapod.com/c/YT/YT3Y9.png</t>
  </si>
  <si>
    <t>9.5 OZ BOX</t>
  </si>
  <si>
    <t>$0.51 /OZ</t>
  </si>
  <si>
    <t>https://giantfoodstores.com/product/raos-homemade-penne-rigate-pasta-16-oz-bag/270357</t>
  </si>
  <si>
    <t>https://i5.peapod.com/c/14/14YCU.png</t>
  </si>
  <si>
    <t>Rao's Homemade Penne Rigate Pasta</t>
  </si>
  <si>
    <t>https://giantfoodstores.com/product/raos-slow-simmered-italian-wedding-with-meatballs-soup-16-oz-jar/272286</t>
  </si>
  <si>
    <t>https://i5.peapod.com/c/WG/WG33L.png</t>
  </si>
  <si>
    <t>https://giantfoodstores.com/product/raos-homemade-fettuccine-pasta-16-oz-pkg/298477</t>
  </si>
  <si>
    <t>https://i5.peapod.com/c/FW/FW0IV.png</t>
  </si>
  <si>
    <t>Rao's Homemade Fettuccine Pasta</t>
  </si>
  <si>
    <t>https://giantfoodstores.com/product/raos-homemade-all-natural-spicy-arrabbiata-pasta-sauce-24-oz-jar/117426</t>
  </si>
  <si>
    <t>https://i5.peapod.com/c/HZ/HZVL4.png</t>
  </si>
  <si>
    <t>Rao's Homemade All Natural Spicy Arrabbiata Pasta Sauce</t>
  </si>
  <si>
    <t>https://giantfoodstores.com/product/raos-homemade-all-natural-roasted-garlic-pasta-sauce-32-oz-jar/286404</t>
  </si>
  <si>
    <t>https://i5.peapod.com/c/ZF/ZFQK5.png</t>
  </si>
  <si>
    <t>https://giantfoodstores.com/product/raos-chicken-parmesan-frozen-meal-8.5-oz-box/284872</t>
  </si>
  <si>
    <t>https://i5.peapod.com/c/BN/BNL5E.png</t>
  </si>
  <si>
    <t>8.5 OZ BOX</t>
  </si>
  <si>
    <t>https://giantfoodstores.com/product/raos-slow-simmered-chicken-noodle-soup-16-oz-jar/272285</t>
  </si>
  <si>
    <t>https://i5.peapod.com/c/M7/M7IHL.png</t>
  </si>
  <si>
    <t>https://giantfoodstores.com/product/raos-homemade-farfalle-pasta-16-oz-bag/298479</t>
  </si>
  <si>
    <t>https://i5.peapod.com/c/XS/XSELN.png</t>
  </si>
  <si>
    <t>Rao's Homemade Farfalle Pasta</t>
  </si>
  <si>
    <t>https://giantfoodstores.com/product/raos-brick-oven-crust-uncured-pepperoni-pizza-frozen-18.3-oz-box/346321</t>
  </si>
  <si>
    <t>https://i5.peapod.com/c/YD/YD0DM.png</t>
  </si>
  <si>
    <t>18.3 OZ BOX</t>
  </si>
  <si>
    <t>$0.66 /OZ</t>
  </si>
  <si>
    <t>https://giantfoodstores.com/product/raos-meatballs-sauce-frozen-24-oz-pkg/307828</t>
  </si>
  <si>
    <t>https://i5.peapod.com/c/HV/HVECX.png</t>
  </si>
  <si>
    <t>https://giantfoodstores.com/product/raos-meat-lasagna-frozen-meal-27-oz-box/306608</t>
  </si>
  <si>
    <t>https://i5.peapod.com/c/QL/QLA1M.png</t>
  </si>
  <si>
    <t>27 OZ BOX</t>
  </si>
  <si>
    <t>https://giantfoodstores.com/product/raos-meat-lasagna-frozen-meal-9-oz-box/284873</t>
  </si>
  <si>
    <t>https://i5.peapod.com/c/41/413XG.png</t>
  </si>
  <si>
    <t>https://giantfoodstores.com/product/raos-homemade-all-natural-spicy-arrabbiata-pasta-sauce-32-oz-jar/274018</t>
  </si>
  <si>
    <t>https://i5.peapod.com/c/3F/3F4J1.png</t>
  </si>
  <si>
    <t>https://giantfoodstores.com/product/raos-homemade-basil-pesto-pasta-sauce-6.7-oz-jar/272657</t>
  </si>
  <si>
    <t>https://i5.peapod.com/c/E8/E8X1C.png</t>
  </si>
  <si>
    <t>Rao's Homemade Basil Pesto Pasta Sauce</t>
  </si>
  <si>
    <t>6.7 OZ JAR</t>
  </si>
  <si>
    <t>$0.82 /OZ</t>
  </si>
  <si>
    <t>https://giantfoodstores.com/product/raos-homemade-roasted-garlic-alfredo-pasta-sauce-15-oz-jar/253934</t>
  </si>
  <si>
    <t>https://i5.peapod.com/c/YV/YV33A.png</t>
  </si>
  <si>
    <t>Rao's Homemade Roasted Garlic Alfredo Pasta Sauce</t>
  </si>
  <si>
    <t>https://giantfoodstores.com/product/raos-homestyle-bolognese-with-meat-tomato-pasta-sauce-24-oz-jar/253935</t>
  </si>
  <si>
    <t>https://i5.peapod.com/c/V4/V4R38.png</t>
  </si>
  <si>
    <t>https://giantfoodstores.com/product/raos-homemade-all-natural-margherita-pizza-sauce-12.3-oz-jar/352125</t>
  </si>
  <si>
    <t>https://i5.peapod.com/c/SY/SYCNV.png</t>
  </si>
  <si>
    <t>Rao's Homemade All Natural Margherita Pizza Sauce</t>
  </si>
  <si>
    <t>https://giantfoodstores.com/product/raos-homemade-all-natural-tomato-herb-pasta-sauce-24-oz-jar/228931</t>
  </si>
  <si>
    <t>https://i5.peapod.com/c/UF/UF22X.png</t>
  </si>
  <si>
    <t>Rao's Homemade All Natural Tomato Herb Pasta Sauce</t>
  </si>
  <si>
    <t>https://giantfoodstores.com/product/raos-homemade-linguine-pasta-16-oz-pkg/278052</t>
  </si>
  <si>
    <t>https://i5.peapod.com/c/WQ/WQ4AN.png</t>
  </si>
  <si>
    <t>Rao's Homemade Linguine Pasta</t>
  </si>
  <si>
    <t>https://giantfoodstores.com/product/raos-chicken-alfredo-frozen-meal-8.4-oz-box/284875</t>
  </si>
  <si>
    <t>https://i5.peapod.com/c/61/61UGE.png</t>
  </si>
  <si>
    <t>8.4 OZ BOX</t>
  </si>
  <si>
    <t>https://giantfoodstores.com/product/raos-chicken-parmesan-frozen-meal-25-oz-box/307827</t>
  </si>
  <si>
    <t>https://i5.peapod.com/c/LA/LAH2X.png</t>
  </si>
  <si>
    <t>25 OZ BOX</t>
  </si>
  <si>
    <t>$0.52 /OZ</t>
  </si>
  <si>
    <t>https://giantfoodstores.com/product/raos-penne-arrabbiata-with-spicy-sausage-frozen-meal-9.5-oz-box/329323</t>
  </si>
  <si>
    <t>https://i5.peapod.com/c/W7/W74F2.png</t>
  </si>
  <si>
    <t>https://giantfoodstores.com/product/raos-slow-simmered-chicken-gnocchi-soup-16-oz-jar/272283</t>
  </si>
  <si>
    <t>https://i5.peapod.com/c/96/96TNI.png</t>
  </si>
  <si>
    <t>https://giantfoodstores.com/product/raos-slow-simmered-vegetable-minestrone-soup-16-oz-jar/272288</t>
  </si>
  <si>
    <t>https://i5.peapod.com/c/I4/I4C4S.png</t>
  </si>
  <si>
    <t>https://giantfoodstores.com/product/raos-homemade-four-cheese-alfredo-pasta-sauce-15-oz-jar/362891</t>
  </si>
  <si>
    <t>https://i5.peapod.com/c/O9/O9BMY.png</t>
  </si>
  <si>
    <t>Rao's Homemade Four Cheese Alfredo Pasta Sauce</t>
  </si>
  <si>
    <t>https://giantfoodstores.com/product/raos-homestyle-italian-sausage-mushroom-pasta-sauce-24-oz-jar/179315</t>
  </si>
  <si>
    <t>https://i5.peapod.com/c/TU/TUNZC.png</t>
  </si>
  <si>
    <t>https://giantfoodstores.com/product/raos-made-for-home-caramelized-onion-carbonara-frozen-meal-9-oz-box/367883</t>
  </si>
  <si>
    <t>https://i5.peapod.com/c/M9/M9VPG.png</t>
  </si>
  <si>
    <t>https://giantfoodstores.com/product/raos-homemade-all-natural-caramelized-onion-pasta-sauce-24-oz-jar/348337</t>
  </si>
  <si>
    <t>https://i5.peapod.com/c/2I/2IPEM.png</t>
  </si>
  <si>
    <t>Rao's Homemade All Natural Caramelized Onion Pasta Sauce</t>
  </si>
  <si>
    <t>https://giantfoodstores.com/product/raos-homemade-all-natural-vodka-arrabbiata-pasta-sauce-24-oz-jar/348338</t>
  </si>
  <si>
    <t>https://i5.peapod.com/c/EN/EN6X4.png</t>
  </si>
  <si>
    <t>Rao's Homemade All Natural Vodka Arrabbiata Pasta Sauce</t>
  </si>
  <si>
    <t>https://giantfoodstores.com/product/raos-homemade-sun-dried-tomato-pesto-pasta-sauce-6.7-oz-jar/282566</t>
  </si>
  <si>
    <t>https://i5.peapod.com/c/JI/JIT4D.png</t>
  </si>
  <si>
    <t>Rao's Homemade Sun-Dried Tomato Pesto Pasta Sauce</t>
  </si>
  <si>
    <t>https://giantfoodstores.com/product/raos-four-cheese-pasta-bake-25-oz-pkg/322812</t>
  </si>
  <si>
    <t>https://i5.peapod.com/c/CN/CN8H3.png</t>
  </si>
  <si>
    <t>https://giantfoodstores.com/product/raos-brick-oven-crust-meat-trio-pizza-frozen-20.8-oz-box/346320</t>
  </si>
  <si>
    <t>https://i5.peapod.com/c/4J/4J9DG.png</t>
  </si>
  <si>
    <t>20.8 OZ BOX</t>
  </si>
  <si>
    <t>https://giantfoodstores.com/product/raos-brick-oven-crust-supreme-pizza-frozen-21.6-oz-box/364556</t>
  </si>
  <si>
    <t>https://i5.peapod.com/c/J6/J6VD3.png</t>
  </si>
  <si>
    <t>21.6 OZ BOX</t>
  </si>
  <si>
    <t>$0.56 /OZ</t>
  </si>
  <si>
    <t>https://giantfoodstores.com/product/raos-slow-simmered-tomato-basil-soup-16-oz-jar/272291</t>
  </si>
  <si>
    <t>https://i5.peapod.com/c/W9/W9O35.png</t>
  </si>
  <si>
    <t>https://giantfoodstores.com/product/raos-homemade-pizza-arrabbiata-sauce-12.3-oz-jar/348157</t>
  </si>
  <si>
    <t>https://i5.peapod.com/c/NC/NCMVA.png</t>
  </si>
  <si>
    <t>Rao's Homemade Pizza Arrabbiata Sauce</t>
  </si>
  <si>
    <t>https://giantfoodstores.com/product/raos-homemade-all-natural-mushroom-bell-pepper-pasta-sauce-24-oz-jar/226086</t>
  </si>
  <si>
    <t>https://i5.peapod.com/c/86/869QM.png</t>
  </si>
  <si>
    <t>Rao's Homemade All Natural Mushroom &amp; Bell Pepper Pasta Sauce</t>
  </si>
  <si>
    <t>https://giantfoodstores.com/product/raos-homemade-alfredo-arrabbiata-pasta-sauce-15-oz-jar/364186</t>
  </si>
  <si>
    <t>https://i5.peapod.com/c/YB/YB08M.png</t>
  </si>
  <si>
    <t>Rao's Homemade Alfredo Arrabbiata Pasta Sauce</t>
  </si>
  <si>
    <t>https://giantfoodstores.com/product/raos-rigatoni-bolognese-frozen-meal-25-oz-box/311226</t>
  </si>
  <si>
    <t>https://i5.peapod.com/c/K0/K0V9S.png</t>
  </si>
  <si>
    <t>https://giantfoodstores.com/product/raos-homemade-all-natural-roasted-red-pepper-pasta-sauce-24-oz-jar/364941</t>
  </si>
  <si>
    <t>https://i5.peapod.com/c/31/31B3K.png</t>
  </si>
  <si>
    <t>Rao's Homemade All Natural Roasted Red Pepper Pasta Sauce</t>
  </si>
  <si>
    <t>https://giantfoodstores.com/product/raos-homemade-all-natural-fire-grilled-vegetable-pasta-sauce-24-oz-jar/363062</t>
  </si>
  <si>
    <t>https://i5.peapod.com/c/PS/PSHXH.png</t>
  </si>
  <si>
    <t>Rao's Homemade All Natural Fire Grilled Vegetable Pasta Sauce</t>
  </si>
  <si>
    <t>https://giantfoodstores.com/product/raos-homemade-bacon-alfredo-pasta-sauce-15-oz-jar/362890</t>
  </si>
  <si>
    <t>https://i5.peapod.com/c/U4/U44JP.png</t>
  </si>
  <si>
    <t>Rao's Homemade Bacon Alfredo Pasta Sauce</t>
  </si>
  <si>
    <t>$0.45 /OZ</t>
  </si>
  <si>
    <t>https://giantfoodstores.com/product/oikos-pro-20g-protein-vanilla-cultured-ultra-filtered-milk-yogurt-cup-5.3-oz-cup/299911</t>
  </si>
  <si>
    <t>https://i5.peapod.com/c/X3/X3ZLR.png</t>
  </si>
  <si>
    <t>Oikos PRO 20g Protein Vanilla Cultured Ultra-Filtered Milk Yogurt Cup</t>
  </si>
  <si>
    <t>Oikos</t>
  </si>
  <si>
    <t>https://giantfoodstores.com/product/oikos-triple-zero-15g-protein-non-fat-vanilla-blended-greek-yogurt-cup-4ct-21.2-oz-pkg/213021</t>
  </si>
  <si>
    <t>https://i5.peapod.com/c/VJ/VJABC.png</t>
  </si>
  <si>
    <t>Oikos Triple Zero 15g Protein Non Fat Vanilla Blended Greek Yogurt Cup 4ct</t>
  </si>
  <si>
    <t>https://giantfoodstores.com/product/oikos-triple-zero-15g-protein-non-fat-vanilla-blended-greek-yogurt-cup-5.3-oz-cup/210616</t>
  </si>
  <si>
    <t>https://i5.peapod.com/c/95/95K3H.png</t>
  </si>
  <si>
    <t>Oikos Triple Zero 15g Protein Non Fat Vanilla Blended Greek Yogurt Cup</t>
  </si>
  <si>
    <t>https://giantfoodstores.com/product/oikos-triple-zero-15g-protein-non-fat-lemon-tart-blended-greek-yogurt-cup-5.3-oz-cup/227125</t>
  </si>
  <si>
    <t>https://i5.peapod.com/c/YU/YUH3S.png</t>
  </si>
  <si>
    <t>Oikos Triple Zero 15g Protein Non Fat Lemon Tart Blended Greek Yogurt Cup</t>
  </si>
  <si>
    <t>https://giantfoodstores.com/product/oikos-remix-smores-vanilla-nonfat-greek-yogurt-4.5-oz-cup/361052</t>
  </si>
  <si>
    <t>https://i5.peapod.com/c/WN/WNE5Z.png</t>
  </si>
  <si>
    <t>Oikos REMIX S'mores Vanilla Nonfat Greek Yogurt</t>
  </si>
  <si>
    <t>https://giantfoodstores.com/product/oikos-triple-zero-17g-protein-non-fat-vanilla-blended-greek-yogurt-32-oz-tub/217095</t>
  </si>
  <si>
    <t>https://i5.peapod.com/c/5A/5AEFQ.png</t>
  </si>
  <si>
    <t>Oikos Triple Zero 17g Protein Non Fat Vanilla Blended Greek Yogurt</t>
  </si>
  <si>
    <t>https://giantfoodstores.com/product/oikos-pro-20g-protein-strawberry-cultured-ultra-filtered-milk-yogurt-cup-5.3-oz-cup/301592</t>
  </si>
  <si>
    <t>https://i5.peapod.com/c/EC/ECQFG.png</t>
  </si>
  <si>
    <t>Oikos PRO 20g Protein Strawberry Cultured Ultra-Filtered Milk Yogurt Cup</t>
  </si>
  <si>
    <t>https://giantfoodstores.com/product/oikos-remix-salted-caramel-nonfat-greek-yogurt-4.5-oz-cup/361051</t>
  </si>
  <si>
    <t>https://i5.peapod.com/c/SC/SCPDJ.png</t>
  </si>
  <si>
    <t>Oikos REMIX Salted Caramel Nonfat Greek Yogurt</t>
  </si>
  <si>
    <t>https://giantfoodstores.com/product/oikos-pro-20g-protein-peach-cultured-ultra-filtered-milk-yogurt-cup-5.3-oz-cup/301591</t>
  </si>
  <si>
    <t>https://i5.peapod.com/c/RD/RDD8A.png</t>
  </si>
  <si>
    <t>Oikos PRO 20g Protein Peach Cultured Ultra-Filtered Milk Yogurt Cup</t>
  </si>
  <si>
    <t>https://giantfoodstores.com/product/oikos-triple-zero-15g-protein-non-fat-banana-creme-greek-yogurt-cup-5.3-oz-cup/210610</t>
  </si>
  <si>
    <t>https://i5.peapod.com/c/F2/F2YJY.png</t>
  </si>
  <si>
    <t>Oikos Triple Zero 15g Protein Non Fat Banana Creme Greek Yogurt Cup</t>
  </si>
  <si>
    <t>https://giantfoodstores.com/product/oikos-triple-zero-15g-protein-non-fat-mixed-berry-greek-yogurt-cup-4-ct-21.2-oz-pkg/213022</t>
  </si>
  <si>
    <t>https://i5.peapod.com/c/R3/R38TM.png</t>
  </si>
  <si>
    <t>Oikos Triple Zero 15g Protein Non Fat Mixed Berry Greek Yogurt Cup - 4 ct</t>
  </si>
  <si>
    <t>https://giantfoodstores.com/product/oikos-remix-coco-almond-chocolate-coconut-nonfat-greek-yogurt-4.5-oz-cup/361050</t>
  </si>
  <si>
    <t>https://i5.peapod.com/c/3E/3EKS5.png</t>
  </si>
  <si>
    <t>Oikos REMIX Coco Almond Chocolate Coconut Nonfat Greek Yogurt</t>
  </si>
  <si>
    <t>https://giantfoodstores.com/product/oikos-triple-zero-15g-protein-non-fat-mixed-berry-blended-greek-yogurt-cup-5.3-oz-cup/210613</t>
  </si>
  <si>
    <t>https://i5.peapod.com/c/WN/WNGC6.png</t>
  </si>
  <si>
    <t>Oikos Triple Zero 15g Protein Non Fat Mixed Berry Blended Greek Yogurt Cup</t>
  </si>
  <si>
    <t>https://giantfoodstores.com/product/oikos-pro-20g-protein-mixed-berry-cultured-ultra-filtered-milk-yogurt-cup-5.3-oz-cup/301590</t>
  </si>
  <si>
    <t>https://i5.peapod.com/c/MI/MI4J6.png</t>
  </si>
  <si>
    <t>Oikos PRO 20g Protein Mixed Berry Cultured Ultra-Filtered Milk Yogurt Cup</t>
  </si>
  <si>
    <t>https://giantfoodstores.com/product/oikos-triple-zero-15g-protein-non-fat-cherry-blended-greek-yogurt-cup-5.3-oz-cup/225841</t>
  </si>
  <si>
    <t>https://i5.peapod.com/c/JB/JB1YI.png</t>
  </si>
  <si>
    <t>Oikos Triple Zero 15g Protein Non Fat Cherry Blended Greek Yogurt Cup</t>
  </si>
  <si>
    <t>https://giantfoodstores.com/product/oikos-triple-zero-15g-protein-non-fat-strawberry-greek-yogurt-cup-4-ct-21.2-oz-pkg/213020</t>
  </si>
  <si>
    <t>https://i5.peapod.com/c/JV/JVZYK.png</t>
  </si>
  <si>
    <t>Oikos Triple Zero 15g Protein Non Fat Strawberry Greek Yogurt Cup - 4 ct</t>
  </si>
  <si>
    <t>https://giantfoodstores.com/product/oikos-triple-zero-15g-protein-non-fat-strawberry-blended-greek-yogurt-cup-5.3-oz-cup/210615</t>
  </si>
  <si>
    <t>https://i5.peapod.com/c/22/227JV.png</t>
  </si>
  <si>
    <t>Oikos Triple Zero 15g Protein Non Fat Strawberry Blended Greek Yogurt Cup</t>
  </si>
  <si>
    <t>https://giantfoodstores.com/product/oikos-pro-20g-protein-banana-cultured-ultra-filtered-milk-yogurt-cup-5.3-oz-cup/326147</t>
  </si>
  <si>
    <t>https://i5.peapod.com/c/8R/8R85E.png</t>
  </si>
  <si>
    <t>Oikos PRO 20g Protein Banana Cultured Ultra-Filtered Milk Yogurt Cup</t>
  </si>
  <si>
    <t>https://giantfoodstores.com/product/oikos-triple-zero-15g-protein-non-fat-peach-blended-greek-yogurt-cup-4-ct-21.2-oz-pkg/245611</t>
  </si>
  <si>
    <t>https://i5.peapod.com/c/2L/2LBDC.png</t>
  </si>
  <si>
    <t>Oikos Triple Zero 15g Protein Non Fat Peach Blended Greek Yogurt Cup 4 ct</t>
  </si>
  <si>
    <t>https://giantfoodstores.com/product/oikos-pro-20g-protein-key-lime-yogurt-5.3-oz-cup/372614</t>
  </si>
  <si>
    <t>https://i5.peapod.com/c/OJ/OJLD6.png</t>
  </si>
  <si>
    <t>Oikos Pro 20g Protein Key Lime Yogurt</t>
  </si>
  <si>
    <t>https://giantfoodstores.com/product/oikos-triple-zero-blueberry-flavored-blended-greek-yogurt-cups-4-ct-21.2-oz-pkg/281688</t>
  </si>
  <si>
    <t>https://i5.peapod.com/c/9O/9OT0C.png</t>
  </si>
  <si>
    <t>Oikos Triple Zero Blueberry Flavored Blended Greek Yogurt Cups -4 ct</t>
  </si>
  <si>
    <t>https://giantfoodstores.com/product/oikos-pro-20g-protein-cherry-cultured-ultra-filtered-milk-yogurt-cup-5.3-oz-cup/324888</t>
  </si>
  <si>
    <t>https://i5.peapod.com/c/6B/6B2IY.png</t>
  </si>
  <si>
    <t>Oikos PRO 20g Protein Cherry Cultured Ultra-Filtered Milk Yogurt Cup</t>
  </si>
  <si>
    <t>https://giantfoodstores.com/product/oikos-triple-zero-15g-protein-non-fat-cherry-blended-greek-yogurt-cup-4-ct-21.2-oz-pkg/326611</t>
  </si>
  <si>
    <t>https://i5.peapod.com/c/23/239PY.png</t>
  </si>
  <si>
    <t>Oikos Triple Zero 15g Protein Non Fat Cherry Blended Greek Yogurt Cup 4 ct</t>
  </si>
  <si>
    <t>https://giantfoodstores.com/product/oikos-pro-20g-protein-strawberry-ultra-filtered-milk-yogurt-cup-4-ct-21.1-oz-pkg/348583</t>
  </si>
  <si>
    <t>https://i5.peapod.com/c/WL/WLYV3.png</t>
  </si>
  <si>
    <t>Oikos PRO 20g Protein Strawberry Ultra-Filtered Milk Yogurt Cup - 4 ct</t>
  </si>
  <si>
    <t>21.1 OZ PKG</t>
  </si>
  <si>
    <t>https://giantfoodstores.com/product/oikos-pro-20g-protein-mixed-berry-ultra-filtered-milk-yogurt-cup-4-ct-21.1-oz-pkg/348582</t>
  </si>
  <si>
    <t>https://i5.peapod.com/c/XG/XG230.png</t>
  </si>
  <si>
    <t>Oikos PRO 20g Protein Mixed Berry Ultra-Filtered Milk Yogurt Cup - 4 ct</t>
  </si>
  <si>
    <t>https://giantfoodstores.com/product/oikos-pro-20g-protein-vanilla-cultured-ultra-filtered-milk-yogurt-cup-4-ct-21.1-oz-pkg/348584</t>
  </si>
  <si>
    <t>https://i5.peapod.com/c/OP/OPZQA.png</t>
  </si>
  <si>
    <t>Oikos PRO 20g Protein Vanilla Cultured Ultra-Filtered Milk Yogurt Cup 4 ct</t>
  </si>
  <si>
    <t>https://giantfoodstores.com/product/oikos-triple-zero-nonfat-plain-greek-yogurt-32-oz-tub/374731</t>
  </si>
  <si>
    <t>https://i5.peapod.com/c/NM/NMT4H.png</t>
  </si>
  <si>
    <t>Oikos Triple Zero Nonfat Plain Greek Yogurt</t>
  </si>
  <si>
    <t>https://giantfoodstores.com/product/oikos-pro-23g-protein-vanilla-cultured-ultra-filtered-milk-yogurt-32-oz-tub/341585</t>
  </si>
  <si>
    <t>https://i5.peapod.com/c/D9/D9C7D.png</t>
  </si>
  <si>
    <t>Oikos PRO 23g Protein Vanilla Cultured Ultra-Filtered Milk Yogurt</t>
  </si>
  <si>
    <t>https://giantfoodstores.com/product/oikos-pro-25g-protein-plain-cultured-ultra-filtered-milk-yogurt-32-oz-tub/301593</t>
  </si>
  <si>
    <t>https://i5.peapod.com/c/SQ/SQCR7.png</t>
  </si>
  <si>
    <t>Oikos PRO 25g Protein Plain Cultured Ultra-Filtered Milk Yogurt</t>
  </si>
  <si>
    <t>https://giantfoodstores.com/product/dannon-light-fit-fat-free-original-vanilla-yogurt-cup-4-ct-21.2-oz-pkg/159745</t>
  </si>
  <si>
    <t>https://i5.peapod.com/c/QY/QY5DC.png</t>
  </si>
  <si>
    <t>Dannon Light + Fit Fat Free Original Vanilla Yogurt Cup - 4 ct</t>
  </si>
  <si>
    <t>https://giantfoodstores.com/product/dannon-light-fit-remix-brownie-sundae-vanilla-nonfat-greek-yogurt-4.5-oz-cup/361055</t>
  </si>
  <si>
    <t>https://i5.peapod.com/c/FA/FAOD7.png</t>
  </si>
  <si>
    <t>Dannon Light + Fit REMIX Brownie Sundae Vanilla Nonfat Greek Yogurt</t>
  </si>
  <si>
    <t>https://giantfoodstores.com/product/dannon-light-fit-fat-free-banana-cream-greek-yogurt-cup-5.3-oz-cup/215094</t>
  </si>
  <si>
    <t>https://i5.peapod.com/c/7K/7K2WO.png</t>
  </si>
  <si>
    <t>Dannon Light + Fit Fat Free Banana Cream Greek Yogurt Cup</t>
  </si>
  <si>
    <t>https://giantfoodstores.com/product/dannon-light-fit-fat-free-vanilla-greek-yogurt-cup-4-ct-21.2-oz-pkg/190999</t>
  </si>
  <si>
    <t>https://i5.peapod.com/c/ZM/ZMCVN.png</t>
  </si>
  <si>
    <t>Dannon Light + Fit Fat Free Vanilla Greek Yogurt Cup - 4 ct</t>
  </si>
  <si>
    <t>https://giantfoodstores.com/product/dannon-light-fit-fat-free-caramel-apple-pie-greek-yogurt-cup-5.3-oz-cup/225458</t>
  </si>
  <si>
    <t>https://i5.peapod.com/c/6J/6J5C7.png</t>
  </si>
  <si>
    <t>Dannon Light + Fit Fat Free Caramel Apple Pie Greek Yogurt Cup</t>
  </si>
  <si>
    <t>https://giantfoodstores.com/product/dannon-light-fit-remix-key-lime-pie-nonfat-greek-yogurt-4.5-oz-cup/361054</t>
  </si>
  <si>
    <t>https://i5.peapod.com/c/LM/LMJD8.png</t>
  </si>
  <si>
    <t>Dannon Light + Fit REMIX Key Lime Pie Nonfat Greek Yogurt</t>
  </si>
  <si>
    <t>https://giantfoodstores.com/product/dannon-light-fit-fat-free-boston-cream-pie-greek-yogurt-cup-5.3-oz-cup/211040</t>
  </si>
  <si>
    <t>https://i5.peapod.com/c/AL/AL8HO.png</t>
  </si>
  <si>
    <t>Dannon Light + Fit Fat Free Boston Cream Pie Greek Yogurt Cup</t>
  </si>
  <si>
    <t>https://giantfoodstores.com/product/dannon-light-fit-fat-free-key-lime-greek-yogurt-cup-5.3-oz-cup/196935</t>
  </si>
  <si>
    <t>https://i5.peapod.com/c/14/14S44.png</t>
  </si>
  <si>
    <t>Dannon Light + Fit Fat Free Key Lime Greek Yogurt Cup</t>
  </si>
  <si>
    <t>https://giantfoodstores.com/product/dannon-light-fit-fat-free-strawberry-cheesecake-greek-yogurt-cup-5.3-oz-cup/204432</t>
  </si>
  <si>
    <t>https://i5.peapod.com/c/CG/CGEX9.png</t>
  </si>
  <si>
    <t>Dannon Light + Fit Fat Free Strawberry Cheesecake Greek Yogurt Cup</t>
  </si>
  <si>
    <t>https://giantfoodstores.com/product/dannon-light-fit-fat-free-strawberry-cheesecake-greek-yogurt-cup-4-ct-21.2-oz-pkg/217094</t>
  </si>
  <si>
    <t>https://i5.peapod.com/c/YT/YTPCW.png</t>
  </si>
  <si>
    <t>Dannon Light + Fit Fat Free Strawberry Cheesecake Greek Yogurt Cup - 4 ct</t>
  </si>
  <si>
    <t>https://giantfoodstores.com/product/dannon-light-fit-fat-free-playful-peach-yogurt-cup-4-ct-21.2-oz-pkg/164820</t>
  </si>
  <si>
    <t>https://i5.peapod.com/c/4W/4WUD8.png</t>
  </si>
  <si>
    <t>Dannon Light + Fit Fat Free Playful Peach Yogurt Cup - 4 ct</t>
  </si>
  <si>
    <t>https://giantfoodstores.com/product/dannon-light-fit-fat-free-tiramisu-greek-yogurt-cup-5.3-oz-cup/215057</t>
  </si>
  <si>
    <t>https://i5.peapod.com/c/59/59KOH.png</t>
  </si>
  <si>
    <t>Dannon Light + Fit Fat Free Tiramisu Greek Yogurt Cup</t>
  </si>
  <si>
    <t>https://giantfoodstores.com/product/dannon-light-fit-fat-free-strawberry-greek-yogurt-cup-4-ct-21.2-oz-pkg/191000</t>
  </si>
  <si>
    <t>https://i5.peapod.com/c/QD/QDR2V.png</t>
  </si>
  <si>
    <t>Dannon Light + Fit Fat Free Strawberry Greek Yogurt Cup - 4 ct</t>
  </si>
  <si>
    <t>https://giantfoodstores.com/product/dannon-light-fit-fat-free-radiant-raspberry-yogurt-cup-4-ct-21.2-oz-pkg/159874</t>
  </si>
  <si>
    <t>https://i5.peapod.com/c/LR/LR1PH.png</t>
  </si>
  <si>
    <t>Dannon Light + Fit Fat Free Radiant Raspberry Yogurt Cup - 4 ct</t>
  </si>
  <si>
    <t>https://giantfoodstores.com/product/dannon-light-fit-fat-free-splendid-strawberry-banana-yogurt-cup-4-ct-21.2-oz-pkg/159873</t>
  </si>
  <si>
    <t>https://i5.peapod.com/c/YP/YPLY6.png</t>
  </si>
  <si>
    <t>Dannon Light + Fit Fat Free Splendid Strawberry Banana Yogurt Cup - 4 ct</t>
  </si>
  <si>
    <t>https://giantfoodstores.com/product/dannon-light-fit-fat-free-cheerful-cherry-yogurt-cup-4-ct-21.2-oz-pkg/184460</t>
  </si>
  <si>
    <t>https://i5.peapod.com/c/FF/FFLHL.png</t>
  </si>
  <si>
    <t>Dannon Light + Fit Fat Free Cheerful Cherry Yogurt Cup - 4 ct</t>
  </si>
  <si>
    <t>https://giantfoodstores.com/product/dannon-light-fit-fat-free-original-vanilla-yogurt-cup-32-oz-tub/10911</t>
  </si>
  <si>
    <t>https://i5.peapod.com/c/CJ/CJPM3.png</t>
  </si>
  <si>
    <t>Dannon Light + Fit Fat Free Original Vanilla Yogurt Cup</t>
  </si>
  <si>
    <t>https://giantfoodstores.com/product/dannon-light-fit-fat-free-blueberry-greek-yogurt-cup-4-ct-21.2-oz-pkg/191002</t>
  </si>
  <si>
    <t>https://i5.peapod.com/c/53/532UC.png</t>
  </si>
  <si>
    <t>Dannon Light + Fit Fat Free Blueberry Greek Yogurt Cup - 4 ct</t>
  </si>
  <si>
    <t>https://giantfoodstores.com/product/dannon-light-fit-fat-free-cherry-greek-yogurt-cup-4-ct-21.2-oz-pkg/191001</t>
  </si>
  <si>
    <t>https://i5.peapod.com/c/EV/EVFMQ.png</t>
  </si>
  <si>
    <t>Dannon Light + Fit Fat Free Cherry Greek Yogurt Cup - 4 ct</t>
  </si>
  <si>
    <t>https://giantfoodstores.com/product/dannon-light-fit-fat-free-vanilla-greek-yogurt-32-oz-tub/194201</t>
  </si>
  <si>
    <t>https://i5.peapod.com/c/VL/VL5TZ.png</t>
  </si>
  <si>
    <t>Dannon Light + Fit Fat Free Vanilla Greek Yogurt</t>
  </si>
  <si>
    <t>https://giantfoodstores.com/product/dannon-light-fit-fat-free-toasted-coconut-vanilla-greek-yogurt-cup-4-ct-21.2-oz-pkg/210900</t>
  </si>
  <si>
    <t>https://i5.peapod.com/c/7G/7GZS7.png</t>
  </si>
  <si>
    <t>Dannon Light + Fit Fat Free Toasted Coconut Vanilla Greek Yogurt Cup 4 ct</t>
  </si>
  <si>
    <t>https://giantfoodstores.com/product/dannon-light-fit-fat-free-vanilla-greek-yogurt-cup-5.3-oz-cup/203144</t>
  </si>
  <si>
    <t>https://i5.peapod.com/c/BQ/BQCYV.png</t>
  </si>
  <si>
    <t>Dannon Light + Fit Fat Free Vanilla Greek Yogurt Cup</t>
  </si>
  <si>
    <t>https://giantfoodstores.com/product/dannon-light-fit-fat-free-original-blueberry-yogurt-cup-4-ct-21.2-oz-pkg/164821</t>
  </si>
  <si>
    <t>https://i5.peapod.com/c/JD/JDB1H.png</t>
  </si>
  <si>
    <t>Dannon Light + Fit Fat Free Original Blueberry Yogurt Cup - 4 ct</t>
  </si>
  <si>
    <t>https://giantfoodstores.com/product/dannon-light-fit-fat-free-sensational-strawberry-yogurt-cup-4-ct-21.2-oz-pkg/165068</t>
  </si>
  <si>
    <t>https://i5.peapod.com/c/KL/KL1CX.png</t>
  </si>
  <si>
    <t>Dannon Light + Fit Fat Free Sensational Strawberry Yogurt Cup - 4 ct</t>
  </si>
  <si>
    <t>https://giantfoodstores.com/product/lundberg-organic-risotto-creamy-parmesan-arborio-rice-seasoning-mix-5.5-oz-box/249569</t>
  </si>
  <si>
    <t>https://i5.peapod.com/c/K4/K4K79.png</t>
  </si>
  <si>
    <t>Lundberg Organic Risotto Creamy Parmesan Arborio Rice &amp; Seasoning Mix</t>
  </si>
  <si>
    <t>Lundberg</t>
  </si>
  <si>
    <t>Rice</t>
  </si>
  <si>
    <t>$1.00 /OZ</t>
  </si>
  <si>
    <t>https://giantfoodstores.com/product/lundberg-sustainable-gourmet-wild-blend-rice-16-oz-bag/176942</t>
  </si>
  <si>
    <t>https://i5.peapod.com/c/FC/FCQG3.png</t>
  </si>
  <si>
    <t>Lundberg Sustainable Gourmet Wild Blend Rice</t>
  </si>
  <si>
    <t>https://giantfoodstores.com/product/lundberg-regenerative-organic-white-jasmine-rice-32-oz-bag/228163</t>
  </si>
  <si>
    <t>https://i5.peapod.com/c/2M/2MLPI.png</t>
  </si>
  <si>
    <t>Lundberg Regenerative Organic White Jasmine Rice</t>
  </si>
  <si>
    <t>32 OZ BAG</t>
  </si>
  <si>
    <t>https://giantfoodstores.com/product/lundberg-90-second-microwave-organic-brown-jasmine-rice-8-oz-bag/239315</t>
  </si>
  <si>
    <t>https://i5.peapod.com/c/WJ/WJHLT.png</t>
  </si>
  <si>
    <t>Lundberg 90 Second Microwave Organic Brown Jasmine Rice</t>
  </si>
  <si>
    <t>https://giantfoodstores.com/product/lundberg-regenerative-organic-white-basmati-rice-32-oz-bag/235911</t>
  </si>
  <si>
    <t>https://i5.peapod.com/c/GH/GHK81.png</t>
  </si>
  <si>
    <t>Lundberg Regenerative Organic White Basmati Rice</t>
  </si>
  <si>
    <t>https://giantfoodstores.com/product/lundberg-90-second-microwave-organic-cilantro-lime-rice-8-oz-pkg/360967</t>
  </si>
  <si>
    <t>https://i5.peapod.com/c/47/478J0.png</t>
  </si>
  <si>
    <t>Lundberg 90 Second Microwave Organic Cilantro Lime Rice</t>
  </si>
  <si>
    <t>https://giantfoodstores.com/product/lundberg-organic-long-grain-white-rice-32-oz-bag/176947</t>
  </si>
  <si>
    <t>https://i5.peapod.com/c/J5/J54D1.png</t>
  </si>
  <si>
    <t>Lundberg Organic Long Grain White Rice</t>
  </si>
  <si>
    <t>https://giantfoodstores.com/product/lundberg-organic-gluten-free-long-grain-brown-rice-32-oz-bag/211956</t>
  </si>
  <si>
    <t>https://i5.peapod.com/c/V7/V7ZET.png</t>
  </si>
  <si>
    <t>Lundberg Organic Gluten Free Long Grain Brown Rice</t>
  </si>
  <si>
    <t>https://giantfoodstores.com/product/lundberg-organic-risotto-porcini-mushroom-arborio-rice-seasoning-mix-5.9-oz-box/176944</t>
  </si>
  <si>
    <t>https://i5.peapod.com/c/N1/N1KNA.png</t>
  </si>
  <si>
    <t>Lundberg Organic Risotto Porcini Mushroom Arborio Rice &amp; Seasoning Mix</t>
  </si>
  <si>
    <t>5.9 OZ BOX</t>
  </si>
  <si>
    <t>$0.93 /OZ</t>
  </si>
  <si>
    <t>https://giantfoodstores.com/product/lundberg-sustainable-california-white-jasmine-rice-32-oz-bag/176945</t>
  </si>
  <si>
    <t>https://i5.peapod.com/c/PH/PHUP3.png</t>
  </si>
  <si>
    <t>Lundberg Sustainable California White Jasmine Rice</t>
  </si>
  <si>
    <t>https://giantfoodstores.com/product/lundberg-organic-whole-grain-yellow-rice-seasoning-mix-6-oz-box/200899</t>
  </si>
  <si>
    <t>https://i5.peapod.com/c/NO/NO3U1.jpg</t>
  </si>
  <si>
    <t>Lundberg Organic Whole Grain Yellow Rice &amp; Seasoning Mix</t>
  </si>
  <si>
    <t>$0.87 /OZ</t>
  </si>
  <si>
    <t>https://giantfoodstores.com/product/lundberg-sustainable-gluten-free-california-white-basmati-rice-32-oz-bag/176948</t>
  </si>
  <si>
    <t>https://i5.peapod.com/c/8M/8MJNC.png</t>
  </si>
  <si>
    <t>Lundberg Sustainable Gluten Free California White Basmati Rice</t>
  </si>
  <si>
    <t>https://giantfoodstores.com/product/lundberg-organic-gluten-free-short-grain-gourmet-brown-rice-32-oz-bag/162292</t>
  </si>
  <si>
    <t>https://i5.peapod.com/c/HV/HVIJI.png</t>
  </si>
  <si>
    <t>Lundberg Organic Gluten Free Short Grain Gourmet Brown Rice</t>
  </si>
  <si>
    <t>https://giantfoodstores.com/product/lundberg-90-second-microwave-organic-thai-hom-mali-white-jasmine-rice-8-oz-pkg/237172</t>
  </si>
  <si>
    <t>https://i5.peapod.com/c/3P/3P2WR.png</t>
  </si>
  <si>
    <t>Lundberg 90 Second Microwave Organic Thai Hom Mali White Jasmine Rice</t>
  </si>
  <si>
    <t>https://giantfoodstores.com/product/lundberg-organic-gluten-free-california-brown-basmati-rice-32-oz-bag/200330</t>
  </si>
  <si>
    <t>https://i5.peapod.com/c/4Q/4Q7PK.png</t>
  </si>
  <si>
    <t>Lundberg Organic Gluten Free California Brown Basmati Rice</t>
  </si>
  <si>
    <t>https://giantfoodstores.com/product/lundberg-organic-cilantro-lime-rice-pilaf-seasoning-mix-5.5-oz-box/239327</t>
  </si>
  <si>
    <t>https://i5.peapod.com/c/GI/GI6MN.png</t>
  </si>
  <si>
    <t>Lundberg Organic Cilantro Lime Rice Pilaf &amp; Seasoning Mix</t>
  </si>
  <si>
    <t>https://giantfoodstores.com/product/lundberg-organic-gluten-free-california-brown-jasmine-rice-32-oz-bag/232835</t>
  </si>
  <si>
    <t>https://i5.peapod.com/c/7X/7XNXC.png</t>
  </si>
  <si>
    <t>Lundberg Organic Gluten Free California Brown Jasmine Rice</t>
  </si>
  <si>
    <t>https://giantfoodstores.com/product/lundberg-sustainable-white-arborio-rice-32-oz-bag/184798</t>
  </si>
  <si>
    <t>https://i5.peapod.com/c/48/4872H.png</t>
  </si>
  <si>
    <t>Lundberg Sustainable White Arborio Rice</t>
  </si>
  <si>
    <t>https://giantfoodstores.com/product/lundberg-90-second-microwave-organic-coconut-rice-8-oz-pkg/355609</t>
  </si>
  <si>
    <t>https://i5.peapod.com/c/5F/5FJGR.png</t>
  </si>
  <si>
    <t>Lundberg 90 Second Microwave Organic Coconut Rice</t>
  </si>
  <si>
    <t>https://giantfoodstores.com/product/lundberg-regenerative-organic-jasmine-rice-value-size-17.3-oz-bag/361990</t>
  </si>
  <si>
    <t>https://i5.peapod.com/c/JQ/JQE93.png</t>
  </si>
  <si>
    <t>Lundberg Regenerative Organic Jasmine Rice Value Size</t>
  </si>
  <si>
    <t>https://giantfoodstores.com/product/lundberg-organic-garlic-basil-whole-grain-rice-wild-rice-seasoning-mix-6-oz-box/205980</t>
  </si>
  <si>
    <t>https://i5.peapod.com/c/7K/7KXEW.png</t>
  </si>
  <si>
    <t>Lundberg Organic Garlic &amp; Basil Whole Grain Rice &amp; Wild Rice Seasoning Mix</t>
  </si>
  <si>
    <t>https://giantfoodstores.com/product/lundberg-90-second-microwave-organic-long-grain-brown-rice-cup-7.4-oz-bwl/196101</t>
  </si>
  <si>
    <t>https://i5.peapod.com/c/WI/WITOV.png</t>
  </si>
  <si>
    <t>Lundberg 90 Second Microwave Organic Long Grain Brown Rice Cup</t>
  </si>
  <si>
    <t>7.4 OZ BWL</t>
  </si>
  <si>
    <t>https://giantfoodstores.com/product/quaker-oat-bran-hot-cereal-16-oz-box/188256</t>
  </si>
  <si>
    <t>https://i5.peapod.com/c/ZX/ZXIFT.png</t>
  </si>
  <si>
    <t>Quaker Oat Bran Hot Cereal</t>
  </si>
  <si>
    <t>Quaker</t>
  </si>
  <si>
    <t>Grain</t>
  </si>
  <si>
    <t>https://giantfoodstores.com/product/quaker-100-whole-grain-old-fashioned-oats-18-oz-can/2816</t>
  </si>
  <si>
    <t>https://i5.peapod.com/c/HR/HRS9M.png</t>
  </si>
  <si>
    <t>Quaker 100% Whole Grain Old Fashioned Oats</t>
  </si>
  <si>
    <t>https://giantfoodstores.com/product/quaker-100-whole-grain-quick-1-minute-oats-18-oz-can/2818</t>
  </si>
  <si>
    <t>https://i5.peapod.com/c/19/193I9.png</t>
  </si>
  <si>
    <t>Quaker 100% Whole Grain Quick 1-Minute Oats</t>
  </si>
  <si>
    <t>https://giantfoodstores.com/product/quaker-100-whole-grain-old-fashioned-oats-42-oz-can/2817</t>
  </si>
  <si>
    <t>https://i5.peapod.com/c/TN/TNU8D.png</t>
  </si>
  <si>
    <t>42 OZ CAN</t>
  </si>
  <si>
    <t>https://giantfoodstores.com/product/quaker-100-whole-grain-quick-1-minute-oats-42-oz-can/2820</t>
  </si>
  <si>
    <t>https://i5.peapod.com/c/FI/FIHQ1.png</t>
  </si>
  <si>
    <t>https://giantfoodstores.com/product/quaker-whole-grain-oat-flour-20-oz-bag/328482</t>
  </si>
  <si>
    <t>https://i5.peapod.com/c/QD/QD4N1.png</t>
  </si>
  <si>
    <t>Quaker Whole Grain Oat Flour</t>
  </si>
  <si>
    <t>https://giantfoodstores.com/product/quaker-100-whole-grain-steel-cut-quick-3-minute-oats-25-oz-can/208620</t>
  </si>
  <si>
    <t>https://i5.peapod.com/c/WY/WYRXQ.png</t>
  </si>
  <si>
    <t>Quaker 100% Whole Grain Steel Cut Quick 3-Minute Oats</t>
  </si>
  <si>
    <t>25 OZ CAN</t>
  </si>
  <si>
    <t>https://giantfoodstores.com/product/quaker-gluten-free-100-whole-grain-quick-1-minute-oats-18-oz-can/216245</t>
  </si>
  <si>
    <t>https://i5.peapod.com/c/UV/UVSBH.png</t>
  </si>
  <si>
    <t>Quaker Gluten Free 100% Whole Grain Quick 1-Minute Oats</t>
  </si>
  <si>
    <t>https://giantfoodstores.com/product/quaker-100-whole-grain-hearty-traditional-steel-cut-oats-30-oz-can/146170</t>
  </si>
  <si>
    <t>https://i5.peapod.com/c/AV/AV2X5.png</t>
  </si>
  <si>
    <t>Quaker 100% Whole Grain Hearty Traditional Steel Cut Oats</t>
  </si>
  <si>
    <t>30 OZ CAN</t>
  </si>
  <si>
    <t>https://giantfoodstores.com/product/quaker-simply-oats-honey-raisins-almonds-granola-cereal-24.1-oz-box/2884</t>
  </si>
  <si>
    <t>https://i5.peapod.com/c/8I/8ILAR.png</t>
  </si>
  <si>
    <t>Quaker Simply Oats Honey Raisins &amp; Almonds Granola Cereal</t>
  </si>
  <si>
    <t>24.1 OZ BOX</t>
  </si>
  <si>
    <t>https://giantfoodstores.com/product/quaker-simply-oats-honey-almonds-granola-cereal-24.1-oz-box/16016</t>
  </si>
  <si>
    <t>https://i5.peapod.com/c/1N/1N8WD.png</t>
  </si>
  <si>
    <t>Quaker Simply Oats Honey &amp; Almonds Granola Cereal</t>
  </si>
  <si>
    <t>Nature Valley</t>
  </si>
  <si>
    <t>Prepared Food</t>
  </si>
  <si>
    <t>7 OZ BOX</t>
  </si>
  <si>
    <t>$0.94 /OZ</t>
  </si>
  <si>
    <t>https://giantfoodstores.com/product/nature-valley-sweet-salty-nut-granola-bars-dark-cho-peanut-almond-6-ct-7.44-oz-box/159498</t>
  </si>
  <si>
    <t>https://i5.peapod.com/c/35/350UV.png</t>
  </si>
  <si>
    <t>Nature Valley Sweet &amp; Salty Nut Granola Bars Dark Cho/Peanut/Almond - 6 ct</t>
  </si>
  <si>
    <t>7.44 OZ BOX</t>
  </si>
  <si>
    <t>https://giantfoodstores.com/product/nature-valley-crunchy-oats-n-honey-granola-bar-12-ct-8.94-oz-box/1143</t>
  </si>
  <si>
    <t>https://i5.peapod.com/c/NE/NED1L.png</t>
  </si>
  <si>
    <t>Nature Valley Crunchy Oats 'n Honey Granola Bar - 12 ct</t>
  </si>
  <si>
    <t>8.94 OZ BOX</t>
  </si>
  <si>
    <t>https://giantfoodstores.com/product/nature-valley-sweet-salty-chewy-chocolate-pretzel-granola-bar-6-ct-7.2-oz-box/198056</t>
  </si>
  <si>
    <t>https://i5.peapod.com/c/6Y/6YDWC.png</t>
  </si>
  <si>
    <t>Nature Valley Sweet &amp; Salty Chewy Chocolate Pretzel Granola Bar - 6 ct</t>
  </si>
  <si>
    <t>7.2 OZ BOX</t>
  </si>
  <si>
    <t>https://giantfoodstores.com/product/nature-valley-oats-honey-13g-protein-granola-11-oz-bag/198054</t>
  </si>
  <si>
    <t>https://i5.peapod.com/c/26/263SD.png</t>
  </si>
  <si>
    <t>Nature Valley Oats &amp; Honey 13g Protein Granola</t>
  </si>
  <si>
    <t>$0.69 /OZ</t>
  </si>
  <si>
    <t>https://giantfoodstores.com/product/nature-valley-sweet-salty-nut-chewy-peanut-granola-bar-6-ct-7.2-oz-box/136582</t>
  </si>
  <si>
    <t>https://i5.peapod.com/c/XA/XAZX8.png</t>
  </si>
  <si>
    <t>Nature Valley Sweet &amp; Salty Nut Chewy Peanut Granola Bar - 6 ct</t>
  </si>
  <si>
    <t>https://giantfoodstores.com/product/nature-valley-sweet-salty-nut-chewy-cashew-granola-bar-6-ct-7.2-oz-box/141600</t>
  </si>
  <si>
    <t>https://i5.peapod.com/c/RO/RO27P.png</t>
  </si>
  <si>
    <t>Nature Valley Sweet &amp; Salty Nut Chewy Cashew Granola Bar - 6 ct</t>
  </si>
  <si>
    <t>https://giantfoodstores.com/product/nature-valley-crunchy-peanut-butter-granola-bar-6-ct-8.94-oz-box/26915</t>
  </si>
  <si>
    <t>https://i5.peapod.com/c/2I/2ISEE.png</t>
  </si>
  <si>
    <t>Nature Valley Crunchy Peanut Butter Granola Bar - 6 ct</t>
  </si>
  <si>
    <t>https://giantfoodstores.com/product/nature-valley-chewy-dark-chocolate-cherry-granola-trail-mix-bar-6-ct-7.4-oz-box/192815</t>
  </si>
  <si>
    <t>https://i5.peapod.com/c/NP/NPCP0.png</t>
  </si>
  <si>
    <t>Nature Valley Chewy Dark Chocolate Cherry Granola Trail Mix Bar - 6 ct</t>
  </si>
  <si>
    <t>7.4 OZ BOX</t>
  </si>
  <si>
    <t>https://giantfoodstores.com/product/nature-valley-crunchy-oats-honey-granola-16-oz-bag/223440</t>
  </si>
  <si>
    <t>https://i5.peapod.com/c/7P/7PDMP.png</t>
  </si>
  <si>
    <t>Nature Valley Crunchy Oats &amp; Honey Granola</t>
  </si>
  <si>
    <t>https://giantfoodstores.com/product/nature-valley-crunchy-dipped-chocolate-granola-bar-6-ct-4.68-oz-box/329362</t>
  </si>
  <si>
    <t>https://i5.peapod.com/c/IA/IAOX8.png</t>
  </si>
  <si>
    <t>Nature Valley Crunchy Dipped Chocolate Granola Bar - 6 ct</t>
  </si>
  <si>
    <t>4.68 OZ BOX</t>
  </si>
  <si>
    <t>https://giantfoodstores.com/product/nature-valley-sweet-salty-nut-chewy-almond-granola-bar-6-ct-7.4-oz-box/144567</t>
  </si>
  <si>
    <t>https://i5.peapod.com/c/T2/T20T4.png</t>
  </si>
  <si>
    <t>Nature Valley Sweet &amp; Salty Nut Chewy Almond Granola Bar - 6 ct</t>
  </si>
  <si>
    <t>https://giantfoodstores.com/product/nature-valley-lunch-box-smores-chewy-granola-bar-5-ct-4.6-oz-box/363804</t>
  </si>
  <si>
    <t>https://i5.peapod.com/c/HT/HT1VJ.png</t>
  </si>
  <si>
    <t>Nature Valley Lunch Box S'mores Chewy Granola Bar - 5 ct</t>
  </si>
  <si>
    <t>4.6 OZ BOX</t>
  </si>
  <si>
    <t>$0.65 /OZ</t>
  </si>
  <si>
    <t>https://giantfoodstores.com/product/nature-valley-oats-n-dark-chocolate-crunchy-granola-bars-12-ct-8.94-oz-box/159499</t>
  </si>
  <si>
    <t>https://i5.peapod.com/c/3H/3H6LF.png</t>
  </si>
  <si>
    <t>Nature Valley Oats 'n Dark Chocolate Crunchy Granola Bars - 12 ct</t>
  </si>
  <si>
    <t>https://giantfoodstores.com/product/nature-valley-crunchy-granola-bar-variety-pack-12-ct-8.94-oz-box/1140</t>
  </si>
  <si>
    <t>https://i5.peapod.com/c/PO/POVLN.png</t>
  </si>
  <si>
    <t>Nature Valley Crunchy Granola Bar Variety Pack - 12 ct</t>
  </si>
  <si>
    <t>https://giantfoodstores.com/product/nature-valley-oats-honey-13g-protein-granola-family-size-17-oz-bag/324840</t>
  </si>
  <si>
    <t>https://i5.peapod.com/c/59/59SEG.png</t>
  </si>
  <si>
    <t>Nature Valley Oats &amp; Honey 13g Protein Granola Family Size</t>
  </si>
  <si>
    <t>17 OZ BAG</t>
  </si>
  <si>
    <t>https://giantfoodstores.com/product/nature-valley-lunch-box-double-chocolate-chewy-granola-bar-5-ct-4.6-oz-box/363803</t>
  </si>
  <si>
    <t>https://i5.peapod.com/c/OP/OPRG6.png</t>
  </si>
  <si>
    <t>Nature Valley Lunch Box Double Chocolate Chewy Granola Bar - 5 ct</t>
  </si>
  <si>
    <t>https://giantfoodstores.com/product/nature-valley-oats-dark-chocolate-13g-protein-granola-11-oz-bag/198053</t>
  </si>
  <si>
    <t>https://i5.peapod.com/c/1C/1CFA2.png</t>
  </si>
  <si>
    <t>Nature Valley Oats &amp; Dark Chocolate 13g Protein Granola</t>
  </si>
  <si>
    <t>https://giantfoodstores.com/product/nature-valley-sweet-salty-salted-caramel-chocolate-granola-bar-6-ct-7.2-oz-box/224846</t>
  </si>
  <si>
    <t>https://i5.peapod.com/c/Q1/Q1P7W.png</t>
  </si>
  <si>
    <t>Nature Valley Sweet &amp; Salty Salted Caramel Chocolate Granola Bar - 6 ct</t>
  </si>
  <si>
    <t>https://giantfoodstores.com/product/nature-valley-sweet-salty-dark-choc-peanut-almond-granola-bar-12-ct-14.8-oz-box/284855</t>
  </si>
  <si>
    <t>https://i5.peapod.com/c/8W/8WF2N.png</t>
  </si>
  <si>
    <t>Nature Valley Sweet &amp; Salty Dark Choc Peanut Almond Granola Bar - 12 ct</t>
  </si>
  <si>
    <t>14.8 OZ BOX</t>
  </si>
  <si>
    <t>https://giantfoodstores.com/product/nature-valley-sweet-salty-nut-turtle-chewy-granola-bars-6-ct-7.2-oz-box/371236</t>
  </si>
  <si>
    <t>https://i5.peapod.com/c/XD/XDARK.png</t>
  </si>
  <si>
    <t>Nature Valley Sweet &amp; Salty Nut Turtle Chewy Granola Bars - 6 ct</t>
  </si>
  <si>
    <t>https://giantfoodstores.com/product/nature-valley-crunchy-apple-crisp-granola-bar-12-ct-8.94-oz-box/146084</t>
  </si>
  <si>
    <t>https://i5.peapod.com/c/U5/U5WKG.png</t>
  </si>
  <si>
    <t>Nature Valley Crunchy Apple Crisp Granola Bar - 12 ct</t>
  </si>
  <si>
    <t>https://giantfoodstores.com/product/nature-valley-crunchy-pecan-crunch-granola-bar-6-ct-8.9-oz-box/136581</t>
  </si>
  <si>
    <t>https://i5.peapod.com/c/DN/DN7YS.png</t>
  </si>
  <si>
    <t>Nature Valley Crunchy Pecan Crunch Granola Bar - 6 ct</t>
  </si>
  <si>
    <t>8.9 OZ BOX</t>
  </si>
  <si>
    <t>https://giantfoodstores.com/product/nature-valley-crunchy-maple-brown-sugar-granola-bar-12-ct-8.94-oz-box/123410</t>
  </si>
  <si>
    <t>https://i5.peapod.com/c/OA/OAKDD.png</t>
  </si>
  <si>
    <t>Nature Valley Crunchy Maple Brown Sugar Granola Bar - 12 ct</t>
  </si>
  <si>
    <t>https://giantfoodstores.com/product/nature-valley-crunchy-oats-n-honey-granola-bar-24-ct-17.8-oz-box/175412</t>
  </si>
  <si>
    <t>https://i5.peapod.com/c/RW/RWLRU.png</t>
  </si>
  <si>
    <t>Nature Valley Crunchy Oats 'n Honey Granola Bar - 24 ct</t>
  </si>
  <si>
    <t>17.8 OZ BOX</t>
  </si>
  <si>
    <t>https://giantfoodstores.com/product/nature-valley-sweet-salty-nut-roasted-mixed-nut-granola-bar-6-ct-7.4-oz-box/141601</t>
  </si>
  <si>
    <t>https://i5.peapod.com/c/GC/GC1UX.png</t>
  </si>
  <si>
    <t>Nature Valley Sweet &amp; Salty Nut Roasted Mixed Nut Granola Bar - 6 ct</t>
  </si>
  <si>
    <t>https://giantfoodstores.com/product/nature-valley-sweet-salty-nut-chewy-peanut-granola-bar-12-ct-14.4-oz-box/223428</t>
  </si>
  <si>
    <t>https://i5.peapod.com/c/M5/M5P47.png</t>
  </si>
  <si>
    <t>Nature Valley Sweet &amp; Salty Nut Chewy Peanut Granola Bar - 12 ct</t>
  </si>
  <si>
    <t>14.4 OZ BOX</t>
  </si>
  <si>
    <t>https://giantfoodstores.com/product/nature-valley-sweet-salty-nut-chewy-cashew-granola-bar-12-ct-14.4-oz-box/273803</t>
  </si>
  <si>
    <t>https://i5.peapod.com/c/MO/MOR6V.png</t>
  </si>
  <si>
    <t>Nature Valley Sweet &amp; Salty Nut Chewy Cashew Granola Bar - 12 ct</t>
  </si>
  <si>
    <t>https://giantfoodstores.com/product/nature-valley-chewy-trail-mix-granola-bars-fruit-nut-12-ct-14.4-oz-box/278253</t>
  </si>
  <si>
    <t>https://i5.peapod.com/c/TJ/TJ6IY.png</t>
  </si>
  <si>
    <t>Nature Valley Chewy Trail Mix Granola Bars Fruit &amp; Nut - 12 ct</t>
  </si>
  <si>
    <t>https://giantfoodstores.com/product/nature-valley-crunchy-cinnamon-granola-bars-12-ct-8.94-oz-box/371234</t>
  </si>
  <si>
    <t>https://i5.peapod.com/c/N5/N5IC9.png</t>
  </si>
  <si>
    <t>Nature Valley Crunchy Cinnamon Granola Bars - 12 ct</t>
  </si>
  <si>
    <t>https://giantfoodstores.com/product/nature-valley-crunchy-granola-bars-variety-pack-24-ct-17.8-oz-box/158644</t>
  </si>
  <si>
    <t>https://i5.peapod.com/c/47/47F9N.png</t>
  </si>
  <si>
    <t>Nature Valley Crunchy Granola Bars Variety Pack - 24 ct</t>
  </si>
  <si>
    <t>https://giantfoodstores.com/product/nature-valley-chewy-sweet-salty-nut-granola-bar-variety-pack-24-ct-28.8-oz-box/306524</t>
  </si>
  <si>
    <t>https://i5.peapod.com/c/60/60CFT.png</t>
  </si>
  <si>
    <t>Nature Valley Chewy Sweet &amp; Salty Nut Granola Bar Variety Pack - 24 ct</t>
  </si>
  <si>
    <t>28.8 OZ BOX</t>
  </si>
  <si>
    <t>https://giantfoodstores.com/product/nature-valley-sweet-salty-nut-chewy-almond-granola-bar-12-ct-14.4-oz-box/332152</t>
  </si>
  <si>
    <t>https://i5.peapod.com/c/59/591ZU.png</t>
  </si>
  <si>
    <t>Nature Valley Sweet &amp; Salty Nut Chewy Almond Granola Bar - 12 ct</t>
  </si>
  <si>
    <t>https://giantfoodstores.com/product/nature-valley-dipped-double-chocolate-granola-11-oz-pkg/372974</t>
  </si>
  <si>
    <t>https://i5.peapod.com/c/3A/3AOT5.png</t>
  </si>
  <si>
    <t>Nature Valley Dipped Double Chocolate Granola</t>
  </si>
  <si>
    <t>https://giantfoodstores.com/product/cheerios-gluten-free-honey-nut-cereal-large-size-15.4-oz-box/1182</t>
  </si>
  <si>
    <t>https://i5.peapod.com/c/JT/JTC24.png</t>
  </si>
  <si>
    <t>Cheerios Gluten Free Honey Nut Cereal Large Size</t>
  </si>
  <si>
    <t>Cheerios</t>
  </si>
  <si>
    <t>15.4 OZ BOX</t>
  </si>
  <si>
    <t>https://giantfoodstores.com/product/cheerios-gluten-free-honey-nut-cereal-10.8-oz-box/1179</t>
  </si>
  <si>
    <t>https://i5.peapod.com/c/DB/DB9SX.png</t>
  </si>
  <si>
    <t>Cheerios Gluten Free Honey Nut Cereal</t>
  </si>
  <si>
    <t>10.8 OZ BOX</t>
  </si>
  <si>
    <t>$0.44 /OZ</t>
  </si>
  <si>
    <t>https://giantfoodstores.com/product/cheerios-gluten-free-cereal-large-size-12-oz-box/1180</t>
  </si>
  <si>
    <t>https://i5.peapod.com/c/PQ/PQ2V5.png</t>
  </si>
  <si>
    <t>Cheerios Gluten Free Cereal Large Size</t>
  </si>
  <si>
    <t>https://giantfoodstores.com/product/cheerios-gluten-free-cereal-8.9-oz-box/1178</t>
  </si>
  <si>
    <t>https://i5.peapod.com/c/LW/LWO0V.png</t>
  </si>
  <si>
    <t>Cheerios Gluten Free Cereal</t>
  </si>
  <si>
    <t>https://giantfoodstores.com/product/cheerios-gluten-free-multigrain-cereal-large-size-12-oz-box/13426</t>
  </si>
  <si>
    <t>https://i5.peapod.com/c/VW/VW8TF.png</t>
  </si>
  <si>
    <t>Cheerios Gluten Free Multigrain Cereal Large Size</t>
  </si>
  <si>
    <t>https://giantfoodstores.com/product/cheerios-gluten-free-honey-nut-cereal-cup-1.8-oz-cup/158517</t>
  </si>
  <si>
    <t>https://i5.peapod.com/c/Z9/Z9UQM.png</t>
  </si>
  <si>
    <t>Cheerios Gluten Free Honey Nut Cereal Cup</t>
  </si>
  <si>
    <t>1.8 OZ CUP</t>
  </si>
  <si>
    <t>https://giantfoodstores.com/product/cheerios-gluten-free-cereal-family-size-18-oz-box/1181</t>
  </si>
  <si>
    <t>https://i5.peapod.com/c/HM/HMEQJ.png</t>
  </si>
  <si>
    <t>Cheerios Gluten Free Cereal Family Size</t>
  </si>
  <si>
    <t>18 OZ BOX</t>
  </si>
  <si>
    <t>https://giantfoodstores.com/product/cheerios-gluten-free-multigrain-cereal-9-oz-box/13427</t>
  </si>
  <si>
    <t>https://i5.peapod.com/c/XO/XOYBE.png</t>
  </si>
  <si>
    <t>Cheerios Gluten Free Multigrain Cereal</t>
  </si>
  <si>
    <t>https://giantfoodstores.com/product/cheerios-gluten-free-honey-nut-cereal-family-size-18.8-oz-box/308190</t>
  </si>
  <si>
    <t>https://i5.peapod.com/c/OU/OU1KM.png</t>
  </si>
  <si>
    <t>Cheerios Gluten Free Honey Nut Cereal Family Size</t>
  </si>
  <si>
    <t>18.8 OZ BOX</t>
  </si>
  <si>
    <t>https://giantfoodstores.com/product/cheerios-gluten-free-protein-cinnamon-cereal-large-size-11.2-oz-box/372359</t>
  </si>
  <si>
    <t>https://i5.peapod.com/c/V3/V35Z6.png</t>
  </si>
  <si>
    <t>Cheerios Gluten Free Protein Cinnamon Cereal Large Size</t>
  </si>
  <si>
    <t>11.2 OZ BOX</t>
  </si>
  <si>
    <t>https://giantfoodstores.com/product/cheerios-gluten-free-cereal-cup-1.3-oz-cup/158515</t>
  </si>
  <si>
    <t>https://i5.peapod.com/c/5B/5BA83.png</t>
  </si>
  <si>
    <t>Cheerios Gluten Free Cereal Cup</t>
  </si>
  <si>
    <t>1.3 OZ CUP</t>
  </si>
  <si>
    <t>$0.77 /OZ</t>
  </si>
  <si>
    <t>https://giantfoodstores.com/product/cheerios-cinnamon-oat-crunch-cereal-large-size-18.2-oz-box/228730</t>
  </si>
  <si>
    <t>https://i5.peapod.com/c/87/872V4.png</t>
  </si>
  <si>
    <t>Cheerios Cinnamon Oat Crunch Cereal Large Size</t>
  </si>
  <si>
    <t>18.2 OZ BOX</t>
  </si>
  <si>
    <t>https://giantfoodstores.com/product/cheerios-gluten-free-protein-strawberry-cereal-large-size-11.2-oz-box/371106</t>
  </si>
  <si>
    <t>https://i5.peapod.com/c/SJ/SJUHQ.png</t>
  </si>
  <si>
    <t>Cheerios Gluten Free Protein Strawberry Cereal Large Size</t>
  </si>
  <si>
    <t>https://giantfoodstores.com/product/cheerios-oats-n-honey-oat-crunch-cereal-large-size-18.2-oz-box/282394</t>
  </si>
  <si>
    <t>https://i5.peapod.com/c/GL/GLF2A.png</t>
  </si>
  <si>
    <t>Cheerios Oats 'N Honey Oat Crunch Cereal Large Size</t>
  </si>
  <si>
    <t>https://giantfoodstores.com/product/cheerios-gluten-free-apple-cinnamon-cereal-large-size-14.2-oz-box/282374</t>
  </si>
  <si>
    <t>https://i5.peapod.com/c/YE/YEUYB.png</t>
  </si>
  <si>
    <t>Cheerios Gluten Free Apple Cinnamon Cereal Large Size</t>
  </si>
  <si>
    <t>14.2 OZ BOX</t>
  </si>
  <si>
    <t>https://giantfoodstores.com/product/cheerios-gluten-free-fruity-cereal-large-size-14.2-oz-box/283242</t>
  </si>
  <si>
    <t>https://i5.peapod.com/c/IN/INI6C.png</t>
  </si>
  <si>
    <t>Cheerios Gluten Free Fruity Cereal Large Size</t>
  </si>
  <si>
    <t>https://giantfoodstores.com/product/cheerios-gluten-free-frosted-cereal-large-size-13.5-oz-box/282380</t>
  </si>
  <si>
    <t>https://i5.peapod.com/c/LF/LF1GB.png</t>
  </si>
  <si>
    <t>Cheerios Gluten Free Frosted Cereal Large Size</t>
  </si>
  <si>
    <t>13.5 OZ BOX</t>
  </si>
  <si>
    <t>https://giantfoodstores.com/product/cheerios-gluten-free-multigrain-cereal-family-size-18-oz-box/308267</t>
  </si>
  <si>
    <t>https://i5.peapod.com/c/YB/YBKMN.png</t>
  </si>
  <si>
    <t>Cheerios Gluten Free Multigrain Cereal Family Size</t>
  </si>
  <si>
    <t>https://giantfoodstores.com/product/cheerios-almond-oat-crunch-cereal-large-size-18.2-oz-box/309400</t>
  </si>
  <si>
    <t>https://i5.peapod.com/c/8I/8I6HH.png</t>
  </si>
  <si>
    <t>Cheerios Almond Oat Crunch Cereal Large Size</t>
  </si>
  <si>
    <t>https://giantfoodstores.com/product/cheerios-gluten-free-chocolate-cereal-large-size-14.3-oz-box/283241</t>
  </si>
  <si>
    <t>https://i5.peapod.com/c/WK/WKWM4.png</t>
  </si>
  <si>
    <t>Cheerios Gluten Free Chocolate Cereal Large Size</t>
  </si>
  <si>
    <t>14.3 OZ BOX</t>
  </si>
  <si>
    <t>https://giantfoodstores.com/product/cheerios-gluten-free-apple-cinnamon-cereal-family-size-19-oz-box/310123</t>
  </si>
  <si>
    <t>https://i5.peapod.com/c/S0/S07QN.png</t>
  </si>
  <si>
    <t>Cheerios Gluten Free Apple Cinnamon Cereal Family Size</t>
  </si>
  <si>
    <t>https://giantfoodstores.com/product/cheerios-gluten-free-very-berry-cereal-large-size-14.5-oz-box/282662</t>
  </si>
  <si>
    <t>https://i5.peapod.com/c/05/05FAQ.png</t>
  </si>
  <si>
    <t>Cheerios Gluten Free Very Berry Cereal Large Size</t>
  </si>
  <si>
    <t>https://giantfoodstores.com/product/cheerios-honey-nut-treat-bars-8-ct-6.8-oz-box/275967</t>
  </si>
  <si>
    <t>https://i5.peapod.com/c/VV/VVKCW.png</t>
  </si>
  <si>
    <t>Cheerios Honey Nut Treat Bars - 8 ct</t>
  </si>
  <si>
    <t>6.8 OZ BOX</t>
  </si>
  <si>
    <t>https://giantfoodstores.com/product/cheerios-gluten-free-limited-edition-strawberry-banana-cereal-large-size-14.9-oz-box/319187</t>
  </si>
  <si>
    <t>https://i5.peapod.com/c/0I/0IU6S.png</t>
  </si>
  <si>
    <t>Cheerios Gluten Free Limited Edition Strawberry Banana Cereal Large Size</t>
  </si>
  <si>
    <t>14.9 OZ BOX</t>
  </si>
  <si>
    <t>https://giantfoodstores.com/product/cheerios-maple-cinnamon-hearty-nut-medley-cereal-large-size-14.7-oz-box/355552</t>
  </si>
  <si>
    <t>https://i5.peapod.com/c/V2/V2LH6.png</t>
  </si>
  <si>
    <t>Cheerios Maple Cinnamon Hearty Nut Medley Cereal Large Size</t>
  </si>
  <si>
    <t>14.7 OZ BOX</t>
  </si>
  <si>
    <t>https://giantfoodstores.com/product/cheerios-cinnamon-oat-crunch-cereal-family-size-24-oz-box/322138</t>
  </si>
  <si>
    <t>https://i5.peapod.com/c/4Y/4YYI5.png</t>
  </si>
  <si>
    <t>Cheerios Cinnamon Oat Crunch Cereal Family Size</t>
  </si>
  <si>
    <t>https://giantfoodstores.com/product/cheerios-chocolate-oat-crunch-cereal-large-size-18.2-oz-box/373807</t>
  </si>
  <si>
    <t>https://i5.peapod.com/c/FD/FDDSG.png</t>
  </si>
  <si>
    <t>Cheerios Chocolate Oat Crunch Cereal Large Size</t>
  </si>
  <si>
    <t>https://giantfoodstores.com/product/cheerios-gluten-free-honey-nut-cereal-32-oz-bag/343570</t>
  </si>
  <si>
    <t>https://i5.peapod.com/c/B7/B7U5E.png</t>
  </si>
  <si>
    <t>https://giantfoodstores.com/product/cheerios-gluten-free-veggie-blends-apple-strawberry-cereal-10.6-oz-box/367309</t>
  </si>
  <si>
    <t>https://i5.peapod.com/c/SB/SB9BW.png</t>
  </si>
  <si>
    <t>Cheerios Gluten Free Veggie Blends Apple Strawberry Cereal</t>
  </si>
  <si>
    <t>10.6 OZ BOX</t>
  </si>
  <si>
    <t>https://giantfoodstores.com/product/cheerios-gluten-free-veggie-blends-blueberry-banana-cereal-10.6-oz-box/367310</t>
  </si>
  <si>
    <t>https://i5.peapod.com/c/J0/J073H.png</t>
  </si>
  <si>
    <t>Cheerios Gluten Free Veggie Blends Blueberry Banana Cereal</t>
  </si>
  <si>
    <t>https://giantfoodstores.com/product/cheerios-chocolate-peanut-butter-cereal-large-size-14.2-oz-box/282929</t>
  </si>
  <si>
    <t>https://i5.peapod.com/c/25/25V71.png</t>
  </si>
  <si>
    <t>Cheerios Chocolate Peanut Butter Cereal Large Size</t>
  </si>
  <si>
    <t>https://giantfoodstores.com/product/cheerios-limited-edition-gluten-free-frosted-lemon-cereal-10.9-oz-box/375931</t>
  </si>
  <si>
    <t>https://i5.peapod.com/c/KE/KE4EP.png</t>
  </si>
  <si>
    <t>Cheerios Limited Edition Gluten Free Frosted Lemon Cereal</t>
  </si>
  <si>
    <t>10.9 OZ BOX</t>
  </si>
  <si>
    <t>https://giantfoodstores.com/product/cheerios-gluten-free-minis-honey-nut-cereal-10.8-oz-box/356076</t>
  </si>
  <si>
    <t>https://i5.peapod.com/c/8Z/8Z1I7.png</t>
  </si>
  <si>
    <t>Cheerios Gluten Free Minis Honey Nut Cereal</t>
  </si>
  <si>
    <t>https://giantfoodstores.com/product/goya-dried-black-beans-16-oz-bag/14411</t>
  </si>
  <si>
    <t>https://i5.peapod.com/c/FY/FYOAN.jpg</t>
  </si>
  <si>
    <t>Goya Dried Black Beans</t>
  </si>
  <si>
    <t>Goya</t>
  </si>
  <si>
    <t>1 LB BAG</t>
  </si>
  <si>
    <t>https://giantfoodstores.com/product/goya-dried-pinto-beans-1-lb-bag/88100</t>
  </si>
  <si>
    <t>https://i5.peapod.com/c/20/20954.png</t>
  </si>
  <si>
    <t>Goya Dried Pinto Beans</t>
  </si>
  <si>
    <t>https://giantfoodstores.com/product/goya-dried-chick-peas-16-oz-bag/14405</t>
  </si>
  <si>
    <t>https://i5.peapod.com/c/IP/IPNNO.jpg</t>
  </si>
  <si>
    <t>Goya Dried Chick Peas</t>
  </si>
  <si>
    <t>https://giantfoodstores.com/product/goya-dried-green-split-peas-16-oz-bag/14408</t>
  </si>
  <si>
    <t>https://i5.peapod.com/c/E9/E9LIC.png</t>
  </si>
  <si>
    <t>Goya Dried Green Split Peas</t>
  </si>
  <si>
    <t>https://giantfoodstores.com/product/goya-dried-lentils-16-oz-bag/14410</t>
  </si>
  <si>
    <t>https://i5.peapod.com/c/NI/NITMU.jpg</t>
  </si>
  <si>
    <t>Goya Dried Lentils</t>
  </si>
  <si>
    <t>https://giantfoodstores.com/product/goya-dried-black-eye-peas-16-oz-bag/167653</t>
  </si>
  <si>
    <t>https://i5.peapod.com/c/GM/GMBUS.jpg</t>
  </si>
  <si>
    <t>Goya Dried Black Eye Peas</t>
  </si>
  <si>
    <t>https://giantfoodstores.com/product/goya-organics-low-sodium-cannellini-beans-15.5-oz-can/309855</t>
  </si>
  <si>
    <t>https://i5.peapod.com/c/MU/MUQX6.png</t>
  </si>
  <si>
    <t>Goya Organics Low Sodium Cannellini Beans</t>
  </si>
  <si>
    <t>https://giantfoodstores.com/product/goya-prime-premium-red-kidney-beans-15.5-oz-can/14538</t>
  </si>
  <si>
    <t>https://i5.peapod.com/c/BJ/BJDG1.png</t>
  </si>
  <si>
    <t>Goya Prime Premium Red Kidney Beans</t>
  </si>
  <si>
    <t>15.5 OZ CAN</t>
  </si>
  <si>
    <t>https://giantfoodstores.com/product/goya-cannellini-white-kidney-beans-15.5-oz-can/78562</t>
  </si>
  <si>
    <t>https://i5.peapod.com/c/HI/HIBR1.png</t>
  </si>
  <si>
    <t>Goya Cannellini White Kidney Beans</t>
  </si>
  <si>
    <t>https://giantfoodstores.com/product/goya-dark-kidney-beans-15.5-oz-can/78561</t>
  </si>
  <si>
    <t>https://i5.peapod.com/c/81/81ABU.png</t>
  </si>
  <si>
    <t>Goya Dark Kidney Beans</t>
  </si>
  <si>
    <t>https://giantfoodstores.com/product/goya-organics-low-sodium-red-kidney-beans-15.5-oz-can/272428</t>
  </si>
  <si>
    <t>https://i5.peapod.com/c/1U/1U11Y.png</t>
  </si>
  <si>
    <t>Goya Organics Low Sodium Red Kidney Beans</t>
  </si>
  <si>
    <t>https://giantfoodstores.com/product/goya-black-beans-15.5-oz-can/14334</t>
  </si>
  <si>
    <t>https://i5.peapod.com/c/N8/N8JWI.png</t>
  </si>
  <si>
    <t>Goya Black Beans</t>
  </si>
  <si>
    <t>https://giantfoodstores.com/product/goya-low-sodium-black-beans-15.5-oz-can/137622</t>
  </si>
  <si>
    <t>https://i5.peapod.com/c/VD/VDYXU.jpg</t>
  </si>
  <si>
    <t>Goya Low Sodium Black Beans</t>
  </si>
  <si>
    <t>https://giantfoodstores.com/product/goya-prime-premium-pinto-beans-15.5-oz-can/14335</t>
  </si>
  <si>
    <t>https://i5.peapod.com/c/RV/RV4M5.png</t>
  </si>
  <si>
    <t>Goya Prime Premium Pinto Beans</t>
  </si>
  <si>
    <t>https://giantfoodstores.com/product/goya-organics-black-beans-with-sea-salt-15.5-oz-can/254727</t>
  </si>
  <si>
    <t>https://i5.peapod.com/c/7B/7BYFS.png</t>
  </si>
  <si>
    <t>Goya Organics Black Beans with Sea Salt</t>
  </si>
  <si>
    <t>https://giantfoodstores.com/product/goya-organics-low-sodium-pinto-beans-15.5-oz-can/272426</t>
  </si>
  <si>
    <t>https://i5.peapod.com/c/RB/RB8CT.png</t>
  </si>
  <si>
    <t>Goya Organics Low Sodium Pinto Beans</t>
  </si>
  <si>
    <t>https://giantfoodstores.com/product/goya-black-beans-29-oz-can/78565</t>
  </si>
  <si>
    <t>https://i5.peapod.com/c/LJ/LJ3XI.png</t>
  </si>
  <si>
    <t>https://giantfoodstores.com/product/goya-traditional-refried-pinto-beans-16-oz-can/136937</t>
  </si>
  <si>
    <t>https://i5.peapod.com/c/A6/A6LBL.jpg</t>
  </si>
  <si>
    <t>Goya Traditional Refried Pinto Beans</t>
  </si>
  <si>
    <t>https://giantfoodstores.com/product/goya-prime-premium-low-sodium-pinto-beans-15.5-oz-can/137795</t>
  </si>
  <si>
    <t>https://i5.peapod.com/c/8T/8TFDZ.jpg</t>
  </si>
  <si>
    <t>Goya Prime Premium Low Sodium Pinto Beans</t>
  </si>
  <si>
    <t>https://giantfoodstores.com/product/goya-vegan-rancheros-refried-beans-16-oz-can/169782</t>
  </si>
  <si>
    <t>https://i5.peapod.com/c/QR/QR54Q.png</t>
  </si>
  <si>
    <t>Goya Vegan Rancheros Refried Beans</t>
  </si>
  <si>
    <t>https://giantfoodstores.com/product/goya-garbanzos-chickpeas-15.5-oz-can/43365</t>
  </si>
  <si>
    <t>https://i5.peapod.com/c/U6/U6VNY.jpg</t>
  </si>
  <si>
    <t>Goya Garbanzos Chickpeas</t>
  </si>
  <si>
    <t>https://giantfoodstores.com/product/goya-premium-pink-beans-15.5-oz-can/14333</t>
  </si>
  <si>
    <t>https://i5.peapod.com/c/OP/OPQFA.jpg</t>
  </si>
  <si>
    <t>Goya Premium Pink Beans</t>
  </si>
  <si>
    <t>https://giantfoodstores.com/product/goya-premium-small-white-beans-15.5-oz-can/263074</t>
  </si>
  <si>
    <t>https://i5.peapod.com/c/KW/KW7HW.jpg</t>
  </si>
  <si>
    <t>Goya Premium Small White Beans</t>
  </si>
  <si>
    <t>https://giantfoodstores.com/product/goya-organics-garbanzos-chickpeas-15.5-oz-can/257084</t>
  </si>
  <si>
    <t>https://i5.peapod.com/c/FC/FCEEW.png</t>
  </si>
  <si>
    <t>Goya Organics Garbanzos Chickpeas</t>
  </si>
  <si>
    <t>https://giantfoodstores.com/product/goya-low-sodium-garbanzos-chickpeas-15.5-oz-can/137794</t>
  </si>
  <si>
    <t>https://i5.peapod.com/c/26/26NPL.png</t>
  </si>
  <si>
    <t>Goya Low Sodium Garbanzos Chickpeas</t>
  </si>
  <si>
    <t>https://giantfoodstores.com/product/goya-prime-premium-small-red-beans-15.5-oz-can/78566</t>
  </si>
  <si>
    <t>https://i5.peapod.com/c/U7/U7KKW.png</t>
  </si>
  <si>
    <t>Goya Prime Premium Small Red Beans</t>
  </si>
  <si>
    <t>https://giantfoodstores.com/product/goya-premium-navy-beans-15.5-oz-can/169721</t>
  </si>
  <si>
    <t>https://i5.peapod.com/c/Q5/Q5SI6.jpg</t>
  </si>
  <si>
    <t>Goya Premium Navy Beans</t>
  </si>
  <si>
    <t>https://giantfoodstores.com/product/goya-garbanzos-chickpeas-29-oz-can/78578</t>
  </si>
  <si>
    <t>https://i5.peapod.com/c/NG/NGTN4.png</t>
  </si>
  <si>
    <t>https://giantfoodstores.com/product/goya-prime-premium-low-sodium-pink-beans-15.5-oz-can/137624</t>
  </si>
  <si>
    <t>https://i5.peapod.com/c/IZ/IZV0L.jpg</t>
  </si>
  <si>
    <t>Goya Prime Premium Low Sodium Pink Beans</t>
  </si>
  <si>
    <t>https://giantfoodstores.com/product/goya-premium-roman-beans-15.5-oz-can/78571</t>
  </si>
  <si>
    <t>https://i5.peapod.com/c/5X/5XY8S.jpg</t>
  </si>
  <si>
    <t>Goya Premium Roman Beans</t>
  </si>
  <si>
    <t>https://giantfoodstores.com/product/goya-green-pigeon-peas-gandules-verdes-15-oz-can/43366</t>
  </si>
  <si>
    <t>https://i5.peapod.com/c/93/93D2K.png</t>
  </si>
  <si>
    <t>Goya Green Pigeon Peas (Gandules Verdes)</t>
  </si>
  <si>
    <t>https://giantfoodstores.com/product/goya-seasoned-yellow-rice-red-beans-7-oz-box/169787</t>
  </si>
  <si>
    <t>https://i5.peapod.com/c/MZ/MZSZE.jpg</t>
  </si>
  <si>
    <t>Goya Seasoned Yellow Rice &amp; Red Beans</t>
  </si>
  <si>
    <t>https://giantfoodstores.com/product/goya-black-bean-soup-15-oz-can/14338</t>
  </si>
  <si>
    <t>https://i5.peapod.com/c/SB/SB92W.jpg</t>
  </si>
  <si>
    <t>Goya Black Bean Soup</t>
  </si>
  <si>
    <t>https://giantfoodstores.com/product/goya-seasoned-rice-red-beans-7-oz-box/71824</t>
  </si>
  <si>
    <t>https://i5.peapod.com/c/KD/KD2A3.png</t>
  </si>
  <si>
    <t>Goya Seasoned Rice &amp; Red Beans</t>
  </si>
  <si>
    <t>https://giantfoodstores.com/product/goya-rice-black-beans-7-oz-pkg/235641</t>
  </si>
  <si>
    <t>https://i5.peapod.com/c/6Q/6QEDQ.png</t>
  </si>
  <si>
    <t>Goya Rice &amp; Black Beans</t>
  </si>
  <si>
    <t>https://giantfoodstores.com/product/goya-sofrito-tomato-cooking-base-for-rice-beans-soups-stews-12-oz-jar/42862</t>
  </si>
  <si>
    <t>https://i5.peapod.com/c/3E/3EZPE.png</t>
  </si>
  <si>
    <t>Goya Sofrito (Tomato Cooking Base for Rice, Beans, Soups &amp; Stews)</t>
  </si>
  <si>
    <t>https://giantfoodstores.com/product/birds-eye-steamfresh-super-sweet-corn-frozen-10-oz-bag/140212</t>
  </si>
  <si>
    <t>https://i5.peapod.com/c/N8/N85NG.png</t>
  </si>
  <si>
    <t>Birds Eye Steamfresh Super Sweet Corn Frozen</t>
  </si>
  <si>
    <t>Birds Eye</t>
  </si>
  <si>
    <t>10 OZ BAG</t>
  </si>
  <si>
    <t>https://giantfoodstores.com/product/birds-eye-steamfresh-sweet-peas-frozen-10-oz-bag/140213</t>
  </si>
  <si>
    <t>https://i5.peapod.com/c/M8/M8QTW.png</t>
  </si>
  <si>
    <t>Birds Eye Steamfresh Sweet Peas Frozen</t>
  </si>
  <si>
    <t>https://giantfoodstores.com/product/birds-eye-steamfresh-broccoli-florets-frozen-10.8-oz-bag/145637</t>
  </si>
  <si>
    <t>https://i5.peapod.com/c/YV/YVWW2.png</t>
  </si>
  <si>
    <t>Birds Eye Steamfresh Broccoli Florets Frozen</t>
  </si>
  <si>
    <t>https://giantfoodstores.com/product/birds-eye-steamfresh-mixed-vegetables-frozen-10-oz-bag/149859</t>
  </si>
  <si>
    <t>https://i5.peapod.com/c/5C/5CAIN.png</t>
  </si>
  <si>
    <t>Birds Eye Steamfresh Mixed Vegetables Frozen</t>
  </si>
  <si>
    <t>https://giantfoodstores.com/product/birds-eye-steamfresh-cut-green-beans-frozen-10-oz-bag/140214</t>
  </si>
  <si>
    <t>https://i5.peapod.com/c/LL/LL6UC.png</t>
  </si>
  <si>
    <t>Birds Eye Steamfresh Cut Green Beans Frozen</t>
  </si>
  <si>
    <t>https://giantfoodstores.com/product/birds-eye-steamfresh-broccoli-cuts-frozen-10.8-oz-bag/140211</t>
  </si>
  <si>
    <t>https://i5.peapod.com/c/C5/C5ULK.png</t>
  </si>
  <si>
    <t>Birds Eye Steamfresh Broccoli Cuts Frozen</t>
  </si>
  <si>
    <t>https://giantfoodstores.com/product/birds-eye-baby-broccoli-florets-frozen-12.6-oz-bag/77467</t>
  </si>
  <si>
    <t>https://i5.peapod.com/c/MS/MSP6N.png</t>
  </si>
  <si>
    <t>Birds Eye Baby Broccoli Florets Frozen</t>
  </si>
  <si>
    <t>12.6 OZ BAG</t>
  </si>
  <si>
    <t>https://giantfoodstores.com/product/birds-eye-steamfresh-edamame-in-the-pod-frozen-10-oz-bag/187876</t>
  </si>
  <si>
    <t>https://i5.peapod.com/c/EO/EOXNK.png</t>
  </si>
  <si>
    <t>Birds Eye Steamfresh Edamame in the Pod Frozen</t>
  </si>
  <si>
    <t>https://giantfoodstores.com/product/birds-eye-steamfresh-gold-white-corn-frozen-10.8-oz-bag/148844</t>
  </si>
  <si>
    <t>https://i5.peapod.com/c/RV/RVLZL.png</t>
  </si>
  <si>
    <t>Birds Eye Steamfresh Gold &amp; White Corn Frozen</t>
  </si>
  <si>
    <t>https://giantfoodstores.com/product/birds-eye-steamfresh-long-grain-white-rice-frozen-10-oz-bag/149122</t>
  </si>
  <si>
    <t>https://i5.peapod.com/c/G2/G2152.png</t>
  </si>
  <si>
    <t>Birds Eye Steamfresh Long Grain White Rice Frozen</t>
  </si>
  <si>
    <t>https://giantfoodstores.com/product/birds-eye-steamfresh-broccoli-cauliflower-frozen-10.8-oz-bag/163048</t>
  </si>
  <si>
    <t>https://i5.peapod.com/c/X9/X9SEA.png</t>
  </si>
  <si>
    <t>Birds Eye Steamfresh Broccoli &amp; Cauliflower Frozen</t>
  </si>
  <si>
    <t>https://giantfoodstores.com/product/birds-eye-baby-sweet-peas-frozen-13-oz-bag/77465</t>
  </si>
  <si>
    <t>https://i5.peapod.com/c/H2/H2F3Q.png</t>
  </si>
  <si>
    <t>Birds Eye Baby Sweet Peas Frozen</t>
  </si>
  <si>
    <t>13 OZ BAG</t>
  </si>
  <si>
    <t>https://giantfoodstores.com/product/birds-eye-steamfresh-broccoli-cauliflower-carrots-frozen-10.8-oz-bag/142378</t>
  </si>
  <si>
    <t>https://i5.peapod.com/c/3F/3FC68.png</t>
  </si>
  <si>
    <t>Birds Eye Steamfresh Broccoli Cauliflower &amp; Carrots Frozen</t>
  </si>
  <si>
    <t>https://giantfoodstores.com/product/birds-eye-steamfresh-broccoli-carrots-sugar-snap-peas-water-chestnuts-10.8-oz-bag/144387</t>
  </si>
  <si>
    <t>https://i5.peapod.com/c/JY/JYM2J.png</t>
  </si>
  <si>
    <t>Birds Eye Steamfresh Broccoli Carrots Sugar Snap Peas &amp; Water Chestnuts</t>
  </si>
  <si>
    <t>https://giantfoodstores.com/product/birds-eye-steamfresh-long-grain-white-rice-with-mixed-vegetables-frozen-10-oz-bag/148843</t>
  </si>
  <si>
    <t>https://i5.peapod.com/c/8B/8BLF4.png</t>
  </si>
  <si>
    <t>Birds Eye Steamfresh Long Grain White Rice with Mixed Vegetables Frozen</t>
  </si>
  <si>
    <t>https://giantfoodstores.com/product/birds-eye-tri-colored-pepper-onion-medley-frozen-14.4-oz-bag/163039</t>
  </si>
  <si>
    <t>https://i5.peapod.com/c/NM/NMB63.png</t>
  </si>
  <si>
    <t>Birds Eye Tri-Colored Pepper &amp; Onion Medley Frozen</t>
  </si>
  <si>
    <t>14.4 OZ BAG</t>
  </si>
  <si>
    <t>https://giantfoodstores.com/product/birds-eye-steamfresh-sauced-cheesy-pasta-broccoli-frozen-10.8-oz-bag/155772</t>
  </si>
  <si>
    <t>https://i5.peapod.com/c/TU/TUYTM.png</t>
  </si>
  <si>
    <t>Birds Eye Steamfresh Sauced Cheesy Pasta &amp; Broccoli Frozen</t>
  </si>
  <si>
    <t>https://giantfoodstores.com/product/birds-eye-baby-gold-white-corn-frozen-14.4-oz-bag/77464</t>
  </si>
  <si>
    <t>https://i5.peapod.com/c/3R/3RHUE.png</t>
  </si>
  <si>
    <t>Birds Eye Baby Gold &amp; White Corn Frozen</t>
  </si>
  <si>
    <t>https://giantfoodstores.com/product/birds-eye-steamfresh-whole-green-beans-frozen-10.8-oz-bag/145638</t>
  </si>
  <si>
    <t>https://i5.peapod.com/c/EO/EO1PO.png</t>
  </si>
  <si>
    <t>Birds Eye Steamfresh Whole Green Beans Frozen</t>
  </si>
  <si>
    <t>https://giantfoodstores.com/product/birds-eye-steamfresh-whole-grain-brown-rice-frozen-10-oz-bag/148842</t>
  </si>
  <si>
    <t>https://i5.peapod.com/c/PA/PADDC.png</t>
  </si>
  <si>
    <t>Birds Eye Steamfresh Whole Grain Brown Rice Frozen</t>
  </si>
  <si>
    <t>https://giantfoodstores.com/product/birds-eye-steamfresh-baby-broccoli-blend-frozen-10.8-oz-bag/165015</t>
  </si>
  <si>
    <t>https://i5.peapod.com/c/RH/RH0W3.png</t>
  </si>
  <si>
    <t>Birds Eye Steamfresh Baby Broccoli Blend Frozen</t>
  </si>
  <si>
    <t>https://giantfoodstores.com/product/birds-eye-steamfresh-whole-grain-rice-with-corn-carrots-peas-frozen-10-oz-bag/165529</t>
  </si>
  <si>
    <t>https://i5.peapod.com/c/HC/HCFF9.png</t>
  </si>
  <si>
    <t>Birds Eye Steamfresh Whole Grain Rice with Corn Carrots &amp; Peas Frozen</t>
  </si>
  <si>
    <t>https://giantfoodstores.com/product/birds-eye-steamfresh-gold-white-corn-carrots-asparagus-frozen-10.8-oz-bag/145639</t>
  </si>
  <si>
    <t>https://i5.peapod.com/c/XR/XRD5Y.png</t>
  </si>
  <si>
    <t>Birds Eye Steamfresh Gold &amp; White Corn Carrots &amp; Asparagus Frozen</t>
  </si>
  <si>
    <t>https://giantfoodstores.com/product/birds-eye-steamfresh-seasoned-asian-medley-frozen-10.8-oz-bag/142699</t>
  </si>
  <si>
    <t>https://i5.peapod.com/c/6D/6DPZG.png</t>
  </si>
  <si>
    <t>Birds Eye Steamfresh Seasoned Asian Medley Frozen</t>
  </si>
  <si>
    <t>https://giantfoodstores.com/product/birds-eye-steamfresh-sugar-snap-peas-frozen-10-oz-bag/165014</t>
  </si>
  <si>
    <t>https://i5.peapod.com/c/48/48AJB.png</t>
  </si>
  <si>
    <t>Birds Eye Steamfresh Sugar Snap Peas Frozen</t>
  </si>
  <si>
    <t>https://giantfoodstores.com/product/birds-eye-steamfresh-cheddar-cheese-rice-broccoli-frozen-10.8-oz-bag/330986</t>
  </si>
  <si>
    <t>https://i5.peapod.com/c/A5/A5P8P.png</t>
  </si>
  <si>
    <t>Birds Eye Steamfresh Cheddar Cheese Rice &amp; Broccoli Frozen</t>
  </si>
  <si>
    <t>https://giantfoodstores.com/product/birds-eye-steamfresh-sauced-butter-super-sweet-corn-frozen-10.8-oz-bag/155769</t>
  </si>
  <si>
    <t>https://i5.peapod.com/c/FG/FGZCS.png</t>
  </si>
  <si>
    <t>Birds Eye Steamfresh Sauced Butter Super Sweet Corn Frozen</t>
  </si>
  <si>
    <t>https://giantfoodstores.com/product/birds-eye-steamfresh-mixed-vegetables-family-size-frozen-19-oz-bag/165532</t>
  </si>
  <si>
    <t>https://i5.peapod.com/c/T2/T2UQV.png</t>
  </si>
  <si>
    <t>Birds Eye Steamfresh Mixed Vegetables Family Size Frozen</t>
  </si>
  <si>
    <t>19 OZ BAG</t>
  </si>
  <si>
    <t>https://giantfoodstores.com/product/birds-eye-steamfresh-super-sweet-corn-family-size-frozen-19-oz-bag/165531</t>
  </si>
  <si>
    <t>https://i5.peapod.com/c/JY/JYRH4.png</t>
  </si>
  <si>
    <t>Birds Eye Steamfresh Super Sweet Corn Family Size Frozen</t>
  </si>
  <si>
    <t>https://giantfoodstores.com/product/birds-eye-steamfresh-asparagus-spears-frozen-8-oz-bag/199085</t>
  </si>
  <si>
    <t>https://i5.peapod.com/c/JC/JCO9X.png</t>
  </si>
  <si>
    <t>Birds Eye Steamfresh Asparagus Spears Frozen</t>
  </si>
  <si>
    <t>https://giantfoodstores.com/product/birds-eye-steamfresh-sauced-creamed-spinach-frozen-10.8-oz-bag/163190</t>
  </si>
  <si>
    <t>https://i5.peapod.com/c/O9/O94V1.png</t>
  </si>
  <si>
    <t>Birds Eye Steamfresh Sauced Creamed Spinach Frozen</t>
  </si>
  <si>
    <t>https://giantfoodstores.com/product/birds-eye-steamfresh-original-riced-cauliflower-frozen-10-oz-bag/226380</t>
  </si>
  <si>
    <t>https://i5.peapod.com/c/KO/KOJTW.png</t>
  </si>
  <si>
    <t>Birds Eye Steamfresh Original Riced Cauliflower Frozen</t>
  </si>
  <si>
    <t>https://giantfoodstores.com/product/birds-eye-steamfresh-sauced-cheesy-broccoli-frozen-10.8-oz-bag/155768</t>
  </si>
  <si>
    <t>https://i5.peapod.com/c/8X/8XGUU.png</t>
  </si>
  <si>
    <t>Birds Eye Steamfresh Sauced Cheesy Broccoli Frozen</t>
  </si>
  <si>
    <t>https://giantfoodstores.com/product/birds-eye-steamfresh-sauced-parmesan-garlic-red-potatoes-green-beans-10.8-oz-bag/163193</t>
  </si>
  <si>
    <t>https://i5.peapod.com/c/RB/RBDZX.png</t>
  </si>
  <si>
    <t>Birds Eye Steamfresh Sauced Parmesan Garlic Red Potatoes &amp; Green Beans</t>
  </si>
  <si>
    <t>https://giantfoodstores.com/product/birds-eye-steamfresh-brussels-sprouts-frozen-10.8-oz-bag/155070</t>
  </si>
  <si>
    <t>https://i5.peapod.com/c/VG/VG173.png</t>
  </si>
  <si>
    <t>Birds Eye Steamfresh Brussels Sprouts Frozen</t>
  </si>
  <si>
    <t>https://giantfoodstores.com/product/birds-eye-lightly-breaded-crispy-green-beans-frozen-12-oz-bag/278891</t>
  </si>
  <si>
    <t>data:image/svg+xml;base64,PD94bWwgdmVyc2lvbj0iMS4wIiBlbmNvZGluZz0idXRmLTgiPz4KPCEtLSBHZW5lcmF0ZWQgYnkgSWNvTW9vbi5pbyAtLT4KPCFET0NUWVBFIHN2ZyBQVUJMSUMgIi0vL1czQy8vRFREIFNWRyAxLjEvL0VOIiAiaHR0cDovL3d3dy53My5vcmcvR3JhcGhpY3MvU1ZHLzEuMS9EVEQvc3ZnMTEuZHRkIj4KPHN2ZyB2ZXJzaW9uPSIxLjEiIHhtbG5zPSJodHRwOi8vd3d3LnczLm9yZy8yMDAwL3N2ZyIgeG1sbnM6eGxpbms9Imh0dHA6Ly93d3cudzMub3JnLzE5OTkveGxpbmsiIHdpZHRoPSI0OCIgaGVpZ2h0PSI0OCIgdmlld0JveD0iMCAwIDQ4IDQ4Ij4KPGcgaWQ9Imljb21vb24taWdub3JlIj4KCTxsaW5lIHN0cm9rZS13aWR0aD0iMSIgeDE9IiIgeTE9IiIgeDI9IiIgeTI9IiIgc3Ryb2tlPSIjNDQ5RkRCIiBvcGFjaXR5PSIiPjwvbGluZT4KPC9nPgoJPHBhdGggZD0iTTM4LjQ4IDkuMDcwYzAuMjQ4IDAgMC40NSAwLjIwMiAwLjQ1IDAuNDV2MjguOTU5YzAgMC4yNDgtMC4yMDIgMC40NS0wLjQ1IDAuNDVoLTI4Ljk1OWMtMC4yNDggMC0wLjQ1LTAuMjAyLTAuNDUtMC40NXYtMjguOTU5YzAtMC4yNDggMC4yMDItMC40NSAwLjQ1LTAuNDVoMjguOTU5ek0zOC40OCA4aC0yOC45NTljLTAuODQgMC0xLjUyIDAuNjgxLTEuNTIgMS41MjF2MjguOTU5YzAgMC44NCAwLjY4MSAxLjUyMSAxLjUyIDEuNTIxaDI4Ljk1OWMwLjg0IDAgMS41Mi0wLjY4MSAxLjUyLTEuNTIxdi0yOC45NTljMC0wLjg0LTAuNjgxLTEuNTIxLTEuNTItMS41MjF2MHoiIG9wYWNpdHk9IjEiIHZpc2liaWxpdHk9ImZhbHNlIiBmaWxsPSIjZDdkN2Q3Ij48L3BhdGg+Cgk8cGF0aCBkPSJNMTIuMjI4IDM1LjIyNHYtMy4zMjljMC0wLjE0NSAwLjA1OC0wLjI4NSAwLjE2LTAuMzg4bDUuNTg3LTUuNTg3YzAuMjE0LTAuMjE0IDAuNTYxLTAuMjE0IDAuNzc1IDBsMi4xMTkgMi4xMTljMC4yMTQgMC4yMTQgMC41NjEgMC4yMTQgMC43NzUgMGw4LjE5MS04LjE5MmMwLjIxNC0wLjIxNCAwLjU2MS0wLjIxNCAwLjc3NSAwbDUgNWMwLjEwMyAwLjEwMyAwLjE2IDAuMjQyIDAuMTYgMC4zODh2OS45ODhjMCAwLjMwMy0wLjI0NSAwLjU0OC0wLjU0OCAwLjU0OGgtMjIuNDQ3Yy0wLjMwMyAwLTAuNTQ4LTAuMjQ1LTAuNTQ4LTAuNTQ4eiIgb3BhY2l0eT0iMSIgdmlzaWJpbGl0eT0iZmFsc2UiIGZpbGw9IiNkN2Q3ZDciPjwvcGF0aD4KCTxwYXRoIGQ9Ik0yMS41NDQgMTcuOTY3YzAgMS45ODItMS42MDYgMy41ODgtMy41ODggMy41ODhzLTMuNTg4LTEuNjA2LTMuNTg4LTMuNTg4YzAtMS45ODEgMS42MDYtMy41ODggMy41ODgtMy41ODhzMy41ODggMS42MDYgMy41ODggMy41ODh6IiBvcGFjaXR5PSIxIiB2aXNpYmlsaXR5PSJmYWxzZSIgZmlsbD0iI2Q3ZDdkNyI+PC9wYXRoPgo8L3N2Zz4K</t>
  </si>
  <si>
    <t>Birds Eye Lightly Breaded Crispy Green Beans Frozen</t>
  </si>
  <si>
    <t>https://giantfoodstores.com/product/birds-eye-steamfresh-rainbow-cauliflower-frozen-9.5-oz-bag/314823</t>
  </si>
  <si>
    <t>Birds Eye Steamfresh Rainbow Cauliflower Frozen</t>
  </si>
  <si>
    <t>9.5 OZ BAG</t>
  </si>
  <si>
    <t>https://giantfoodstores.com/product/birds-eye-steamfresh-seasoned-southwestern-style-rice-w-vegetables-frozen-10-oz-bag/153425</t>
  </si>
  <si>
    <t>Birds Eye Steamfresh Seasoned Southwestern Style Rice w/Vegetables Frozen</t>
  </si>
  <si>
    <t>https://giantfoodstores.com/product/birds-eye-steamfresh-sauced-mushroom-green-bean-risotto-frozen-10-oz-bag/163191</t>
  </si>
  <si>
    <t>Birds Eye Steamfresh Sauced Mushroom &amp; Green Bean Risotto Frozen</t>
  </si>
  <si>
    <t>https://giantfoodstores.com/product/birds-eye-fire-roasted-corn-frozen-12-oz-bag/345958</t>
  </si>
  <si>
    <t>Birds Eye Fire Roasted Corn Frozen</t>
  </si>
  <si>
    <t>https://giantfoodstores.com/product/oreo-chocolate-sandwich-cookies-family-size-18.1-oz-pkg/192628</t>
  </si>
  <si>
    <t>https://i5.peapod.com/c/SK/SKJBB.png</t>
  </si>
  <si>
    <t>OREO Chocolate Sandwich Cookies Family Size</t>
  </si>
  <si>
    <t>18.1 OZ PKG</t>
  </si>
  <si>
    <t>https://giantfoodstores.com/product/oreo-double-stuf-golden-sandwich-cookies-family-size-18.7-oz-pkg/225916</t>
  </si>
  <si>
    <t>https://i5.peapod.com/c/25/25DFQ.png</t>
  </si>
  <si>
    <t>OREO Double Stuf Golden Sandwich Cookies Family Size</t>
  </si>
  <si>
    <t>18.7 OZ PKG</t>
  </si>
  <si>
    <t>https://giantfoodstores.com/product/oreo-golden-sandwich-cookies-family-size-18.1-oz-pkg/192629</t>
  </si>
  <si>
    <t>https://i5.peapod.com/c/YR/YRWTQ.png</t>
  </si>
  <si>
    <t>OREO Golden Sandwich Cookies Family Size</t>
  </si>
  <si>
    <t>https://giantfoodstores.com/product/oreo-chocolate-sandwich-cookies-13.2-oz-pkg/6207</t>
  </si>
  <si>
    <t>https://i5.peapod.com/c/R9/R9OKG.png</t>
  </si>
  <si>
    <t>OREO Chocolate Sandwich Cookies</t>
  </si>
  <si>
    <t>13.2 OZ PKG</t>
  </si>
  <si>
    <t>https://giantfoodstores.com/product/oreo-double-stuf-chocolate-sandwich-cookies-14-oz-pkg/6203</t>
  </si>
  <si>
    <t>https://i5.peapod.com/c/XK/XKPWY.png</t>
  </si>
  <si>
    <t>OREO Double Stuf Chocolate Sandwich Cookies</t>
  </si>
  <si>
    <t>14 OZ PKG</t>
  </si>
  <si>
    <t>https://giantfoodstores.com/product/oreo-mini-chocolate-sandwich-cookies-go-paks-3.5-oz-cup/197108</t>
  </si>
  <si>
    <t>https://i5.peapod.com/c/AN/AN9VB.png</t>
  </si>
  <si>
    <t>OREO Mini Chocolate Sandwich Cookies Go-Paks!</t>
  </si>
  <si>
    <t>3.5 OZ CUP</t>
  </si>
  <si>
    <t>https://giantfoodstores.com/product/oreo-mega-stuf-chocolate-sandwich-cookies-family-size-17.6-oz-pkg/256358</t>
  </si>
  <si>
    <t>https://i5.peapod.com/c/NK/NK2RY.png</t>
  </si>
  <si>
    <t>OREO Mega Stuf Chocolate Sandwich Cookies Family Size</t>
  </si>
  <si>
    <t>17.6 OZ PKG</t>
  </si>
  <si>
    <t>https://giantfoodstores.com/product/oreo-thins-chocolate-sandwich-cookies-family-size-11.7-oz-pkg/224674</t>
  </si>
  <si>
    <t>https://i5.peapod.com/c/G3/G302Y.png</t>
  </si>
  <si>
    <t>OREO Thins Chocolate Sandwich Cookies Family Size</t>
  </si>
  <si>
    <t>11.7 OZ PKG</t>
  </si>
  <si>
    <t>https://giantfoodstores.com/product/oreo-mini-chocolate-sandwich-cookies-recloseable-sak-8-oz-bag/119178</t>
  </si>
  <si>
    <t>https://i5.peapod.com/c/5V/5V67Y.png</t>
  </si>
  <si>
    <t>OREO Mini Chocolate Sandwich Cookies Recloseable Sak</t>
  </si>
  <si>
    <t>https://giantfoodstores.com/product/oreo-mint-creme-chocolate-sandwich-cookies-family-size-18.7-oz-pkg/225741</t>
  </si>
  <si>
    <t>https://i5.peapod.com/c/5R/5RJR7.png</t>
  </si>
  <si>
    <t>OREO Mint Creme Chocolate Sandwich Cookies Family Size</t>
  </si>
  <si>
    <t>https://giantfoodstores.com/product/oreo-gluten-free-double-stuf-chocolate-sandwich-cookies-12.4-oz-pkg/299608</t>
  </si>
  <si>
    <t>https://i5.peapod.com/c/IL/ILU62.png</t>
  </si>
  <si>
    <t>OREO Gluten Free Double Stuf Chocolate Sandwich Cookies</t>
  </si>
  <si>
    <t>12.4 OZ PKG</t>
  </si>
  <si>
    <t>https://giantfoodstores.com/product/oreo-peanut-butter-creme-chocolate-sandwich-cookies-family-size-17-oz-pkg/280012</t>
  </si>
  <si>
    <t>https://i5.peapod.com/c/G7/G72HO.png</t>
  </si>
  <si>
    <t>OREO Peanut Butter Creme Chocolate Sandwich Cookies Family Size</t>
  </si>
  <si>
    <t>17 OZ PKG</t>
  </si>
  <si>
    <t>https://giantfoodstores.com/product/oreo-lemon-creme-golden-sandwich-cookies-family-size-18.7-oz-pkg/222484</t>
  </si>
  <si>
    <t>https://i5.peapod.com/c/LR/LR2AI.png</t>
  </si>
  <si>
    <t>OREO Lemon Creme Golden Sandwich Cookies Family Size</t>
  </si>
  <si>
    <t>https://giantfoodstores.com/product/oreo-golden-sandwich-cookies-13.3-oz-pkg/134825</t>
  </si>
  <si>
    <t>https://i5.peapod.com/c/MA/MABVE.png</t>
  </si>
  <si>
    <t>OREO Golden Sandwich Cookies</t>
  </si>
  <si>
    <t>13.3 OZ PKG</t>
  </si>
  <si>
    <t>https://giantfoodstores.com/product/oreo-double-stuf-chocolate-sandwich-cookies-party-size-24.9-oz-pkg/227014</t>
  </si>
  <si>
    <t>https://i5.peapod.com/c/5Y/5Y2CH.png</t>
  </si>
  <si>
    <t>OREO Double Stuf Chocolate Sandwich Cookies Party Size</t>
  </si>
  <si>
    <t>24.9 OZ PKG</t>
  </si>
  <si>
    <t>https://giantfoodstores.com/product/oreo-gluten-free-chocolate-sandwich-cookies-12-oz-pkg/299607</t>
  </si>
  <si>
    <t>https://i5.peapod.com/c/4I/4IK5L.png</t>
  </si>
  <si>
    <t>OREO Gluten Free Chocolate Sandwich Cookies</t>
  </si>
  <si>
    <t>https://giantfoodstores.com/product/oreo-thins-mint-creme-chocolate-sandwich-cookies-family-size-11.7-oz-pkg/224675</t>
  </si>
  <si>
    <t>https://i5.peapod.com/c/L8/L8L5K.png</t>
  </si>
  <si>
    <t>OREO Thins Mint Creme Chocolate Sandwich Cookies Family Size</t>
  </si>
  <si>
    <t>https://giantfoodstores.com/product/oreo-birthday-cake-flavor-creme-chocolate-sandwich-cookies-family-size-17-oz-pkg/280008</t>
  </si>
  <si>
    <t>https://i5.peapod.com/c/CU/CUMOT.png</t>
  </si>
  <si>
    <t>OREO Birthday Cake Flavor Creme Chocolate Sandwich Cookies Family Size</t>
  </si>
  <si>
    <t>https://giantfoodstores.com/product/oreo-chocolate-creme-chocolate-sandwich-cookies-family-size-18.7-oz-pkg/255454</t>
  </si>
  <si>
    <t>https://i5.peapod.com/c/7B/7BGJE.png</t>
  </si>
  <si>
    <t>OREO Chocolate Creme Chocolate Sandwich Cookies Family Size</t>
  </si>
  <si>
    <t>https://giantfoodstores.com/product/oreo-thins-golden-sandwich-cookies-family-size-11.7-oz-pkg/280013</t>
  </si>
  <si>
    <t>https://i5.peapod.com/c/EO/EOIPU.png</t>
  </si>
  <si>
    <t>OREO Thins Golden Sandwich Cookies Family Size</t>
  </si>
  <si>
    <t>https://giantfoodstores.com/product/oreo-chocolate-sandwich-cookies-party-size-24.1-oz-pkg/227015</t>
  </si>
  <si>
    <t>https://i5.peapod.com/c/NZ/NZJP0.png</t>
  </si>
  <si>
    <t>OREO Chocolate Sandwich Cookies Party Size</t>
  </si>
  <si>
    <t>24.1 OZ PKG</t>
  </si>
  <si>
    <t>https://giantfoodstores.com/product/oreo-thins-lemon-creme-golden-sandwich-cookies-family-size-11.7-oz-pkg/280015</t>
  </si>
  <si>
    <t>https://i5.peapod.com/c/XK/XKH9V.png</t>
  </si>
  <si>
    <t>OREO Thins Lemon Creme Golden Sandwich Cookies Family Size</t>
  </si>
  <si>
    <t>https://giantfoodstores.com/product/oreo-gluten-free-golden-sandwich-cookies-12.08-oz-pkg/357531</t>
  </si>
  <si>
    <t>https://i5.peapod.com/c/L3/L395C.png</t>
  </si>
  <si>
    <t>OREO Gluten Free Golden Sandwich Cookies</t>
  </si>
  <si>
    <t>12.08 OZ PKG</t>
  </si>
  <si>
    <t>https://giantfoodstores.com/product/oreo-loaded-chocolate-sandwich-cookies-13.3-oz-pkg/375139</t>
  </si>
  <si>
    <t>https://i5.peapod.com/c/I8/I82SR.png</t>
  </si>
  <si>
    <t>OREO Loaded Chocolate Sandwich Cookies</t>
  </si>
  <si>
    <t>https://giantfoodstores.com/product/oreo-dark-chocolate-creme-chocolate-sandwich-cookies-family-size-17-oz-pkg/280011</t>
  </si>
  <si>
    <t>https://i5.peapod.com/c/PG/PGHQJ.png</t>
  </si>
  <si>
    <t>OREO Dark Chocolate Creme Chocolate Sandwich Cookies Family Size</t>
  </si>
  <si>
    <t>https://giantfoodstores.com/product/oreo-smoreo-sandwich-cookies-limited-edition-10.6-oz-pkg/379685</t>
  </si>
  <si>
    <t>https://i5.peapod.com/c/QQ/QQ5MM.png</t>
  </si>
  <si>
    <t>OREO S'mOREO Sandwich Cookies Limited Edition</t>
  </si>
  <si>
    <t>10.6 OZ PKG</t>
  </si>
  <si>
    <t>https://giantfoodstores.com/product/oreo-golden-birthday-cake-creme-sandwich-cookies-limited-edition-10.6-oz-pkg/377783</t>
  </si>
  <si>
    <t>https://i5.peapod.com/c/J9/J9119.png</t>
  </si>
  <si>
    <t>OREO Golden Birthday Cake Creme Sandwich Cookies Limited Edition</t>
  </si>
  <si>
    <t>https://giantfoodstores.com/product/oreo-gluten-free-mint-creme-chocolate-sandwich-cookies-12.47-oz-pkg/337799</t>
  </si>
  <si>
    <t>https://i5.peapod.com/c/NN/NNEIQ.png</t>
  </si>
  <si>
    <t>OREO Gluten Free Mint Creme Chocolate Sandwich Cookies</t>
  </si>
  <si>
    <t>12.47 OZ PKG</t>
  </si>
  <si>
    <t>https://giantfoodstores.com/product/oreo-thins-chocolate-sandwich-cookies-9.21-oz-pkg/212370</t>
  </si>
  <si>
    <t>https://i5.peapod.com/c/U4/U4A6G.png</t>
  </si>
  <si>
    <t>OREO Thins Chocolate Sandwich Cookies</t>
  </si>
  <si>
    <t>9.21 OZ PKG</t>
  </si>
  <si>
    <t>https://giantfoodstores.com/product/oreo-fudge-covered-chocolate-sandwich-cookies-7.9-oz-box/255393</t>
  </si>
  <si>
    <t>https://i5.peapod.com/c/XF/XFXH8.png</t>
  </si>
  <si>
    <t>OREO Fudge Covered Chocolate Sandwich Cookies</t>
  </si>
  <si>
    <t>7.9 OZ BOX</t>
  </si>
  <si>
    <t>$0.59 /OZ</t>
  </si>
  <si>
    <t>https://giantfoodstores.com/product/oreo-toffee-crunch-flavor-creme-chocolate-sandwiches-cookies-family-size-17-oz-pkg/324490</t>
  </si>
  <si>
    <t>https://i5.peapod.com/c/ED/EDSDM.png</t>
  </si>
  <si>
    <t>OREO Toffee Crunch Flavor Creme Chocolate Sandwiches Cookies Family Size</t>
  </si>
  <si>
    <t>https://giantfoodstores.com/product/oreo-double-stuf-golden-sandwich-cookies-party-size-24.9-oz-pkg/299611</t>
  </si>
  <si>
    <t>https://i5.peapod.com/c/D1/D14MN.png</t>
  </si>
  <si>
    <t>OREO Double Stuf Golden Sandwich Cookies Party Size</t>
  </si>
  <si>
    <t>https://giantfoodstores.com/product/oreo-thins-tiramisu-creme-chocolate-sandwich-cookies-family-size-11.78-oz-pkg/358027</t>
  </si>
  <si>
    <t>https://i5.peapod.com/c/4K/4KE3Q.png</t>
  </si>
  <si>
    <t>OREO Thins Tiramisu Creme Chocolate Sandwich Cookies Family Size</t>
  </si>
  <si>
    <t>11.78 OZ PKG</t>
  </si>
  <si>
    <t>https://giantfoodstores.com/product/oreo-thins-mint-creme-chocolate-sandwich-cookies-9.21-oz-pkg/359372</t>
  </si>
  <si>
    <t>https://i5.peapod.com/c/EP/EPBS9.png</t>
  </si>
  <si>
    <t>OREO Thins Mint Creme Chocolate Sandwich Cookies</t>
  </si>
  <si>
    <t>https://giantfoodstores.com/product/oreo-mega-stuf-chocolate-sandwich-cookies-party-size-25.3-oz-pkg/337798</t>
  </si>
  <si>
    <t>https://i5.peapod.com/c/Y1/Y1UJM.png</t>
  </si>
  <si>
    <t>OREO Mega Stuf Chocolate Sandwich Cookies Party Size</t>
  </si>
  <si>
    <t>25.3 OZ PKG</t>
  </si>
  <si>
    <t>https://giantfoodstores.com/product/oreo-java-chip-creme-chocolate-sandwich-cookies-family-size-17-oz-pkg/299610</t>
  </si>
  <si>
    <t>https://i5.peapod.com/c/6E/6EJ8Q.png</t>
  </si>
  <si>
    <t>OREO Java Chip Creme Chocolate Sandwich Cookies Family Size</t>
  </si>
  <si>
    <t>https://giantfoodstores.com/product/oreo-lemon-creme-golden-sandwich-cookies-14-oz-pkg/374942</t>
  </si>
  <si>
    <t>https://i5.peapod.com/c/3R/3RQDO.png</t>
  </si>
  <si>
    <t>OREO Lemon Creme Golden Sandwich Cookies</t>
  </si>
  <si>
    <t>https://giantfoodstores.com/product/oreo-golden-sandwich-cookies-party-size-24.1-oz-pkg/255398</t>
  </si>
  <si>
    <t>https://i5.peapod.com/c/HN/HNHSV.png</t>
  </si>
  <si>
    <t>OREO Golden Sandwich Cookies Party Size</t>
  </si>
  <si>
    <t>https://giantfoodstores.com/product/handi-snacks-oreo-cookie-sticks-n-creme-dip-packs-10-ct-10-oz-box/361305</t>
  </si>
  <si>
    <t>https://i5.peapod.com/c/7H/7H4P9.png</t>
  </si>
  <si>
    <t>Handi-Snacks OREO Cookie Sticks 'n Creme Dip Packs - 10 ct</t>
  </si>
  <si>
    <t>$0.90 /OZ</t>
  </si>
  <si>
    <t>https://giantfoodstores.com/product/handi-snacks-oreo-cookie-sticks-n-creme-dip-packs-20-ct-20-oz-box/361306</t>
  </si>
  <si>
    <t>https://i5.peapod.com/c/11/11X06.png</t>
  </si>
  <si>
    <t>Handi-Snacks OREO Cookie Sticks 'n Creme Dip Packs - 20 ct</t>
  </si>
  <si>
    <t>20 OZ BOX</t>
  </si>
  <si>
    <t>https://giantfoodstores.com/product/jell-o-oreo-cookies-n-creme-instant-pudding-pie-filling-4.2-oz-box/135407</t>
  </si>
  <si>
    <t>https://i5.peapod.com/c/N6/N6Q5I.png</t>
  </si>
  <si>
    <t>Jell-O Oreo Cookies 'n Creme Instant Pudding &amp; Pie Filling</t>
  </si>
  <si>
    <t>4.2 OZ BOX</t>
  </si>
  <si>
    <t>https://giantfoodstores.com/product/betty-crocker-oreo-cookie-pie-mix-8.6-oz-box/376396</t>
  </si>
  <si>
    <t>https://i5.peapod.com/c/C2/C2INM.png</t>
  </si>
  <si>
    <t>Betty Crocker OREO Cookie Pie Mix</t>
  </si>
  <si>
    <t>8.6 OZ BOX</t>
  </si>
  <si>
    <t>https://giantfoodstores.com/product/oreo-double-stuf-chocolate-sandwich-cookies-family-size-18.7-oz-pkg/192627</t>
  </si>
  <si>
    <t>https://i5.peapod.com/c/UK/UKXDG.png</t>
  </si>
  <si>
    <t>OREO Double Stuf Chocolate Sandwich Cookies Family Size</t>
  </si>
  <si>
    <t>https://giantfoodstores.com/product/oreo-mini-chocolate-sandwich-cookies-10-ct-10-oz-box/375611</t>
  </si>
  <si>
    <t>https://i5.peapod.com/c/3A/3A6FV.png</t>
  </si>
  <si>
    <t>OREO Mini Chocolate Sandwich Cookies - 10 ct</t>
  </si>
  <si>
    <t>$0.68 /OZ</t>
  </si>
  <si>
    <t>https://giantfoodstores.com/product/pillsbury-cookie-dough-with-oreo-pieces-12-ct-16-oz-pkg/287060</t>
  </si>
  <si>
    <t>https://i5.peapod.com/c/YJ/YJCR9.png</t>
  </si>
  <si>
    <t>Pillsbury Cookie Dough with Oreo Pieces - 12 ct</t>
  </si>
  <si>
    <t>https://giantfoodstores.com/product/oreo-chocolate-sandwich-cookies-10-ct-15.9-oz-box/378473</t>
  </si>
  <si>
    <t>https://i5.peapod.com/c/CF/CFW0E.png</t>
  </si>
  <si>
    <t>OREO Chocolate Sandwich Cookies - 10 ct</t>
  </si>
  <si>
    <t>15.9 OZ BOX</t>
  </si>
  <si>
    <t>https://giantfoodstores.com/product/oreo-fresh-stacks-golden-sandwich-cookies-4-ct-8.05-oz-box/371486</t>
  </si>
  <si>
    <t>https://i5.peapod.com/c/FP/FPWV7.png</t>
  </si>
  <si>
    <t>OREO Fresh Stacks Golden Sandwich Cookies - 4 ct</t>
  </si>
  <si>
    <t>8.05 OZ BOX</t>
  </si>
  <si>
    <t>https://giantfoodstores.com/product/oreo-fresh-stacks-chocolate-sandwich-cookies-4-ct-8.05-oz-box/371485</t>
  </si>
  <si>
    <t>https://i5.peapod.com/c/EH/EH5F6.png</t>
  </si>
  <si>
    <t>OREO Fresh Stacks Chocolate Sandwich Cookies - 4 ct</t>
  </si>
  <si>
    <t>https://giantfoodstores.com/product/oreo-chips-ahoy-cookie-variety-packs-30-ct-23.3-oz-box/218190</t>
  </si>
  <si>
    <t>https://i5.peapod.com/c/R4/R4SOR.png</t>
  </si>
  <si>
    <t>OREO &amp; Chips Ahoy! Cookie Variety Packs - 30 ct</t>
  </si>
  <si>
    <t>23.3 OZ BOX</t>
  </si>
  <si>
    <t>https://giantfoodstores.com/product/sparkling-ice-zero-sugar-black-raspberry-sparkling-water-17-oz-btl/186584</t>
  </si>
  <si>
    <t>https://i5.peapod.com/c/Z9/Z929D.png</t>
  </si>
  <si>
    <t>Sparkling Ice Zero Sugar Black Raspberry Sparkling Water</t>
  </si>
  <si>
    <t>Sparkling Ice</t>
  </si>
  <si>
    <t>17 OZ BTL</t>
  </si>
  <si>
    <t>https://giantfoodstores.com/product/sparkling-ice-zero-sugar-black-cherry-sparkling-water-17-oz-btl/218685</t>
  </si>
  <si>
    <t>https://i5.peapod.com/c/22/224MP.png</t>
  </si>
  <si>
    <t>Sparkling Ice Zero Sugar Black Cherry Sparkling Water</t>
  </si>
  <si>
    <t>https://giantfoodstores.com/product/sparkling-ice-zero-sugar-lemon-lime-sparkling-water-17-oz-btl/186601</t>
  </si>
  <si>
    <t>https://i5.peapod.com/c/9M/9MB7I.png</t>
  </si>
  <si>
    <t>Sparkling Ice Zero Sugar Lemon Lime Sparkling Water</t>
  </si>
  <si>
    <t>https://giantfoodstores.com/product/sparkling-ice-zero-sugar-classic-lemonade-sparkling-water-17-oz-btl/193992</t>
  </si>
  <si>
    <t>https://i5.peapod.com/c/EG/EGRXA.png</t>
  </si>
  <si>
    <t>Sparkling Ice Zero Sugar Classic Lemonade Sparkling Water</t>
  </si>
  <si>
    <t>https://giantfoodstores.com/product/sparkling-ice-zero-sugar-orange-mango-sparkling-water-17-oz-btl/186598</t>
  </si>
  <si>
    <t>https://i5.peapod.com/c/N7/N7UMD.png</t>
  </si>
  <si>
    <t>Sparkling Ice Zero Sugar Orange Mango Sparkling Water</t>
  </si>
  <si>
    <t>https://giantfoodstores.com/product/sparkling-ice-zero-sugar-fruit-punch-sparkling-water-17-oz-btl/282103</t>
  </si>
  <si>
    <t>https://i5.peapod.com/c/SP/SPMXZ.png</t>
  </si>
  <si>
    <t>Sparkling Ice Zero Sugar Fruit Punch Sparkling Water</t>
  </si>
  <si>
    <t>https://giantfoodstores.com/product/sparkling-ice-zero-sugar-kiwi-strawberry-sparkling-water-17-oz-btl/186599</t>
  </si>
  <si>
    <t>https://i5.peapod.com/c/20/20O7B.png</t>
  </si>
  <si>
    <t>Sparkling Ice Zero Sugar Kiwi Strawberry Sparkling Water</t>
  </si>
  <si>
    <t>https://giantfoodstores.com/product/sparkling-ice-zero-sugar-coconut-pineapple-sparkling-water-17-oz-btl/193991</t>
  </si>
  <si>
    <t>https://i5.peapod.com/c/C2/C2QYN.png</t>
  </si>
  <si>
    <t>Sparkling Ice Zero Sugar Coconut Pineapple Sparkling Water</t>
  </si>
  <si>
    <t>https://giantfoodstores.com/product/sparkling-ice-starburst-zero-sugar-strawberry-sparkling-water-17-oz-btl/360869</t>
  </si>
  <si>
    <t>https://i5.peapod.com/c/IW/IW9MC.png</t>
  </si>
  <si>
    <t>Sparkling Ice Starburst Zero Sugar Strawberry Sparkling Water</t>
  </si>
  <si>
    <t>https://giantfoodstores.com/product/sparkling-ice-zero-sugar-pink-grapefruit-sparkling-water-17-oz-btl/186600</t>
  </si>
  <si>
    <t>https://i5.peapod.com/c/YB/YB857.png</t>
  </si>
  <si>
    <t>Sparkling Ice Zero Sugar Pink Grapefruit Sparkling Water</t>
  </si>
  <si>
    <t>https://giantfoodstores.com/product/sparkling-ice-zero-sugar-peach-nectarine-sparkling-water-17-oz-btl/193993</t>
  </si>
  <si>
    <t>Sparkling Ice Zero Sugar Peach Nectarine Sparkling Water</t>
  </si>
  <si>
    <t>https://giantfoodstores.com/product/sparkling-ice-zero-sugar-strawberry-lemonade-sparkling-water-17-oz-btl/202961</t>
  </si>
  <si>
    <t>Sparkling Ice Zero Sugar Strawberry Lemonade Sparkling Water</t>
  </si>
  <si>
    <t>https://giantfoodstores.com/product/sparkling-ice-zero-sugar-berry-lemonade-sparkling-water-17-oz-btl/322643</t>
  </si>
  <si>
    <t>Sparkling Ice Zero Sugar Berry Lemonade Sparkling Water</t>
  </si>
  <si>
    <t>https://giantfoodstores.com/product/sparkling-ice-starburst-zero-sugar-cherry-sparkling-water-17-oz-btl/360872</t>
  </si>
  <si>
    <t>Sparkling Ice Starburst Zero Sugar Cherry Sparkling Water</t>
  </si>
  <si>
    <t>https://giantfoodstores.com/product/sparkling-ice-starburst-zero-sugar-orange-sparkling-water-17-oz-btl/360871</t>
  </si>
  <si>
    <t>Sparkling Ice Starburst Zero Sugar Orange Sparkling Water</t>
  </si>
  <si>
    <t>https://giantfoodstores.com/product/sparkling-ice-caffeine-zero-sugar-blue-raspberry-sparkling-water-16-oz-can/273002</t>
  </si>
  <si>
    <t>Sparkling Ice + Caffeine Zero Sugar Blue Raspberry Sparkling Water</t>
  </si>
  <si>
    <t>https://giantfoodstores.com/product/sparkling-ice-caffeine-zero-sugar-black-raspberry-sparkling-water-16-oz-can/273001</t>
  </si>
  <si>
    <t>Sparkling Ice + Caffeine Zero Sugar Black Raspberry Sparkling Water</t>
  </si>
  <si>
    <t>https://giantfoodstores.com/product/sparkling-ice-zero-sugar-purple-variety-pack-sparkling-water-12-pk-17-oz-btl/211466</t>
  </si>
  <si>
    <t>Sparkling Ice Zero Sugar Purple Variety Pack Sparkling Water - 12 pk</t>
  </si>
  <si>
    <t>$0.06 /OZ</t>
  </si>
  <si>
    <t>https://giantfoodstores.com/product/sparkling-ice-zero-sugar-starburst-watermelon-sparkling-water-17-oz-btl/374746</t>
  </si>
  <si>
    <t>Sparkling Ice Zero Sugar Starburst Watermelon Sparkling Water</t>
  </si>
  <si>
    <t>https://giantfoodstores.com/product/sparkling-ice-zero-sugar-blue-variety-pack-sparkling-water-12-pk-17-oz-btl/285572</t>
  </si>
  <si>
    <t>Sparkling Ice Zero Sugar Blue Variety Pack Sparkling Water - 12 pk</t>
  </si>
  <si>
    <t>https://giantfoodstores.com/product/sparkling-ice-zero-sugar-pink-variety-pack-sparkling-water-12-pk-17-oz-btl/243839</t>
  </si>
  <si>
    <t>Sparkling Ice Zero Sugar Pink Variety Pack Sparkling Water - 12 pk</t>
  </si>
  <si>
    <t>https://giantfoodstores.com/product/sparkling-ice-energy-zero-sugar-maximum-mango-flavored-water-12-oz-can/359205</t>
  </si>
  <si>
    <t>Sparkling Ice + Energy Zero Sugar Maximum Mango Flavored Water</t>
  </si>
  <si>
    <t>https://giantfoodstores.com/product/sparkling-ice-energy-zero-sugar-berry-blast-flavored-water-12-oz-can/359210</t>
  </si>
  <si>
    <t>Sparkling Ice + Energy Zero Sugar Berry Blast Flavored Water</t>
  </si>
  <si>
    <t>https://giantfoodstores.com/product/sparkling-ice-energy-zero-sugar-power-punch-flavored-water-12-oz-can/359189</t>
  </si>
  <si>
    <t>Sparkling Ice + Energy Zero Sugar Power Punch Flavored Water</t>
  </si>
  <si>
    <t>https://giantfoodstores.com/product/starbucks-iced-energy-zero-sugar-blueberry-lemonade-sparkling-energy-drink-12-oz-can/379131</t>
  </si>
  <si>
    <t>Starbucks Iced Energy Zero Sugar Blueberry Lemonade Sparkling Energy Drink</t>
  </si>
  <si>
    <t>https://giantfoodstores.com/product/starbucks-iced-energy-zero-sugar-tropical-peach-sparkling-energy-drink-12-oz-can/379132</t>
  </si>
  <si>
    <t>Starbucks Iced Energy Zero Sugar Tropical Peach Sparkling Energy Drink</t>
  </si>
  <si>
    <t>https://giantfoodstores.com/product/starbucks-iced-energy-zero-sugar-watermelon-twist-sparkling-energy-drink-12-oz-can/379133</t>
  </si>
  <si>
    <t>Starbucks Iced Energy Zero Sugar Watermelon Twist Sparkling Energy Drink</t>
  </si>
  <si>
    <t>https://giantfoodstores.com/product/coca-cola-classic-soda-12-pk-12-oz-can/6830</t>
  </si>
  <si>
    <t>https://i5.peapod.com/c/DY/DYKPD.png</t>
  </si>
  <si>
    <t>Coca-Cola Classic Soda - 12 pk</t>
  </si>
  <si>
    <t>Coca-Cola</t>
  </si>
  <si>
    <t>https://giantfoodstores.com/product/diet-coke-cola-soda-12-pk-12-oz-can/6839</t>
  </si>
  <si>
    <t>https://i5.peapod.com/c/2S/2S7A2.png</t>
  </si>
  <si>
    <t>https://giantfoodstores.com/product/coca-cola-classic-soda-6-pk-16.9-oz-btl/92762</t>
  </si>
  <si>
    <t>https://i5.peapod.com/c/3M/3MHRM.png</t>
  </si>
  <si>
    <t>Coca-Cola Classic Soda - 6 pk</t>
  </si>
  <si>
    <t>16.9 OZ BTL</t>
  </si>
  <si>
    <t>https://giantfoodstores.com/product/diet-coke-cola-soda-6-pk-16.9-oz-btl/92759</t>
  </si>
  <si>
    <t>https://i5.peapod.com/c/2I/2IS5G.png</t>
  </si>
  <si>
    <t>https://giantfoodstores.com/product/coca-cola-zero-sugar-cola-soda-12-pk-12-oz-can/138039</t>
  </si>
  <si>
    <t>https://i5.peapod.com/c/LP/LP6AF.png</t>
  </si>
  <si>
    <t>Coca-Cola Zero Sugar Cola Soda - 12 pk</t>
  </si>
  <si>
    <t>https://giantfoodstores.com/product/coca-cola-zero-sugar-cola-soda-6-pk-16.9-oz-btl/146551</t>
  </si>
  <si>
    <t>https://i5.peapod.com/c/WF/WFX5L.png</t>
  </si>
  <si>
    <t>Coca-Cola Zero Sugar Cola Soda - 6 pk</t>
  </si>
  <si>
    <t>https://giantfoodstores.com/product/coca-cola-classic-soda-mini-10-pk-7.5-oz-can/221526</t>
  </si>
  <si>
    <t>https://i5.peapod.com/c/XX/XXVDO.png</t>
  </si>
  <si>
    <t>Coca-Cola Classic Soda Mini - 10 pk</t>
  </si>
  <si>
    <t>7.5 OZ CAN</t>
  </si>
  <si>
    <t>https://giantfoodstores.com/product/coca-cola-classic-soda-2-ltr-btl/6831</t>
  </si>
  <si>
    <t>https://i5.peapod.com/c/ZR/ZR3Z4.png</t>
  </si>
  <si>
    <t>Coca-Cola Classic Soda</t>
  </si>
  <si>
    <t>2 LTR BTL</t>
  </si>
  <si>
    <t>$0.05 /OZ</t>
  </si>
  <si>
    <t>https://giantfoodstores.com/product/diet-coke-cola-soda-1.25-ltr/162861</t>
  </si>
  <si>
    <t>https://i5.peapod.com/c/UO/UOKR7.png</t>
  </si>
  <si>
    <t>1.25 LTR</t>
  </si>
  <si>
    <t>$0.04 /OZ</t>
  </si>
  <si>
    <t>https://giantfoodstores.com/product/coca-cola-zero-sugar-cherry-cola-soda-12-pk-12-oz-can/144509</t>
  </si>
  <si>
    <t>https://i5.peapod.com/c/81/81FH3.png</t>
  </si>
  <si>
    <t>Coca-Cola Zero Sugar Cherry Cola Soda - 12 pk</t>
  </si>
  <si>
    <t>https://giantfoodstores.com/product/coca-cola-classic-soda-24-pk-12-oz-can/11285</t>
  </si>
  <si>
    <t>https://i5.peapod.com/c/9C/9CT2P.png</t>
  </si>
  <si>
    <t>Coca-Cola Classic Soda - 24 pk</t>
  </si>
  <si>
    <t>https://giantfoodstores.com/product/diet-coke-cola-soda-2-ltr-btl/6833</t>
  </si>
  <si>
    <t>https://i5.peapod.com/c/NN/NNXTB.png</t>
  </si>
  <si>
    <t>https://giantfoodstores.com/product/diet-coke-cola-soda-mini-10-pk-7.5-oz-can/221527</t>
  </si>
  <si>
    <t>https://i5.peapod.com/c/TQ/TQFLT.png</t>
  </si>
  <si>
    <t>https://giantfoodstores.com/product/coca-cola-classic-soda-1.25-ltr/162859</t>
  </si>
  <si>
    <t>https://i5.peapod.com/c/2U/2UPXB.png</t>
  </si>
  <si>
    <t>https://giantfoodstores.com/product/diet-coke-cola-soda-caffeine-free-12-pk-12-oz-can/6837</t>
  </si>
  <si>
    <t>https://i5.peapod.com/c/TM/TM9L6.png</t>
  </si>
  <si>
    <t>https://giantfoodstores.com/product/coca-cola-cherry-cola-soda-12-pk-12-oz-can/6817</t>
  </si>
  <si>
    <t>https://i5.peapod.com/c/Y7/Y7FMO.png</t>
  </si>
  <si>
    <t>Coca-Cola Cherry Cola Soda - 12 pk</t>
  </si>
  <si>
    <t>https://giantfoodstores.com/product/diet-coke-cola-soda-caffeine-free-6-pk-16.9-oz-btl/93625</t>
  </si>
  <si>
    <t>https://i5.peapod.com/c/RP/RPBBH.png</t>
  </si>
  <si>
    <t>https://giantfoodstores.com/product/diet-coke-cola-soda-24-pk-12-oz-can/6844</t>
  </si>
  <si>
    <t>https://i5.peapod.com/c/OX/OX2I7.png</t>
  </si>
  <si>
    <t>https://giantfoodstores.com/product/coca-cola-zero-sugar-soda-1.25-ltr/162860</t>
  </si>
  <si>
    <t>https://i5.peapod.com/c/B9/B9FUC.png</t>
  </si>
  <si>
    <t>Coca-Cola Zero Sugar Soda</t>
  </si>
  <si>
    <t>https://giantfoodstores.com/product/coca-cola-zero-sugar-cola-soda-2-ltr-btl/138037</t>
  </si>
  <si>
    <t>https://i5.peapod.com/c/U3/U3J7R.png</t>
  </si>
  <si>
    <t>Coca-Cola Zero Sugar Cola Soda</t>
  </si>
  <si>
    <t>https://giantfoodstores.com/product/coca-cola-zero-sugar-cola-soda-mini-10-pk-7.5-oz-can/228326</t>
  </si>
  <si>
    <t>https://i5.peapod.com/c/7T/7TWEP.png</t>
  </si>
  <si>
    <t>Coca-Cola Zero Sugar Cola Soda Mini - 10 pk</t>
  </si>
  <si>
    <t>https://giantfoodstores.com/product/coca-cola-zero-sugar-cola-soda-24-pk-12-oz-can/146552</t>
  </si>
  <si>
    <t>https://i5.peapod.com/c/T1/T1LMX.png</t>
  </si>
  <si>
    <t>Coca-Cola Zero Sugar Cola Soda - 24 pk</t>
  </si>
  <si>
    <t>https://giantfoodstores.com/product/coca-cola-classic-soda-mini-6-pk-7.5-oz-can/153468</t>
  </si>
  <si>
    <t>https://i5.peapod.com/c/GL/GLIKF.png</t>
  </si>
  <si>
    <t>Coca-Cola Classic Soda Mini - 6 pk</t>
  </si>
  <si>
    <t>https://giantfoodstores.com/product/coca-cola-classic-soda-8-pk-12-oz-btl/12654</t>
  </si>
  <si>
    <t>https://i5.peapod.com/c/AZ/AZD9Q.png</t>
  </si>
  <si>
    <t>Coca-Cola Classic Soda - 8 pk</t>
  </si>
  <si>
    <t>12 OZ BTL</t>
  </si>
  <si>
    <t>https://giantfoodstores.com/product/diet-coke-cola-soda-caffeine-free-2-ltr-btl/6836</t>
  </si>
  <si>
    <t>https://i5.peapod.com/c/GS/GS88R.png</t>
  </si>
  <si>
    <t>https://giantfoodstores.com/product/coca-cola-cherry-soda-mini-10-pk-7.5-oz-can/280058</t>
  </si>
  <si>
    <t>https://i5.peapod.com/c/FD/FDIXB.png</t>
  </si>
  <si>
    <t>Coca-Cola Cherry Soda Mini - 10 pk</t>
  </si>
  <si>
    <t>https://giantfoodstores.com/product/coca-cola-vanilla-soda-12-pk-12-oz-can/128338</t>
  </si>
  <si>
    <t>https://i5.peapod.com/c/8P/8PXC2.png</t>
  </si>
  <si>
    <t>Coca-Cola Vanilla Soda - 12 pk</t>
  </si>
  <si>
    <t>https://giantfoodstores.com/product/coca-cola-classic-caffeine-free-soda-12-pk-12-oz-can/6821</t>
  </si>
  <si>
    <t>https://i5.peapod.com/c/H0/H0IAI.png</t>
  </si>
  <si>
    <t>Coca-Cola Classic Caffeine Free Soda - 12 pk</t>
  </si>
  <si>
    <t>https://giantfoodstores.com/product/diet-coke-cola-soda-8-pk-12-oz-btl/12655</t>
  </si>
  <si>
    <t>https://i5.peapod.com/c/Y3/Y31TR.png</t>
  </si>
  <si>
    <t>https://giantfoodstores.com/product/diet-coke-cola-soda-mini-6-pk-7.5-oz-can/153470</t>
  </si>
  <si>
    <t>https://i5.peapod.com/c/HW/HWYH6.png</t>
  </si>
  <si>
    <t>https://giantfoodstores.com/product/coca-cola-zero-sugar-cola-soda-mini-6-pk-7.5-oz-can/157935</t>
  </si>
  <si>
    <t>https://i5.peapod.com/c/LT/LT2L0.png</t>
  </si>
  <si>
    <t>Coca-Cola Zero Sugar Cola Soda Mini - 6 pk</t>
  </si>
  <si>
    <t>https://giantfoodstores.com/product/coca-cola-cherry-soda-2-ltr-btl/6816</t>
  </si>
  <si>
    <t>https://i5.peapod.com/c/NN/NNYO5.png</t>
  </si>
  <si>
    <t>Coca-Cola Cherry Soda</t>
  </si>
  <si>
    <t>https://giantfoodstores.com/product/diet-coke-cola-soda-caffeine-free-8-pk-12-oz-btl/152614</t>
  </si>
  <si>
    <t>https://i5.peapod.com/c/NU/NUUH1.png</t>
  </si>
  <si>
    <t>https://giantfoodstores.com/product/coca-cola-zero-sugar-cola-soda-8-pk-12-oz-btl/152613</t>
  </si>
  <si>
    <t>https://i5.peapod.com/c/VM/VM2LB.png</t>
  </si>
  <si>
    <t>Coca-Cola Zero Sugar Cola Soda - 8 pk</t>
  </si>
  <si>
    <t>https://giantfoodstores.com/product/coca-cola-cherry-soda-mini-6-pk-7.5-oz-can/226626</t>
  </si>
  <si>
    <t>https://i5.peapod.com/c/QP/QPU1Y.png</t>
  </si>
  <si>
    <t>Coca-Cola Cherry Soda Mini - 6 pk</t>
  </si>
  <si>
    <t>https://giantfoodstores.com/product/coca-cola-cherry-soda-1.25-ltr-btl/350325</t>
  </si>
  <si>
    <t>https://i5.peapod.com/c/R3/R3VIW.png</t>
  </si>
  <si>
    <t>1.25 LTR BTL</t>
  </si>
  <si>
    <t>$1.33 /LTR</t>
  </si>
  <si>
    <t>https://giantfoodstores.com/product/coca-cola-de-mexico-cola-soda-glass-bottle-12-oz-btl/186151</t>
  </si>
  <si>
    <t>https://i5.peapod.com/c/IO/IOF4X.png</t>
  </si>
  <si>
    <t>Coca-Cola de Mexico Cola Soda (Glass Bottle)</t>
  </si>
  <si>
    <t>https://giantfoodstores.com/product/coca-cola-de-mexico-cola-soda-4-pk-glass-bottles-12-oz-btl/229467</t>
  </si>
  <si>
    <t>https://i5.peapod.com/c/L3/L3AXD.png</t>
  </si>
  <si>
    <t>Coca-Cola de Mexico Cola Soda - 4 pk (Glass Bottles)</t>
  </si>
  <si>
    <t>https://giantfoodstores.com/product/coca-cola-zero-sugar-orange-cream-cola-soda-20-oz-btl/372192</t>
  </si>
  <si>
    <t>https://i5.peapod.com/c/IB/IBMER.png</t>
  </si>
  <si>
    <t>Coca-Cola Zero Sugar Orange Cream Cola Soda</t>
  </si>
  <si>
    <t>20 OZ BTL</t>
  </si>
  <si>
    <t>https://giantfoodstores.com/product/coca-cola-classic-soda-20-oz-btl/149529</t>
  </si>
  <si>
    <t>https://i5.peapod.com/c/6Q/6QXOF.png</t>
  </si>
  <si>
    <t>https://giantfoodstores.com/product/diet-coke-cola-soda-caffeine-free-mini-6-pk-7.5-oz-can/194840</t>
  </si>
  <si>
    <t>https://i5.peapod.com/c/FE/FEONI.png</t>
  </si>
  <si>
    <t>https://giantfoodstores.com/product/coca-cola-classic-soda-6-pk-glass-bottles-8-oz-btl/73431</t>
  </si>
  <si>
    <t>https://i5.peapod.com/c/WN/WN81D.png</t>
  </si>
  <si>
    <t>Coca-Cola Classic Soda - 6 pk (Glass Bottles)</t>
  </si>
  <si>
    <t>8 OZ BTL</t>
  </si>
  <si>
    <t>https://giantfoodstores.com/product/coca-cola-orange-cream-cola-soda-20-oz-btl/372193</t>
  </si>
  <si>
    <t>https://i5.peapod.com/c/CU/CUG9W.png</t>
  </si>
  <si>
    <t>Coca-Cola Orange Cream Cola Soda</t>
  </si>
  <si>
    <t>https://giantfoodstores.com/product/coca-cola-zero-sugar-cola-soda-20-oz-btl/150701</t>
  </si>
  <si>
    <t>https://i5.peapod.com/c/85/852IT.png</t>
  </si>
  <si>
    <t>https://giantfoodstores.com/product/diet-coke-cola-soda-20-oz-btl/59454</t>
  </si>
  <si>
    <t>https://i5.peapod.com/c/TR/TR0NU.png</t>
  </si>
  <si>
    <t>https://giantfoodstores.com/product/coca-cola-cherry-soda-20-oz-btl/176595</t>
  </si>
  <si>
    <t>https://i5.peapod.com/c/SC/SCVNI.png</t>
  </si>
  <si>
    <t>https://giantfoodstores.com/product/coca-cola-zero-sugar-cola-6-pk-8-oz-btl/290286</t>
  </si>
  <si>
    <t>https://i5.peapod.com/c/K1/K1UND.png</t>
  </si>
  <si>
    <t>Coca-Cola Zero Sugar Cola - 6 pk</t>
  </si>
  <si>
    <t>https://giantfoodstores.com/product/coca-cola-zero-sugar-soda-glass-bottle-8-oz-btl/340125</t>
  </si>
  <si>
    <t>https://i5.peapod.com/c/D9/D9Q0J.png</t>
  </si>
  <si>
    <t>Coca-Cola Zero Sugar Soda (Glass Bottle)</t>
  </si>
  <si>
    <t>https://giantfoodstores.com/product/s.pellegrino-sparkling-natural-mineral-water-25.3-oz-btl/25498</t>
  </si>
  <si>
    <t>https://i5.peapod.com/c/KT/KTVYY.png</t>
  </si>
  <si>
    <t>San Pellegrino</t>
  </si>
  <si>
    <t>25.3 OZ BTL</t>
  </si>
  <si>
    <t>https://giantfoodstores.com/product/s.pellegrino-sparkling-natural-mineral-water-1-ltr-btl/86191</t>
  </si>
  <si>
    <t>https://i5.peapod.com/c/DB/DBX8T.jpg</t>
  </si>
  <si>
    <t>1 LTR BTL</t>
  </si>
  <si>
    <t>https://giantfoodstores.com/product/s.pellegrino-sparkling-natural-mineral-water-8-pk-11.15-oz-can/248626</t>
  </si>
  <si>
    <t>https://i5.peapod.com/c/RF/RF1BG.png</t>
  </si>
  <si>
    <t>11.15 OZ CAN</t>
  </si>
  <si>
    <t>https://giantfoodstores.com/product/s.pellegrino-sparkling-natural-mineral-water-12-pk-16.9-oz-btl/180397</t>
  </si>
  <si>
    <t>https://i5.peapod.com/c/FC/FC18Q.png</t>
  </si>
  <si>
    <t>https://giantfoodstores.com/product/s.pellegrino-sparkling-natural-mineral-water-6-pk-8.45-oz-btl/117832</t>
  </si>
  <si>
    <t>https://i5.peapod.com/c/78/78Y09.png</t>
  </si>
  <si>
    <t>8.45 OZ BTL</t>
  </si>
  <si>
    <t>https://giantfoodstores.com/product/san-pellegrino-sparkling-orange-pomegranate-beverage-all-natural-6-pk-11.1-oz-can/205868</t>
  </si>
  <si>
    <t>https://i5.peapod.com/c/4T/4T4B7.png</t>
  </si>
  <si>
    <t>San Pellegrino Sparkling Orange &amp; Pomegranate Beverage All Natural - 6 pk</t>
  </si>
  <si>
    <t>11.1 OZ CAN</t>
  </si>
  <si>
    <t>https://giantfoodstores.com/product/san-pellegrino-zero-blood-orange-italian-sparkling-drink-6-pk-11.2-oz-can/361164</t>
  </si>
  <si>
    <t>https://i5.peapod.com/c/0S/0S5FO.png</t>
  </si>
  <si>
    <t>San Pellegrino Zero Blood Orange Italian Sparkling Drink - 6 pk</t>
  </si>
  <si>
    <t>11.2 OZ CAN</t>
  </si>
  <si>
    <t>https://giantfoodstores.com/product/san-pellegrino-limonata-sparkling-lemon-beverage-all-natural-6-pk-11.1-oz-can/156696</t>
  </si>
  <si>
    <t>https://i5.peapod.com/c/Q5/Q5NJ8.png</t>
  </si>
  <si>
    <t>San Pellegrino Limonata Sparkling Lemon Beverage All Natural - 6 pk</t>
  </si>
  <si>
    <t>https://giantfoodstores.com/product/san-pellegrino-zero-peach-clementine-sparkling-beverage-6-pk-11.2-oz-can/360947</t>
  </si>
  <si>
    <t>https://i5.peapod.com/c/OR/ORJZ3.png</t>
  </si>
  <si>
    <t>San Pellegrino Zero Peach &amp; Clementine Sparkling Beverage - 6 pk</t>
  </si>
  <si>
    <t>https://giantfoodstores.com/product/san-pellegrino-zero-pomegranate-orange-italian-sparkling-drink-6-pk-11.2-oz-can/361165</t>
  </si>
  <si>
    <t>https://i5.peapod.com/c/OT/OT2TV.png</t>
  </si>
  <si>
    <t>San Pellegrino Zero Pomegranate &amp; Orange Italian Sparkling Drink - 6 pk</t>
  </si>
  <si>
    <t>https://giantfoodstores.com/product/san-pellegrino-zero-lemonade-sparkling-beverage-6-pk-11.2-oz-can/360946</t>
  </si>
  <si>
    <t>https://i5.peapod.com/c/H6/H6PR1.png</t>
  </si>
  <si>
    <t>San Pellegrino Zero Lemonade Sparkling Beverage - 6 pk</t>
  </si>
  <si>
    <t>https://giantfoodstores.com/product/san-pellegrino-ciao-blood-orange-sparkling-water-6-pk-11.1-oz-can/376050</t>
  </si>
  <si>
    <t>https://i5.peapod.com/c/5B/5B62J.png</t>
  </si>
  <si>
    <t>San Pellegrino Ciao Blood Orange Sparkling Water - 6 pk</t>
  </si>
  <si>
    <t>https://giantfoodstores.com/product/san-pellegrino-ciao-peach-sparkling-water-6-pk-11.1-oz-can/376052</t>
  </si>
  <si>
    <t>https://i5.peapod.com/c/HS/HSJSE.png</t>
  </si>
  <si>
    <t>San Pellegrino Ciao Peach Sparkling Water - 6 pk</t>
  </si>
  <si>
    <t>https://giantfoodstores.com/product/san-pellegrino-ciao-cherry-sparkling-water-6-pk-11.1-oz-can/376568</t>
  </si>
  <si>
    <t>https://i5.peapod.com/c/YA/YAXAE.png</t>
  </si>
  <si>
    <t>San Pellegrino Ciao Cherry Sparkling Water - 6 pk</t>
  </si>
  <si>
    <t>https://giantfoodstores.com/product/san-pellegrino-ciao-lime-sparkling-water-6-pk-11.1-oz-can/376051</t>
  </si>
  <si>
    <t>https://i5.peapod.com/c/NO/NO1XV.png</t>
  </si>
  <si>
    <t>San Pellegrino Ciao Lime Sparkling Water - 6 pk</t>
  </si>
  <si>
    <t>https://giantfoodstores.com/product/gatorade-thirst-quencher-sports-drink-lemon-lime-8-pk-20-oz-btl/115381</t>
  </si>
  <si>
    <t>https://i5.peapod.com/c/5G/5GKKL.png</t>
  </si>
  <si>
    <t>Gatorade Thirst Quencher Sports Drink Lemon-Lime - 8 pk</t>
  </si>
  <si>
    <t>Gatorade</t>
  </si>
  <si>
    <t>https://giantfoodstores.com/product/gatorade-berry-sports-drink-6-pk-12-oz-btl/128775</t>
  </si>
  <si>
    <t>https://i5.peapod.com/c/FG/FGQDQ.png</t>
  </si>
  <si>
    <t>Gatorade Berry Sports Drink - 6 pk</t>
  </si>
  <si>
    <t>https://giantfoodstores.com/product/gatorade-fruit-punch-thirst-quencher-sports-drink-8-ct-20-oz-btl/115382</t>
  </si>
  <si>
    <t>https://i5.peapod.com/c/7R/7RB8W.png</t>
  </si>
  <si>
    <t>Gatorade Fruit Punch Thirst Quencher Sports Drink - 8 ct</t>
  </si>
  <si>
    <t>https://giantfoodstores.com/product/gatorade-thirst-quencher-sports-drink-orange-8-pk-20-oz-btl/115383</t>
  </si>
  <si>
    <t>https://i5.peapod.com/c/RU/RUK7Z.png</t>
  </si>
  <si>
    <t>Gatorade Thirst Quencher Sports Drink Orange - 8 pk</t>
  </si>
  <si>
    <t>https://giantfoodstores.com/product/gatorade-thirst-quencher-sports-drink-fruit-punch-6-pk-12-oz-btl/147283</t>
  </si>
  <si>
    <t>https://i5.peapod.com/c/OD/OD1IA.png</t>
  </si>
  <si>
    <t>Gatorade Thirst Quencher Sports Drink Fruit Punch - 6 pk</t>
  </si>
  <si>
    <t>https://giantfoodstores.com/product/gatorade-lemon-lime-sports-drink-6-pk-12-oz-btl/147284</t>
  </si>
  <si>
    <t>Gatorade Lemon Lime Sports Drink - 6 pk</t>
  </si>
  <si>
    <t>https://giantfoodstores.com/product/gatorade-frost-glacier-freeze-thirst-quencher-8-pk-20-oz-btl/115384</t>
  </si>
  <si>
    <t>Gatorade Frost Glacier Freeze Thirst Quencher - 8 pk</t>
  </si>
  <si>
    <t>https://giantfoodstores.com/product/gatorade-zero-orange-thirst-quencher-sports-drink-28-oz-btl/244894</t>
  </si>
  <si>
    <t>Gatorade Zero Orange Thirst Quencher Sports Drink</t>
  </si>
  <si>
    <t>28 OZ BTL</t>
  </si>
  <si>
    <t>https://giantfoodstores.com/product/gatorade-frost-thirst-quencher-sports-drink-riptide-rush-8-pk-20-oz-btl/123672</t>
  </si>
  <si>
    <t>Gatorade Frost Thirst Quencher Sports Drink Riptide Rush - 8 pk</t>
  </si>
  <si>
    <t>https://giantfoodstores.com/product/gatorade-orange-sports-drink-6-pk-12-oz-btl/155267</t>
  </si>
  <si>
    <t>Gatorade Orange Sports Drink - 6 pk</t>
  </si>
  <si>
    <t>https://giantfoodstores.com/product/gatorade-thirst-quencher-sports-drink-cool-blue-8-pk-20-oz-btl/137901</t>
  </si>
  <si>
    <t>Gatorade Thirst Quencher Sports Drink Cool Blue - 8 pk</t>
  </si>
  <si>
    <t>https://giantfoodstores.com/product/gatorade-zero-sugar-berry-thirst-quencher-28-oz-btl/255576</t>
  </si>
  <si>
    <t>Gatorade Zero Sugar Berry Thirst Quencher</t>
  </si>
  <si>
    <t>https://giantfoodstores.com/product/gatorade-frost-glacier-cherry-sports-drink-8-pk-20-oz-btl/203564</t>
  </si>
  <si>
    <t>Gatorade Frost Glacier Cherry Sports Drink - 8 pk</t>
  </si>
  <si>
    <t>https://giantfoodstores.com/product/gatorade-peanut-butter-chocolate-20g-protein-bar-2.8-oz-bar/252897</t>
  </si>
  <si>
    <t>Gatorade Peanut Butter Chocolate 20g Protein Bar</t>
  </si>
  <si>
    <t>2.8 OZ BAR</t>
  </si>
  <si>
    <t>https://giantfoodstores.com/product/gatorade-zero-sugar-grape-sports-drink-28-oz-btl/279392</t>
  </si>
  <si>
    <t>Gatorade Zero Sugar Grape Sports Drink</t>
  </si>
  <si>
    <t>https://giantfoodstores.com/product/gatorade-lemon-lime-thirst-quencher-sports-drink-28-oz-btl/7375</t>
  </si>
  <si>
    <t>Gatorade Lemon Lime Thirst Quencher Sports Drink</t>
  </si>
  <si>
    <t>https://giantfoodstores.com/product/gatorade-frost-thirst-quencher-sports-drink-glacier-freeze-28-oz-btl/77530</t>
  </si>
  <si>
    <t>Gatorade Frost Thirst Quencher Sports Drink Glacier Freeze</t>
  </si>
  <si>
    <t>https://giantfoodstores.com/product/gatorade-zero-glacier-cherry-thirst-quencher-sports-drink-28-oz-btl/244890</t>
  </si>
  <si>
    <t>Gatorade Zero Glacier Cherry Thirst Quencher Sports Drink</t>
  </si>
  <si>
    <t>https://giantfoodstores.com/product/gatorade-zero-lemon-lime-thirst-quencher-sports-drink-8-pk-20-oz-btl/258421</t>
  </si>
  <si>
    <t>Gatorade Zero Lemon-Lime Thirst Quencher Sports Drink - 8 pk</t>
  </si>
  <si>
    <t>https://giantfoodstores.com/product/gatorade-chocolate-caramel-20g-protein-bar-2.8-oz-bar/218160</t>
  </si>
  <si>
    <t>Gatorade Chocolate Caramel 20g Protein Bar</t>
  </si>
  <si>
    <t>https://giantfoodstores.com/product/gatorade-chocolate-chip-20g-protein-bar-2.8-oz-bar/223659</t>
  </si>
  <si>
    <t>Gatorade Chocolate Chip 20g Protein Bar</t>
  </si>
  <si>
    <t>https://giantfoodstores.com/product/gatorade-zero-sugar-lemon-lime-sports-drink-28-oz-btl/244860</t>
  </si>
  <si>
    <t>Gatorade Zero Sugar Lemon Lime Sports Drink</t>
  </si>
  <si>
    <t>https://giantfoodstores.com/product/gatorade-zero-sugar-thirst-quencher-sports-drink-glacier-freeze-28-oz-btl/259513</t>
  </si>
  <si>
    <t>Gatorade Zero Sugar Thirst Quencher Sports Drink Glacier Freeze</t>
  </si>
  <si>
    <t>https://giantfoodstores.com/product/gatorade-orange-thirst-quencher-sports-drink-28-oz-btl/11362</t>
  </si>
  <si>
    <t>Gatorade Orange Thirst Quencher Sports Drink</t>
  </si>
  <si>
    <t>https://giantfoodstores.com/product/gatorade-fruit-punch-sports-drink-28-oz-btl/7374</t>
  </si>
  <si>
    <t>Gatorade Fruit Punch Sports Drink</t>
  </si>
  <si>
    <t>https://giantfoodstores.com/product/gatorade-zero-sugar-orange-thirst-quencher-sports-drink-8-pk-20-oz-btl/269762</t>
  </si>
  <si>
    <t>Gatorade Zero Sugar Orange Thirst Quencher Sports Drink - 8 pk</t>
  </si>
  <si>
    <t>https://giantfoodstores.com/product/gatorade-zero-sugar-thirst-quencher-sports-drink-glacier-freeze-8-pk-20-oz-btl/259515</t>
  </si>
  <si>
    <t>Gatorade Zero Sugar Thirst Quencher Sports Drink Glacier Freeze - 8 pk</t>
  </si>
  <si>
    <t>https://giantfoodstores.com/product/gatorade-zero-sugar-fruit-punch-sports-drink-28-oz-btl/277799</t>
  </si>
  <si>
    <t>Gatorade Zero Sugar Fruit Punch Sports Drink</t>
  </si>
  <si>
    <t>https://giantfoodstores.com/product/gatorade-thirst-quencher-variety-pack-sports-drink-18-pk-12-oz-btl/211704</t>
  </si>
  <si>
    <t>Gatorade Thirst Quencher Variety Pack Sports Drink - 18 pk</t>
  </si>
  <si>
    <t>https://giantfoodstores.com/product/gatorade-fierce-blue-cherry-sports-drink-28-oz-btl/208082</t>
  </si>
  <si>
    <t>Gatorade Fierce Blue Cherry Sports Drink</t>
  </si>
  <si>
    <t>https://giantfoodstores.com/product/gatorade-zero-sugar-glacier-cherry-thirst-quencher-sports-drink-8-pk-20-oz-btl/259514</t>
  </si>
  <si>
    <t>Gatorade Zero Sugar Glacier Cherry Thirst Quencher Sports Drink - 8 pk</t>
  </si>
  <si>
    <t>https://giantfoodstores.com/product/gatorade-cookies-creme-20g-protein-bar-2.8-oz-bar/223658</t>
  </si>
  <si>
    <t>Gatorade Cookies &amp; Creme 20g Protein Bar</t>
  </si>
  <si>
    <t>https://giantfoodstores.com/product/gatorade-zero-sugar-thirst-quencher-sports-drink-cool-blue-8-pk-20-oz-btl/301854</t>
  </si>
  <si>
    <t>Gatorade Zero Sugar Thirst Quencher Sports Drink Cool Blue - 8 pk</t>
  </si>
  <si>
    <t>https://giantfoodstores.com/product/gatorade-zero-sugar-fruit-punch-sports-drink-8-pk-20-oz-btl/279394</t>
  </si>
  <si>
    <t>Gatorade Zero Sugar Fruit Punch Sports Drink - 8 pk</t>
  </si>
  <si>
    <t>https://giantfoodstores.com/product/gatorade-g-zero-sugar-cool-blue-sports-drink-28-oz-btl/298440</t>
  </si>
  <si>
    <t>Gatorade G Zero Sugar Cool Blue Sports Drink</t>
  </si>
  <si>
    <t>https://giantfoodstores.com/product/gatorade-mint-chocolate-crunch-20g-protein-bar-2.8-oz-bar/223660</t>
  </si>
  <si>
    <t>Gatorade Mint Chocolate Crunch 20g Protein Bar</t>
  </si>
  <si>
    <t>https://giantfoodstores.com/product/gatorade-smores-20g-protein-bar-2.8-oz-bar/356112</t>
  </si>
  <si>
    <t>Gatorade S'mores 20g Protein Bar</t>
  </si>
  <si>
    <t>https://giantfoodstores.com/product/gatorade-zero-glacier-freeze-thirst-quencher-powder-sticks-10-ct-1.08-oz-box/279242</t>
  </si>
  <si>
    <t>Gatorade Zero Glacier Freeze Thirst Quencher Powder Sticks - 10 ct</t>
  </si>
  <si>
    <t>1.08 OZ BOX</t>
  </si>
  <si>
    <t>$4.90 /OZ</t>
  </si>
  <si>
    <t>https://giantfoodstores.com/product/gatorade-fierce-blue-cherry-sports-drink-8-pk-20-oz-btl/205500</t>
  </si>
  <si>
    <t>Gatorade Fierce Blue Cherry Sports Drink - 8 pk</t>
  </si>
  <si>
    <t>https://giantfoodstores.com/product/gatorade-zero-sugar-thirst-quencher-sports-drink-strawberry-kiwi-8-pk-20-oz-btl/321487</t>
  </si>
  <si>
    <t>Gatorade Zero Sugar Thirst Quencher Sports Drink Strawberry Kiwi - 8 pk</t>
  </si>
  <si>
    <t>https://giantfoodstores.com/product/arizona-green-iced-tea-with-ginseng-honey-1-gal/125249</t>
  </si>
  <si>
    <t>https://i5.peapod.com/c/F5/F50FO.png</t>
  </si>
  <si>
    <t>Arizona</t>
  </si>
  <si>
    <t>1 GAL</t>
  </si>
  <si>
    <t>$0.02 /OZ</t>
  </si>
  <si>
    <t>https://giantfoodstores.com/product/arizona-arnold-palmer-lite-half-half-iced-tea-lemonade-1-gal/155276</t>
  </si>
  <si>
    <t>https://i5.peapod.com/c/8V/8V2YD.png</t>
  </si>
  <si>
    <t>https://giantfoodstores.com/product/arizona-zero-calorie-green-iced-tea-with-ginseng-1-gal/140809</t>
  </si>
  <si>
    <t>https://i5.peapod.com/c/8H/8HKO5.jpg</t>
  </si>
  <si>
    <t>https://giantfoodstores.com/product/arizona-green-iced-tea-with-ginseng-honey-34-oz-btl/124623</t>
  </si>
  <si>
    <t>https://i5.peapod.com/c/Q7/Q7KJR.png</t>
  </si>
  <si>
    <t>34 OZ BTL</t>
  </si>
  <si>
    <t>https://giantfoodstores.com/product/arizona-sun-brewed-style-iced-tea-with-lemon-flavor-1-gal/84554</t>
  </si>
  <si>
    <t>https://i5.peapod.com/c/CI/CIOS1.jpg</t>
  </si>
  <si>
    <t>https://giantfoodstores.com/product/arizona-southern-style-brewed-sweet-iced-tea-1-gal/159303</t>
  </si>
  <si>
    <t>https://i5.peapod.com/c/IP/IP66D.jpg</t>
  </si>
  <si>
    <t>https://giantfoodstores.com/product/arizona-rx-stress-caffeine-free-herbal-iced-tea-1-gal/167218</t>
  </si>
  <si>
    <t>https://i5.peapod.com/c/9N/9NW1L.jpg</t>
  </si>
  <si>
    <t>https://giantfoodstores.com/product/arizona-arnold-palmer-lite-half-half-iced-tea-lemonade-34-oz-btl/241100</t>
  </si>
  <si>
    <t>https://i5.peapod.com/c/ML/MLQA1.png</t>
  </si>
  <si>
    <t>https://giantfoodstores.com/product/arizona-arnold-palmer-diet-half-half-iced-tea-lemonade-1-gal/167239</t>
  </si>
  <si>
    <t>https://i5.peapod.com/c/9D/9DQTM.jpg</t>
  </si>
  <si>
    <t>https://giantfoodstores.com/product/arizona-green-iced-tea-with-ginseng-honey-12-pk-11.5-oz-can/189742</t>
  </si>
  <si>
    <t>https://i5.peapod.com/c/L4/L4WXA.png</t>
  </si>
  <si>
    <t>11.5 OZ CAN</t>
  </si>
  <si>
    <t>https://giantfoodstores.com/product/arizona-mucho-mango-fruit-juice-cocktail-128-oz-jug/289860</t>
  </si>
  <si>
    <t>https://i5.peapod.com/c/7P/7POLK.png</t>
  </si>
  <si>
    <t>128 OZ JUG</t>
  </si>
  <si>
    <t>https://giantfoodstores.com/product/arizona-juice-cocktail-fruit-punch-all-natural-128-oz-jug/289428</t>
  </si>
  <si>
    <t>https://i5.peapod.com/c/NE/NEO31.png</t>
  </si>
  <si>
    <t>https://giantfoodstores.com/product/arizona-zero-calorie-sun-brewed-style-iced-tea-with-lemon-flavor-1-gal/157913</t>
  </si>
  <si>
    <t>https://i5.peapod.com/c/PS/PSX85.jpg</t>
  </si>
  <si>
    <t>https://giantfoodstores.com/product/arizona-zero-calorie-sun-brewed-style-iced-tea-with-peach-flavor-1-gal/241045</t>
  </si>
  <si>
    <t>https://i5.peapod.com/c/P5/P5KLL.jpg</t>
  </si>
  <si>
    <t>https://giantfoodstores.com/product/arizona-arnold-palmer-lite-half-half-iced-tea-lemonade-12-pk-11.5-oz-can/162527</t>
  </si>
  <si>
    <t>https://i5.peapod.com/c/69/69U17.png</t>
  </si>
  <si>
    <t>https://giantfoodstores.com/product/arizona-kiwi-strawberry-fruit-juice-cocktail-all-natural-1-gal/348492</t>
  </si>
  <si>
    <t>https://i5.peapod.com/c/VT/VTTVD.png</t>
  </si>
  <si>
    <t>https://giantfoodstores.com/product/arizona-mucho-mango-fruit-juice-cocktail-34-oz-btl/340761</t>
  </si>
  <si>
    <t>https://i5.peapod.com/c/H7/H7R2L.png</t>
  </si>
  <si>
    <t>https://giantfoodstores.com/product/arizona-sun-brewed-style-iced-tea-with-lemon-flavor-34-oz-btl/251190</t>
  </si>
  <si>
    <t>https://i5.peapod.com/c/ST/STV6J.png</t>
  </si>
  <si>
    <t>https://giantfoodstores.com/product/arizona-fruit-juice-cocktail-watermelon-34-oz-btl/340763</t>
  </si>
  <si>
    <t>https://i5.peapod.com/c/UF/UFHGI.png</t>
  </si>
  <si>
    <t>https://giantfoodstores.com/product/arizona-sun-brewed-style-iced-tea-with-lemon-flavor-12-pk-11.5-oz-can/189741</t>
  </si>
  <si>
    <t>https://i5.peapod.com/c/O6/O6KPQ.png</t>
  </si>
  <si>
    <t>https://giantfoodstores.com/product/arizona-fruit-juice-cocktail-fruit-punch-34-oz-btl/340759</t>
  </si>
  <si>
    <t>https://i5.peapod.com/c/M0/M0K6Q.png</t>
  </si>
  <si>
    <t>https://giantfoodstores.com/product/arizona-arnold-palmer-zero-half-half-iced-tea-lemonade-12-pk-11.5-oz-can/162528</t>
  </si>
  <si>
    <t>https://i5.peapod.com/c/26/26XSK.jpg</t>
  </si>
  <si>
    <t>https://giantfoodstores.com/product/arizona-all-natural-mucho-mango-fruit-juice-cocktail-12-pk-11-oz-can/371813</t>
  </si>
  <si>
    <t>https://i5.peapod.com/c/AE/AEKV7.png</t>
  </si>
  <si>
    <t>11 OZ CAN</t>
  </si>
  <si>
    <t>https://giantfoodstores.com/product/digiorno-original-rising-crust-four-cheese-pizza-frozen-24.6-oz-box/364347</t>
  </si>
  <si>
    <t>https://i5.peapod.com/c/7A/7AV3Z.png</t>
  </si>
  <si>
    <t>DiGiorno Original Rising Crust Four Cheese Pizza Frozen</t>
  </si>
  <si>
    <t>DiGiorno</t>
  </si>
  <si>
    <t>24.6 OZ BOX</t>
  </si>
  <si>
    <t>https://giantfoodstores.com/product/digiorno-original-rising-crust-ultimate-pepperoni-pizza-frozen-24.7-oz-box/364350</t>
  </si>
  <si>
    <t>https://i5.peapod.com/c/R3/R3WJH.png</t>
  </si>
  <si>
    <t>DiGiorno Original Rising Crust Ultimate Pepperoni Pizza Frozen</t>
  </si>
  <si>
    <t>24.7 OZ BOX</t>
  </si>
  <si>
    <t>https://giantfoodstores.com/product/digiorno-cheese-stuffed-crust-four-cheese-pizza-frozen-8.5-oz-box/162435</t>
  </si>
  <si>
    <t>https://i5.peapod.com/c/QR/QRXW5.png</t>
  </si>
  <si>
    <t>DiGiorno Cheese Stuffed Crust Four Cheese Pizza Frozen</t>
  </si>
  <si>
    <t>https://giantfoodstores.com/product/digiorno-stuffed-crust-five-cheese-pizza-frozen-22.2-oz-box/148977</t>
  </si>
  <si>
    <t>https://i5.peapod.com/c/6M/6MVCP.png</t>
  </si>
  <si>
    <t>DiGiorno Stuffed Crust Five Cheese Pizza Frozen</t>
  </si>
  <si>
    <t>22.2 OZ BOX</t>
  </si>
  <si>
    <t>https://giantfoodstores.com/product/digiorno-cheese-stuffed-crust-pepperoni-pizza-frozen-22.2-oz-box/127378</t>
  </si>
  <si>
    <t>https://i5.peapod.com/c/F4/F4L1G.png</t>
  </si>
  <si>
    <t>DiGiorno Cheese Stuffed Crust Pepperoni Pizza Frozen</t>
  </si>
  <si>
    <t>https://giantfoodstores.com/product/digiorno-hand-tossed-style-crust-four-cheese-pizza-frozen-16.9-oz-box/364342</t>
  </si>
  <si>
    <t>https://i5.peapod.com/c/QK/QKEC5.png</t>
  </si>
  <si>
    <t>DiGiorno Hand-Tossed Style Crust Four Cheese Pizza Frozen</t>
  </si>
  <si>
    <t>16.9 OZ BOX</t>
  </si>
  <si>
    <t>https://giantfoodstores.com/product/digiorno-rising-crust-supreme-pizza-frozen-29.3-oz-box/364353</t>
  </si>
  <si>
    <t>https://i5.peapod.com/c/FT/FTQU7.png</t>
  </si>
  <si>
    <t>DiGiorno Rising Crust Supreme Pizza Frozen</t>
  </si>
  <si>
    <t>29.3 OZ BOX</t>
  </si>
  <si>
    <t>https://giantfoodstores.com/product/digiorno-traditional-crust-four-cheese-pizza-frozen-9.2-oz-box/145917</t>
  </si>
  <si>
    <t>https://i5.peapod.com/c/IG/IGSF3.png</t>
  </si>
  <si>
    <t>DiGiorno Traditional Crust Four Cheese Pizza Frozen</t>
  </si>
  <si>
    <t>9.2 OZ BOX</t>
  </si>
  <si>
    <t>https://giantfoodstores.com/product/digiorno-cheese-stuffed-crust-pepperoni-pizza-frozen-8.5-oz-box/162436</t>
  </si>
  <si>
    <t>https://i5.peapod.com/c/J6/J6BG5.png</t>
  </si>
  <si>
    <t>https://giantfoodstores.com/product/digiorno-hand-tossed-crust-pepperoni-pizza-frozen-17.3-oz-box/364345</t>
  </si>
  <si>
    <t>https://i5.peapod.com/c/1G/1GUIH.png</t>
  </si>
  <si>
    <t>DiGiorno Hand Tossed Crust Pepperoni Pizza Frozen</t>
  </si>
  <si>
    <t>17.3 OZ BOX</t>
  </si>
  <si>
    <t>https://giantfoodstores.com/product/digiorno-original-thin-crust-margherita-pizza-frozen-15.3-oz-box/362737</t>
  </si>
  <si>
    <t>https://i5.peapod.com/c/96/964YC.png</t>
  </si>
  <si>
    <t>DiGiorno Original Thin Crust Margherita Pizza Frozen</t>
  </si>
  <si>
    <t>15.3 OZ BOX</t>
  </si>
  <si>
    <t>https://giantfoodstores.com/product/digiorno-traditional-crust-pepperoni-pizza-frozen-9.3-oz-box/164953</t>
  </si>
  <si>
    <t>https://i5.peapod.com/c/XS/XSQ1D.png</t>
  </si>
  <si>
    <t>DiGiorno Traditional Crust Pepperoni Pizza Frozen</t>
  </si>
  <si>
    <t>9.3 OZ BOX</t>
  </si>
  <si>
    <t>https://giantfoodstores.com/product/digiorno-cheese-stuffed-crust-three-meat-pizza-frozen-24.5-oz-box/225729</t>
  </si>
  <si>
    <t>https://i5.peapod.com/c/Y7/Y7ZRO.png</t>
  </si>
  <si>
    <t>DiGiorno Cheese Stuffed Crust Three Meat Pizza Frozen</t>
  </si>
  <si>
    <t>24.5 OZ BOX</t>
  </si>
  <si>
    <t>https://giantfoodstores.com/product/digiorno-detroit-style-crust-four-cheese-pizza-frozen-20.9-oz-box/353104</t>
  </si>
  <si>
    <t>https://i5.peapod.com/c/6G/6GKI2.png</t>
  </si>
  <si>
    <t>DiGiorno Detroit Style Crust Four Cheese Pizza Frozen</t>
  </si>
  <si>
    <t>20.9 OZ BOX</t>
  </si>
  <si>
    <t>https://giantfoodstores.com/product/digiorno-detroit-style-crust-double-pepperoni-pizza-frozen-21.3-oz-box/353103</t>
  </si>
  <si>
    <t>https://i5.peapod.com/c/WG/WGHW9.png</t>
  </si>
  <si>
    <t>DiGiorno Detroit Style Crust Double Pepperoni Pizza Frozen</t>
  </si>
  <si>
    <t>21.3 OZ BOX</t>
  </si>
  <si>
    <t>https://giantfoodstores.com/product/digiorno-thin-crispy-stuffed-crust-pepperoni-sausage-pizza-frozen-21.4-oz-box/364361</t>
  </si>
  <si>
    <t>https://i5.peapod.com/c/56/56FKU.png</t>
  </si>
  <si>
    <t>DiGiorno Thin &amp; Crispy Stuffed Crust Pepperoni &amp; Sausage Pizza Frozen</t>
  </si>
  <si>
    <t>21.4 OZ BOX</t>
  </si>
  <si>
    <t>https://giantfoodstores.com/product/digiorno-thin-crispy-stuffed-crust-margherita-pizza-frozen-21-oz-box/364358</t>
  </si>
  <si>
    <t>https://i5.peapod.com/c/YK/YK8YV.png</t>
  </si>
  <si>
    <t>DiGiorno Thin &amp; Crispy Stuffed Crust Margherita Pizza Frozen</t>
  </si>
  <si>
    <t>21 OZ BOX</t>
  </si>
  <si>
    <t>https://giantfoodstores.com/product/totinos-cheese-pizza-rolls-snacks-50-ct-frozen-24.8-oz-bag/250773</t>
  </si>
  <si>
    <t>https://i5.peapod.com/c/W8/W8SJX.png</t>
  </si>
  <si>
    <t>Totino's Cheese Pizza Rolls Snacks - 50 ct Frozen</t>
  </si>
  <si>
    <t>Totino's</t>
  </si>
  <si>
    <t>24.8 OZ BAG</t>
  </si>
  <si>
    <t>https://giantfoodstores.com/product/totinos-pepperoni-pizza-rolls-snacks-50-ct-frozen-24.8-oz-bag/250822</t>
  </si>
  <si>
    <t>https://i5.peapod.com/c/KG/KG1M4.png</t>
  </si>
  <si>
    <t>Totino's Pepperoni Pizza Rolls Snacks - 50 ct Frozen</t>
  </si>
  <si>
    <t>https://giantfoodstores.com/product/totinos-pepperoni-party-pizza-frozen-10.2-oz-pkg/296374</t>
  </si>
  <si>
    <t>https://i5.peapod.com/c/4N/4NMTQ.png</t>
  </si>
  <si>
    <t>Totino's Pepperoni Party Pizza Frozen</t>
  </si>
  <si>
    <t>10.2 OZ PKG</t>
  </si>
  <si>
    <t>https://giantfoodstores.com/product/totinos-combination-pizza-rolls-snacks-50-ct-frozen-24.8-oz-bag/250792</t>
  </si>
  <si>
    <t>https://i5.peapod.com/c/ZU/ZU0W0.png</t>
  </si>
  <si>
    <t>Totino's Combination Pizza Rolls Snacks - 50 ct Frozen</t>
  </si>
  <si>
    <t>https://giantfoodstores.com/product/totinos-cheese-pizza-rolls-snacks-100-ct-frozen-48.8-oz-bag/284090</t>
  </si>
  <si>
    <t>https://i5.peapod.com/c/X9/X9WJ3.png</t>
  </si>
  <si>
    <t>Totino's Cheese Pizza Rolls Snacks - 100 ct Frozen</t>
  </si>
  <si>
    <t>48.8 OZ BAG</t>
  </si>
  <si>
    <t>https://giantfoodstores.com/product/totinos-pepperoni-pizza-rolls-snacks-100-ct-frozen-48.8-oz-bag/284091</t>
  </si>
  <si>
    <t>https://i5.peapod.com/c/NT/NTYQR.png</t>
  </si>
  <si>
    <t>Totino's Pepperoni Pizza Rolls Snacks - 100 ct Frozen</t>
  </si>
  <si>
    <t>https://giantfoodstores.com/product/totinos-combination-party-pizza-frozen-10.7-oz-pkg/5874</t>
  </si>
  <si>
    <t>https://i5.peapod.com/c/HW/HW25Z.png</t>
  </si>
  <si>
    <t>Totino's Combination Party Pizza Frozen</t>
  </si>
  <si>
    <t>https://giantfoodstores.com/product/totinos-combination-pizza-rolls-snacks-100-ct-frozen-48.8-oz-bag/284094</t>
  </si>
  <si>
    <t>https://i5.peapod.com/c/1I/1I79T.png</t>
  </si>
  <si>
    <t>Totino's Combination Pizza Rolls Snacks - 100 ct Frozen</t>
  </si>
  <si>
    <t>https://giantfoodstores.com/product/totinos-faze-clan-buffalo-style-chicken-pizza-rolls-snacks-50-ct-frozen-24.46-oz-bag/333760</t>
  </si>
  <si>
    <t>https://i5.peapod.com/c/5T/5TFM4.png</t>
  </si>
  <si>
    <t>Totino's Faze Clan Buffalo Style Chicken Pizza Rolls Snacks - 50 ct Frozen</t>
  </si>
  <si>
    <t>24.46 OZ BAG</t>
  </si>
  <si>
    <t>https://giantfoodstores.com/product/totinos-pepperoni-pizza-rolls-snacks-130-ct-frozen-63.5-oz-bag/284093</t>
  </si>
  <si>
    <t>https://i5.peapod.com/c/0R/0RBBA.png</t>
  </si>
  <si>
    <t>Totino's Pepperoni Pizza Rolls Snacks - 130 ct Frozen</t>
  </si>
  <si>
    <t>63.5 OZ BAG</t>
  </si>
  <si>
    <t>https://giantfoodstores.com/product/totinos-supreme-pizza-rolls-snacks-50-ct-frozen-24.8-oz-bag/292134</t>
  </si>
  <si>
    <t>https://i5.peapod.com/c/GF/GF5AJ.png</t>
  </si>
  <si>
    <t>Totino's Supreme Pizza Rolls Snacks - 50 ct Frozen</t>
  </si>
  <si>
    <t>https://giantfoodstores.com/product/totinos-triple-meat-pizza-rolls-snacks-50-ct-frozen-24.8-oz-bag/253512</t>
  </si>
  <si>
    <t>https://i5.peapod.com/c/EI/EIA8V.png</t>
  </si>
  <si>
    <t>Totino's Triple Meat Pizza Rolls Snacks - 50 ct Frozen</t>
  </si>
  <si>
    <t>https://giantfoodstores.com/product/totinos-triple-cheese-pizza-rolls-snacks-100-ct-frozen-48.8-oz-bag/304088</t>
  </si>
  <si>
    <t>https://i5.peapod.com/c/XB/XBT1L.png</t>
  </si>
  <si>
    <t>Totino's Triple Cheese Pizza Rolls Snacks - 100 ct Frozen</t>
  </si>
  <si>
    <t>https://giantfoodstores.com/product/totinos-triple-meat-party-pizza-frozen-10.5-oz-pkg/296379</t>
  </si>
  <si>
    <t>https://i5.peapod.com/c/XB/XBBW1.png</t>
  </si>
  <si>
    <t>Totino's Triple Meat Party Pizza Frozen</t>
  </si>
  <si>
    <t>https://giantfoodstores.com/product/totinos-breakfast-cheesy-chorizo-scramble-snack-bites-40-ct-19.5-oz-box/360605</t>
  </si>
  <si>
    <t>https://i5.peapod.com/c/YN/YN3OV.png</t>
  </si>
  <si>
    <t>19.5 OZ BOX</t>
  </si>
  <si>
    <t>https://giantfoodstores.com/product/totinos-faze-clan-orange-chicken-pizza-rolls-snacks-50-ct-frozen-24.4-oz-bag/351279</t>
  </si>
  <si>
    <t>https://i5.peapod.com/c/DV/DVJKZ.png</t>
  </si>
  <si>
    <t>Totino's Faze Clan Orange Chicken Pizza Rolls Snacks - 50 ct Frozen</t>
  </si>
  <si>
    <t>24.4 OZ BAG</t>
  </si>
  <si>
    <t>Lay's</t>
  </si>
  <si>
    <t>7.5 OZ BAG</t>
  </si>
  <si>
    <t>https://giantfoodstores.com/product/frito-lay-snacks-classic-mix-variety-pack-18-ct-18-oz-box/359168</t>
  </si>
  <si>
    <t>https://i5.peapod.com/c/XS/XS2DJ.png</t>
  </si>
  <si>
    <t>https://giantfoodstores.com/product/lays-classic-potato-chips-party-size-13-oz-bag/20186</t>
  </si>
  <si>
    <t>https://i5.peapod.com/c/TD/TDTKU.png</t>
  </si>
  <si>
    <t>Lay's Classic Potato Chips Party Size</t>
  </si>
  <si>
    <t>https://giantfoodstores.com/product/lays-classic-potato-chips-8-oz-bag/2661</t>
  </si>
  <si>
    <t>https://i5.peapod.com/c/BC/BCMP6.png</t>
  </si>
  <si>
    <t>Lay's Classic Potato Chips</t>
  </si>
  <si>
    <t>https://giantfoodstores.com/product/lays-potato-chips-classic-10-ct-10-oz-box/200782</t>
  </si>
  <si>
    <t>https://i5.peapod.com/c/9L/9L2ED.png</t>
  </si>
  <si>
    <t>Lay's Potato Chips Classic - 10 ct</t>
  </si>
  <si>
    <t>$0.70 /OZ</t>
  </si>
  <si>
    <t>https://giantfoodstores.com/product/lays-gluten-free-original-baked-potato-chips-6.25-oz-bag/44935</t>
  </si>
  <si>
    <t>https://i5.peapod.com/c/3M/3MLL3.png</t>
  </si>
  <si>
    <t>Lay's Gluten Free Original Baked Potato Chips</t>
  </si>
  <si>
    <t>6.25 OZ BAG</t>
  </si>
  <si>
    <t>$0.80 /OZ</t>
  </si>
  <si>
    <t>https://giantfoodstores.com/product/frito-lay-doritos-cheetos-mix-variety-pack-18-ct-17.6-oz-box/209636</t>
  </si>
  <si>
    <t>https://i5.peapod.com/c/SM/SMQAB.png</t>
  </si>
  <si>
    <t>17.6 OZ BOX</t>
  </si>
  <si>
    <t>https://giantfoodstores.com/product/lays-lightly-salted-original-wavy-potato-chips-7.5-oz-bag/193610</t>
  </si>
  <si>
    <t>https://i5.peapod.com/c/3S/3SO5F.png</t>
  </si>
  <si>
    <t>Lay's Lightly Salted Original Wavy Potato Chips</t>
  </si>
  <si>
    <t>https://giantfoodstores.com/product/lays-original-wavy-potato-chips-party-size-13-oz-bag/125490</t>
  </si>
  <si>
    <t>https://i5.peapod.com/c/BO/BOVX9.png</t>
  </si>
  <si>
    <t>Lay's Original Wavy Potato Chips Party Size</t>
  </si>
  <si>
    <t>https://giantfoodstores.com/product/lays-barbecue-potato-chips-7.75-oz-bag/38412</t>
  </si>
  <si>
    <t>https://i5.peapod.com/c/31/31G32.png</t>
  </si>
  <si>
    <t>Lay's Barbecue Potato Chips</t>
  </si>
  <si>
    <t>7.75 OZ BAG</t>
  </si>
  <si>
    <t>https://giantfoodstores.com/product/lays-sour-cream-onion-potato-chips-7.75-oz-bag/54237</t>
  </si>
  <si>
    <t>https://i5.peapod.com/c/SX/SX3P5.png</t>
  </si>
  <si>
    <t>Lay's Sour Cream &amp; Onion Potato Chips</t>
  </si>
  <si>
    <t>https://giantfoodstores.com/product/frito-lay-snacks-flavor-mix-variety-pack-18-ct-18-oz-box/359159</t>
  </si>
  <si>
    <t>https://i5.peapod.com/c/DA/DAO1I.png</t>
  </si>
  <si>
    <t>https://giantfoodstores.com/product/lays-salt-vinegar-potato-chips-7.75-oz-bag/96289</t>
  </si>
  <si>
    <t>https://i5.peapod.com/c/BH/BHSSL.png</t>
  </si>
  <si>
    <t>Lay's Salt &amp; Vinegar Potato Chips</t>
  </si>
  <si>
    <t>https://giantfoodstores.com/product/frito-lay-baked-popped-mix-variety-pack-18-ct-14.2-oz-box/145094</t>
  </si>
  <si>
    <t>https://i5.peapod.com/c/SJ/SJCPO.png</t>
  </si>
  <si>
    <t>https://giantfoodstores.com/product/lays-poppables-sea-salt-potato-snacks-5-oz-bag/222745</t>
  </si>
  <si>
    <t>https://i5.peapod.com/c/1P/1PO2Y.png</t>
  </si>
  <si>
    <t>Lay's Poppables Sea Salt Potato Snacks</t>
  </si>
  <si>
    <t>5 OZ BAG</t>
  </si>
  <si>
    <t>https://giantfoodstores.com/product/lays-lightly-salted-classic-potato-chips-7.75-oz-bag/141218</t>
  </si>
  <si>
    <t>https://i5.peapod.com/c/XM/XMUL5.png</t>
  </si>
  <si>
    <t>Lay's Lightly Salted Classic Potato Chips</t>
  </si>
  <si>
    <t>https://giantfoodstores.com/product/lays-classic-mix-variety-pack-mega-size-42-ct-39-oz-box/293956</t>
  </si>
  <si>
    <t>https://i5.peapod.com/c/5L/5L4Y8.png</t>
  </si>
  <si>
    <t>Lay's Classic Mix Variety Pack Mega Size - 42 ct</t>
  </si>
  <si>
    <t>39 OZ BOX</t>
  </si>
  <si>
    <t>https://giantfoodstores.com/product/lays-poppables-potato-snacks-white-cheddar-5-oz-bag/222746</t>
  </si>
  <si>
    <t>https://i5.peapod.com/c/TG/TG8LK.png</t>
  </si>
  <si>
    <t>Lay's Poppables Potato Snacks White Cheddar</t>
  </si>
  <si>
    <t>https://giantfoodstores.com/product/lays-original-wavy-potato-chips-7.75-oz-bag/228049</t>
  </si>
  <si>
    <t>https://i5.peapod.com/c/2P/2PP1M.png</t>
  </si>
  <si>
    <t>Lay's Original Wavy Potato Chips</t>
  </si>
  <si>
    <t>https://giantfoodstores.com/product/lays-baked-gluten-free-barbecue-potato-crisps-chips-6.25-oz-bag/46524</t>
  </si>
  <si>
    <t>https://i5.peapod.com/c/17/17HSX.png</t>
  </si>
  <si>
    <t>Lay's Baked Gluten Free Barbecue Potato Crisps Chips</t>
  </si>
  <si>
    <t>https://giantfoodstores.com/product/lays-barbecue-potato-chips-party-size-12.5-oz-bag/186687</t>
  </si>
  <si>
    <t>https://i5.peapod.com/c/O3/O3LTM.png</t>
  </si>
  <si>
    <t>Lay's Barbecue Potato Chips Party Size</t>
  </si>
  <si>
    <t>12.5 OZ BAG</t>
  </si>
  <si>
    <t>https://giantfoodstores.com/product/lays-lightly-salted-classic-potato-chips-party-size-12.5-oz-bag/277512</t>
  </si>
  <si>
    <t>https://i5.peapod.com/c/HW/HWVEU.png</t>
  </si>
  <si>
    <t>Lay's Lightly Salted Classic Potato Chips Party Size</t>
  </si>
  <si>
    <t>https://giantfoodstores.com/product/frito-lay-munchies-snack-mix-cheese-fix-party-size-13-oz-bag/175856</t>
  </si>
  <si>
    <t>https://i5.peapod.com/c/0Y/0YH15.png</t>
  </si>
  <si>
    <t>https://giantfoodstores.com/product/frito-lay-mega-size-flavor-mix-variety-pack-42-ct-41.3-oz-box/359554</t>
  </si>
  <si>
    <t>https://i5.peapod.com/c/UO/UOKE8.png</t>
  </si>
  <si>
    <t>41.3 OZ BOX</t>
  </si>
  <si>
    <t>https://giantfoodstores.com/product/lays-sour-cream-onion-potato-chips-party-size-12.5-oz-bag/186686</t>
  </si>
  <si>
    <t>https://i5.peapod.com/c/V9/V9NR7.png</t>
  </si>
  <si>
    <t>Lay's Sour Cream &amp; Onion Potato Chips Party Size</t>
  </si>
  <si>
    <t>https://giantfoodstores.com/product/lays-dill-pickle-potato-chips-7.75-oz-bag/138299</t>
  </si>
  <si>
    <t>https://i5.peapod.com/c/Y2/Y2Z2X.png</t>
  </si>
  <si>
    <t>Lay's Dill Pickle Potato Chips</t>
  </si>
  <si>
    <t>https://giantfoodstores.com/product/frito-lay-flavor-mix-variety-pack-party-size-28-ct-26.5-oz-box/197420</t>
  </si>
  <si>
    <t>https://i5.peapod.com/c/VK/VKJLC.png</t>
  </si>
  <si>
    <t>26.5 OZ BOX</t>
  </si>
  <si>
    <t>https://giantfoodstores.com/product/frito-lay-snacks-family-fun-variety-pack-18-ct-16.8-oz-box/359198</t>
  </si>
  <si>
    <t>https://i5.peapod.com/c/2E/2EPAP.png</t>
  </si>
  <si>
    <t>16.8 OZ BOX</t>
  </si>
  <si>
    <t>https://giantfoodstores.com/product/lays-poppables-sea-salt-vinegar-potato-snacks-5-oz-bag/278467</t>
  </si>
  <si>
    <t>https://i5.peapod.com/c/4E/4ESDT.png</t>
  </si>
  <si>
    <t>Lay's Poppables Sea Salt &amp; Vinegar Potato Snacks</t>
  </si>
  <si>
    <t>https://giantfoodstores.com/product/lays-salt-vinegar-potato-chips-party-size-12.5-oz-bag/277513</t>
  </si>
  <si>
    <t>https://i5.peapod.com/c/Q2/Q2XO1.png</t>
  </si>
  <si>
    <t>Lay's Salt &amp; Vinegar Potato Chips Party Size</t>
  </si>
  <si>
    <t>https://giantfoodstores.com/product/lays-all-dressed-potato-chips-7.75-oz-bag/376745</t>
  </si>
  <si>
    <t>https://i5.peapod.com/c/SI/SIAE3.png</t>
  </si>
  <si>
    <t>Lay's All Dressed Potato Chips</t>
  </si>
  <si>
    <t>https://giantfoodstores.com/product/lays-cheddar-sour-cream-potato-chips-7.75-oz-bag/136979</t>
  </si>
  <si>
    <t>https://i5.peapod.com/c/SD/SDITG.png</t>
  </si>
  <si>
    <t>Lay's Cheddar &amp; Sour Cream Potato Chips</t>
  </si>
  <si>
    <t>https://giantfoodstores.com/product/frito-lay-snacks-bold-mix-variety-pack-18-ct-17-oz-box/359155</t>
  </si>
  <si>
    <t>https://i5.peapod.com/c/UK/UK37K.png</t>
  </si>
  <si>
    <t>17 OZ BOX</t>
  </si>
  <si>
    <t>https://giantfoodstores.com/product/lays-honey-barbecue-potato-chips-7.75-oz-bag/164717</t>
  </si>
  <si>
    <t>https://i5.peapod.com/c/58/58RHV.png</t>
  </si>
  <si>
    <t>Lay's Honey Barbecue Potato Chips</t>
  </si>
  <si>
    <t>https://giantfoodstores.com/product/eggo-fully-loaded-chocolate-chip-brownie-protein-waffles-10-ct-12.3-oz-box/358234</t>
  </si>
  <si>
    <t>https://i5.peapod.com/c/2Q/2QG1T.png</t>
  </si>
  <si>
    <t>Eggo Fully Loaded Chocolate Chip Brownie Protein Waffles - 10 ct</t>
  </si>
  <si>
    <t>Eggo</t>
  </si>
  <si>
    <t>12.3 OZ BOX</t>
  </si>
  <si>
    <t>https://giantfoodstores.com/product/eggo-fully-loaded-strawberry-delight-protein-waffles-10-ct-12.3-oz-box/358235</t>
  </si>
  <si>
    <t>https://i5.peapod.com/c/YE/YE7R4.png</t>
  </si>
  <si>
    <t>Eggo Fully Loaded Strawberry Delight Protein Waffles - 10 ct</t>
  </si>
  <si>
    <t>https://giantfoodstores.com/product/eggo-homestyle-waffles-10-ct-12.3-oz-box/3937</t>
  </si>
  <si>
    <t>https://i5.peapod.com/c/M9/M9FRR.png</t>
  </si>
  <si>
    <t>Eggo Homestyle Waffles - 10 ct</t>
  </si>
  <si>
    <t>https://giantfoodstores.com/product/eggo-buttermilk-waffles-10-ct-12.3-oz-box/3935</t>
  </si>
  <si>
    <t>https://i5.peapod.com/c/K6/K616P.png</t>
  </si>
  <si>
    <t>Eggo Buttermilk Waffles - 10 ct</t>
  </si>
  <si>
    <t>https://giantfoodstores.com/product/eggo-minis-cinnamon-toast-waffles-10-ct-10.7-oz-box/34109</t>
  </si>
  <si>
    <t>https://i5.peapod.com/c/TH/THOYD.png</t>
  </si>
  <si>
    <t>Eggo Minis Cinnamon Toast Waffles - 10 ct</t>
  </si>
  <si>
    <t>https://giantfoodstores.com/product/eggo-minis-pancakes-40-ct-14.1-oz-box/139323</t>
  </si>
  <si>
    <t>https://i5.peapod.com/c/S3/S3KUE.png</t>
  </si>
  <si>
    <t>Eggo Minis Pancakes - 40 ct</t>
  </si>
  <si>
    <t>https://giantfoodstores.com/product/eggo-chocolatey-chip-waffles-10-ct-12.3-oz-box/110495</t>
  </si>
  <si>
    <t>https://i5.peapod.com/c/06/06OFJ.png</t>
  </si>
  <si>
    <t>Eggo Chocolatey Chip Waffles - 10 ct</t>
  </si>
  <si>
    <t>https://giantfoodstores.com/product/eggo-minis-chocolatey-chip-pancakes-5-ct-8.4-oz-box/206852</t>
  </si>
  <si>
    <t>https://i5.peapod.com/c/OU/OUYWM.png</t>
  </si>
  <si>
    <t>Eggo Minis Chocolatey Chip Pancakes - 5 ct</t>
  </si>
  <si>
    <t>https://giantfoodstores.com/product/eggo-blueberry-waffles-10-ct-12.3-oz-box/3940</t>
  </si>
  <si>
    <t>https://i5.peapod.com/c/77/77KJW.png</t>
  </si>
  <si>
    <t>Eggo Blueberry Waffles - 10 ct</t>
  </si>
  <si>
    <t>https://giantfoodstores.com/product/eggo-mickey-minnie-homestyle-waffles-10-ct-12.3-oz-box/225844</t>
  </si>
  <si>
    <t>https://i5.peapod.com/c/4D/4DYNZ.png</t>
  </si>
  <si>
    <t>Eggo Mickey &amp; Minnie Homestyle Waffles - 10 ct</t>
  </si>
  <si>
    <t>https://giantfoodstores.com/product/eggo-cinnamon-french-toaster-sticks-32-ct-12.7-oz-box/153134</t>
  </si>
  <si>
    <t>Eggo Cinnamon French Toaster Sticks - 32 ct</t>
  </si>
  <si>
    <t>12.7 OZ BOX</t>
  </si>
  <si>
    <t>https://giantfoodstores.com/product/eggo-chocolate-chip-pancakes-12-ct-14.8-oz-box/154312</t>
  </si>
  <si>
    <t>Eggo Chocolate Chip Pancakes - 12 ct</t>
  </si>
  <si>
    <t>https://giantfoodstores.com/product/eggo-homestyle-waffles-family-pack-24-ct-29.6-oz-box/41686</t>
  </si>
  <si>
    <t>Eggo Homestyle Waffles Family Pack - 24 ct</t>
  </si>
  <si>
    <t>29.6 OZ BOX</t>
  </si>
  <si>
    <t>https://giantfoodstores.com/product/eggo-thick-fluffy-original-belgian-style-waffles-6-ct-11.6-oz-box/161731</t>
  </si>
  <si>
    <t>Eggo Thick &amp; Fluffy Original Belgian Style Waffles - 6 ct</t>
  </si>
  <si>
    <t>11.6 OZ BOX</t>
  </si>
  <si>
    <t>https://giantfoodstores.com/product/eggo-minis-homestyle-waffles-10-ct-10.9-oz-box/133615</t>
  </si>
  <si>
    <t>Eggo Minis Homestyle Waffles - 10 ct</t>
  </si>
  <si>
    <t>https://giantfoodstores.com/product/eggo-buttermilk-pancakes-12-ct-14.8-oz-box/309509</t>
  </si>
  <si>
    <t>Eggo Buttermilk Pancakes - 12 ct</t>
  </si>
  <si>
    <t>https://giantfoodstores.com/product/eggo-strawberry-waffles-10-ct-12.3-oz-box/3934</t>
  </si>
  <si>
    <t>Eggo Strawberry Waffles - 10 ct</t>
  </si>
  <si>
    <t>https://giantfoodstores.com/product/eggo-minis-cinnamon-toast-waffles-family-pack-24-ct-25.8-oz-box/163085</t>
  </si>
  <si>
    <t>Eggo Minis Cinnamon Toast Waffles Family Pack - 24 ct</t>
  </si>
  <si>
    <t>25.8 OZ BOX</t>
  </si>
  <si>
    <t>https://giantfoodstores.com/product/eggo-original-french-toaster-sticks-32-ct-12.7-oz-box/143954</t>
  </si>
  <si>
    <t>Eggo Original French Toaster Sticks - 32 ct</t>
  </si>
  <si>
    <t>https://giantfoodstores.com/product/eggo-buttermilk-waffles-family-pack-24-ct-29.6-oz-box/162489</t>
  </si>
  <si>
    <t>Eggo Buttermilk Waffles Family Pack - 24 ct</t>
  </si>
  <si>
    <t>https://giantfoodstores.com/product/eggo-thick-fluffy-cinnamon-brown-sugar-belgian-waffles-6-ct-11.6-oz-box/167660</t>
  </si>
  <si>
    <t>Eggo Thick &amp; Fluffy Cinnamon Brown Sugar Belgian Waffles - 6 ct</t>
  </si>
  <si>
    <t>https://giantfoodstores.com/product/eggo-thick-fluffy-original-belgian-style-waffles-12-ct-23.2-oz-box/261364</t>
  </si>
  <si>
    <t>Eggo Thick &amp; Fluffy Original Belgian Style Waffles - 12 ct</t>
  </si>
  <si>
    <t>23.2 OZ BOX</t>
  </si>
  <si>
    <t>https://giantfoodstores.com/product/eggo-chocolatey-chip-waffles-family-pack-24-ct-29.6-oz-box/181811</t>
  </si>
  <si>
    <t>Eggo Chocolatey Chip Waffles Family Pack - 24 ct</t>
  </si>
  <si>
    <t>https://giantfoodstores.com/product/eggo-buttermilk-pancakes-family-pack-24-ct-29.6-oz-box/309510</t>
  </si>
  <si>
    <t>Eggo Buttermilk Pancakes Family Pack - 24 ct</t>
  </si>
  <si>
    <t>https://giantfoodstores.com/product/eggo-blueberry-waffles-family-pack-24-ct-29.6-oz-box/162947</t>
  </si>
  <si>
    <t>Eggo Blueberry Waffles Family Pack - 24 ct</t>
  </si>
  <si>
    <t>https://giantfoodstores.com/product/eggo-thick-fluffy-blueberry-belgian-style-waffles-6-ct-11.6-oz-box/225842</t>
  </si>
  <si>
    <t>Eggo Thick &amp; Fluffy Blueberry Belgian Style Waffles - 6 ct</t>
  </si>
  <si>
    <t>https://giantfoodstores.com/product/eggo-chocolatey-chip-banana-waffles-10-ct-12.3-oz-box/344118</t>
  </si>
  <si>
    <t>Eggo Chocolatey Chip Banana Waffles - 10 ct</t>
  </si>
  <si>
    <t>https://giantfoodstores.com/product/eggo-buttermilk-vanilla-protein-waffles-10-ct-frozen-12.3-oz-box/376435</t>
  </si>
  <si>
    <t>Eggo Buttermilk Vanilla Protein Waffles - 10 ct Frozen</t>
  </si>
  <si>
    <t>https://giantfoodstores.com/product/eggo-blueberry-pancakes-12-ct-14.8-oz-box/153956</t>
  </si>
  <si>
    <t>Eggo Blueberry Pancakes - 12 ct</t>
  </si>
  <si>
    <t>https://giantfoodstores.com/product/eggo-thick-fluffy-dark-chocolate-chip-belgian-style-waffles-6-ct-11.6-oz-box/358238</t>
  </si>
  <si>
    <t>Eggo Thick &amp; Fluffy Dark Chocolate Chip Belgian Style Waffles - 6 ct</t>
  </si>
  <si>
    <t>https://giantfoodstores.com/product/eggo-minis-berry-blast-toast-waffles-10-ct-10.7-oz-box/344117</t>
  </si>
  <si>
    <t>Eggo Minis Berry Blast Toast Waffles - 10 ct</t>
  </si>
  <si>
    <t>https://giantfoodstores.com/product/eggo-ready-to-eat-buttery-maple-belgian-style-street-waffles-4-ct-7.76-oz-box/327045</t>
  </si>
  <si>
    <t>Eggo Ready To Eat Buttery Maple Belgian-Style Street Waffles - 4 ct</t>
  </si>
  <si>
    <t>7.76 OZ BOX</t>
  </si>
  <si>
    <t>https://giantfoodstores.com/product/eggo-vanilla-protein-pancakes-8-ct-frozen-14.8-oz-box/376438</t>
  </si>
  <si>
    <t>Eggo Vanilla Protein Pancakes - 8 ct Frozen</t>
  </si>
  <si>
    <t>https://giantfoodstores.com/product/eggo-homestyle-waffles-40-ct-frozen-49.3-oz-box/192102</t>
  </si>
  <si>
    <t>Eggo Homestyle Waffles - 40 ct Frozen</t>
  </si>
  <si>
    <t>49.3 OZ BOX</t>
  </si>
  <si>
    <t>https://giantfoodstores.com/product/eggo-cinnamon-churro-flavor-waffles-10-ct-12.3-oz-box/358239</t>
  </si>
  <si>
    <t>Eggo Cinnamon Churro Flavor Waffles - 10 ct</t>
  </si>
  <si>
    <t>https://giantfoodstores.com/product/eggo-blueberry-protein-pancakes-8-ct-frozen-14.8-oz-box/376434</t>
  </si>
  <si>
    <t>Eggo Blueberry Protein Pancakes - 8 ct Frozen</t>
  </si>
  <si>
    <t>https://giantfoodstores.com/product/eggo-ready-to-eat-vanilla-bean-belgian-style-street-waffles-4-ct-7.76-oz-box/344529</t>
  </si>
  <si>
    <t>Eggo Ready To Eat Vanilla Bean Belgian-Style Street Waffles - 4 ct</t>
  </si>
  <si>
    <t>https://giantfoodstores.com/product/eggo-ready-to-eat-chocolate-chip-belgian-style-street-waffles-4-ct-7.76-oz-box/358236</t>
  </si>
  <si>
    <t>Eggo Ready To Eat Chocolate Chip Belgian-Style Street Waffles - 4 ct</t>
  </si>
  <si>
    <t>https://giantfoodstores.com/product/starbucks-frappuccino-mocha-chilled-coffee-drink-4-pk-9.5-oz-btl/72991</t>
  </si>
  <si>
    <t>https://i5.peapod.com/c/X5/X5PAJ.png</t>
  </si>
  <si>
    <t>Starbucks Frappuccino Mocha Chilled Coffee Drink - 4 pk</t>
  </si>
  <si>
    <t>Starbucks</t>
  </si>
  <si>
    <t>9.5 OZ BTL</t>
  </si>
  <si>
    <t>https://giantfoodstores.com/product/starbucks-frappuccino-vanilla-chilled-coffee-drink-4-pk-9.5-oz-btl/94186</t>
  </si>
  <si>
    <t>https://i5.peapod.com/c/PF/PFU4Y.png</t>
  </si>
  <si>
    <t>Starbucks Frappuccino Vanilla Chilled Coffee Drink - 4 pk</t>
  </si>
  <si>
    <t>https://giantfoodstores.com/product/starbucks-frappuccino-mocha-chilled-coffee-drink-13.7-oz-btl/175305</t>
  </si>
  <si>
    <t>https://i5.peapod.com/c/AK/AK2ME.png</t>
  </si>
  <si>
    <t>Starbucks Frappuccino Mocha Chilled Coffee Drink</t>
  </si>
  <si>
    <t>13.7 OZ BTL</t>
  </si>
  <si>
    <t>https://giantfoodstores.com/product/starbucks-frappuccino-vanilla-chilled-coffee-drink-13.7-oz-btl/224302</t>
  </si>
  <si>
    <t>https://i5.peapod.com/c/Q1/Q1M48.png</t>
  </si>
  <si>
    <t>Starbucks Frappuccino Vanilla Chilled Coffee Drink</t>
  </si>
  <si>
    <t>https://giantfoodstores.com/product/starbucks-frappuccino-caramel-chilled-coffee-drink-4-pk-9.5-oz-btl/226998</t>
  </si>
  <si>
    <t>https://i5.peapod.com/c/RE/RE23F.png</t>
  </si>
  <si>
    <t>Starbucks Frappuccino Caramel Chilled Coffee Drink - 4 pk</t>
  </si>
  <si>
    <t>https://giantfoodstores.com/product/starbucks-frappuccino-chilled-coffee-drink-13.7-oz-btl/175299</t>
  </si>
  <si>
    <t>https://i5.peapod.com/c/CY/CYBEP.png</t>
  </si>
  <si>
    <t>Starbucks Frappuccino Chilled Coffee Drink</t>
  </si>
  <si>
    <t>https://giantfoodstores.com/product/starbucks-frappuccino-chilled-coffee-drink-4-pk-9.5-oz-btl/72990</t>
  </si>
  <si>
    <t>https://i5.peapod.com/c/4X/4XKQX.png</t>
  </si>
  <si>
    <t>Starbucks Frappuccino Chilled Coffee Drink - 4 pk</t>
  </si>
  <si>
    <t>https://giantfoodstores.com/product/starbucks-frappuccino-caramel-chilled-coffee-drink-13.7-oz-btl/206524</t>
  </si>
  <si>
    <t>https://i5.peapod.com/c/1A/1AKTR.png</t>
  </si>
  <si>
    <t>Starbucks Frappuccino Caramel Chilled Coffee Drink</t>
  </si>
  <si>
    <t>https://giantfoodstores.com/product/starbucks-frappuccino-white-chocolate-mocha-chilled-coffee-drink-13.7-oz-btl/220995</t>
  </si>
  <si>
    <t>https://i5.peapod.com/c/MB/MBVNY.png</t>
  </si>
  <si>
    <t>Starbucks Frappuccino White Chocolate Mocha Chilled Coffee Drink</t>
  </si>
  <si>
    <t>https://giantfoodstores.com/product/starbucks-frappuccino-dark-chocolate-brownie-oatmilk-chilled-coffee-drink-13.7-oz-btl/324802</t>
  </si>
  <si>
    <t>https://i5.peapod.com/c/65/65TKV.png</t>
  </si>
  <si>
    <t>Starbucks Frappuccino Dark Chocolate Brownie Oatmilk Chilled Coffee Drink</t>
  </si>
  <si>
    <t>https://giantfoodstores.com/product/starbucks-frappuccino-caramel-waffle-cookie-oatmilk-chilled-coffee-drink-13.7-oz-btl/324801</t>
  </si>
  <si>
    <t>https://i5.peapod.com/c/TS/TSUFT.png</t>
  </si>
  <si>
    <t>Starbucks Frappuccino Caramel Waffle Cookie Oatmilk Chilled Coffee Drink</t>
  </si>
  <si>
    <t>https://giantfoodstores.com/product/starbucks-unsweet-black-espresso-americano-chilled-beverage-40-oz-btl/339783</t>
  </si>
  <si>
    <t>https://i5.peapod.com/c/EU/EUX6Y.png</t>
  </si>
  <si>
    <t>Starbucks Unsweet Black Espresso Americano Chilled Beverage</t>
  </si>
  <si>
    <t>40 OZ BTL</t>
  </si>
  <si>
    <t>https://giantfoodstores.com/product/hersheys-milk-chocolate-candy-bars-full-size-6-ct-9.3-oz-pkg/3221</t>
  </si>
  <si>
    <t>https://i5.peapod.com/c/L6/L6WO0.png</t>
  </si>
  <si>
    <t>Hershey's Milk Chocolate Candy Bars Full Size - 6 ct</t>
  </si>
  <si>
    <t>Hershey's</t>
  </si>
  <si>
    <t>9.3 OZ PKG</t>
  </si>
  <si>
    <t>$0.81 /OZ</t>
  </si>
  <si>
    <t>https://giantfoodstores.com/product/hersheys-milk-chocolate-candy-bar-1.55-oz-bar/158900</t>
  </si>
  <si>
    <t>https://i5.peapod.com/c/83/83LFR.png</t>
  </si>
  <si>
    <t>Hershey's Milk Chocolate Candy Bar</t>
  </si>
  <si>
    <t>1.55 OZ BAR</t>
  </si>
  <si>
    <t>https://giantfoodstores.com/product/hersheys-milk-chocolate-candy-bar-with-whole-almonds-1.45-oz-bar/167931</t>
  </si>
  <si>
    <t>https://i5.peapod.com/c/X4/X4Y1P.png</t>
  </si>
  <si>
    <t>Hershey's Milk Chocolate Candy Bar with Whole Almonds</t>
  </si>
  <si>
    <t>1.45 OZ BAR</t>
  </si>
  <si>
    <t>https://giantfoodstores.com/product/hersheys-milk-chocolate-candy-bars-snack-size-8-ct-3.6-oz-pkg/145851</t>
  </si>
  <si>
    <t>https://i5.peapod.com/c/JJ/JJ2GC.png</t>
  </si>
  <si>
    <t>Hershey's Milk Chocolate Candy Bars Snack Size - 8 ct</t>
  </si>
  <si>
    <t>3.6 OZ PKG</t>
  </si>
  <si>
    <t>https://giantfoodstores.com/product/hersheys-milk-chocolate-candy-bars-with-whole-almonds-full-size-6-ct-8.7-oz-pkg/74320</t>
  </si>
  <si>
    <t>https://i5.peapod.com/c/06/06QGO.png</t>
  </si>
  <si>
    <t>Hershey's Milk Chocolate Candy Bars with Whole Almonds Full Size - 6 ct</t>
  </si>
  <si>
    <t>8.7 OZ PKG</t>
  </si>
  <si>
    <t>$0.86 /OZ</t>
  </si>
  <si>
    <t>https://giantfoodstores.com/product/hersheys-special-dark-chocolate-candy-bar-xl-4.25-oz-bar/3217</t>
  </si>
  <si>
    <t>https://i5.peapod.com/c/KE/KEX2P.png</t>
  </si>
  <si>
    <t>Hershey's Special Dark Chocolate Candy Bar XL</t>
  </si>
  <si>
    <t>4.25 OZ BAR</t>
  </si>
  <si>
    <t>https://giantfoodstores.com/product/hersheys-milk-chocolate-candy-bars-snack-size-10.3-oz-bag/11310</t>
  </si>
  <si>
    <t>https://i5.peapod.com/c/3X/3X7PT.png</t>
  </si>
  <si>
    <t>Hershey's Milk Chocolate Candy Bars Snack Size</t>
  </si>
  <si>
    <t>10.3 OZ BAG</t>
  </si>
  <si>
    <t>https://giantfoodstores.com/product/hersheys-symphony-almonds-toffee-x-creamy-milk-chocolate-xl-candy-bar-4.25-oz-bar/38633</t>
  </si>
  <si>
    <t>https://i5.peapod.com/c/7F/7FLYU.png</t>
  </si>
  <si>
    <t>Hershey's Symphony Almonds &amp; Toffee X-Creamy Milk Chocolate XL Candy Bar</t>
  </si>
  <si>
    <t>https://giantfoodstores.com/product/hersheys-zero-sugar-special-dark-chocolate-candy-bars-5.1-oz-bag/311084</t>
  </si>
  <si>
    <t>https://i5.peapod.com/c/GV/GVRNB.png</t>
  </si>
  <si>
    <t>Hershey's Zero Sugar Special Dark Chocolate Candy Bars</t>
  </si>
  <si>
    <t>5.1 OZ BAG</t>
  </si>
  <si>
    <t>$1.06 /OZ</t>
  </si>
  <si>
    <t>https://giantfoodstores.com/product/hersheys-special-dark-chocolate-candy-bars-full-size-6-ct-8.7-oz-pkg/159780</t>
  </si>
  <si>
    <t>https://i5.peapod.com/c/6K/6KLRX.png</t>
  </si>
  <si>
    <t>Hershey's Special Dark Chocolate Candy Bars Full Size - 6 ct</t>
  </si>
  <si>
    <t>https://giantfoodstores.com/product/hersheys-special-dark-chocolate-candy-bars-snack-size-8-ct-3.6-oz-pkg/154399</t>
  </si>
  <si>
    <t>Hershey's Special Dark Chocolate Candy Bars Snack Size - 8 ct</t>
  </si>
  <si>
    <t>https://giantfoodstores.com/product/hersheys-milk-chocolate-candy-bar-giant-size-7.56-oz-bar/166428</t>
  </si>
  <si>
    <t>Hershey's Milk Chocolate Candy Bar Giant Size</t>
  </si>
  <si>
    <t>7.56 OZ BAR</t>
  </si>
  <si>
    <t>https://giantfoodstores.com/product/hersheys-special-dark-chocolate-candy-bar-giant-size-7.56-oz-bar/166430</t>
  </si>
  <si>
    <t>Hershey's Special Dark Chocolate Candy Bar Giant Size</t>
  </si>
  <si>
    <t>https://giantfoodstores.com/product/hersheys-milk-chocolate-candy-bar-xl-4.4-oz-bar/3215</t>
  </si>
  <si>
    <t>Hershey's Milk Chocolate Candy Bar XL</t>
  </si>
  <si>
    <t>4.4 OZ BAR</t>
  </si>
  <si>
    <t>https://giantfoodstores.com/product/hersheys-symphony-extra-creamy-milk-chocolate-xl-candy-bar-4.25-oz-bar/3218</t>
  </si>
  <si>
    <t>Hershey's Symphony Extra Creamy Milk Chocolate XL Candy Bar</t>
  </si>
  <si>
    <t>https://giantfoodstores.com/product/hersheys-milk-chocolate-candy-bar-with-almonds-xl-4.25-oz-bar/3216</t>
  </si>
  <si>
    <t>Hershey's Milk Chocolate Candy Bar with Almonds XL</t>
  </si>
  <si>
    <t>https://giantfoodstores.com/product/hersheys-mr.-goodbar-chocolate-candy-bar-with-peanuts-xl-4.4-oz-bar/159777</t>
  </si>
  <si>
    <t>Hershey's Mr. Goodbar Chocolate Candy Bar with Peanuts XL</t>
  </si>
  <si>
    <t>https://giantfoodstores.com/product/hersheys-milk-chocolate-candy-bar-with-almonds-giant-size-7.37-oz-bar/166429</t>
  </si>
  <si>
    <t>Hershey's Milk Chocolate Candy Bar with Almonds Giant Size</t>
  </si>
  <si>
    <t>7.37 OZ BAR</t>
  </si>
  <si>
    <t>https://giantfoodstores.com/product/hersheys-milk-chocolate-candy-bar-with-whole-almonds-king-size-2.6-oz-bar/166405</t>
  </si>
  <si>
    <t>Hershey's Milk Chocolate Candy Bar with Whole Almonds King Size</t>
  </si>
  <si>
    <t>2.6 OZ BAR</t>
  </si>
  <si>
    <t>$1.10 /OZ</t>
  </si>
  <si>
    <t>https://giantfoodstores.com/product/hersheys-milk-chocolate-candy-bar-king-size-2.6-oz-bar/166404</t>
  </si>
  <si>
    <t>Hershey's Milk Chocolate Candy Bar King Size</t>
  </si>
  <si>
    <t>https://giantfoodstores.com/product/hersheys-cookies-n-creme-candy-bar-1.55-oz-bar/166408</t>
  </si>
  <si>
    <t>Hershey's Cookies 'n' Creme Candy Bar</t>
  </si>
  <si>
    <t>https://giantfoodstores.com/product/hersheys-kisses-milk-chocolate-candy-share-pack-10.8-oz-bag/3209</t>
  </si>
  <si>
    <t>Hershey's KISSES Milk Chocolate Candy Share Pack</t>
  </si>
  <si>
    <t>https://giantfoodstores.com/product/hersheys-nuggets-milk-chocolate-candy-share-pack-10.2-oz-bag/34281</t>
  </si>
  <si>
    <t>Hershey's Nuggets Milk Chocolate Candy Share Pack</t>
  </si>
  <si>
    <t>10.2 OZ BAG</t>
  </si>
  <si>
    <t>https://giantfoodstores.com/product/hersheys-nuggets-milk-chocolate-candy-with-almonds-share-pack-10.1-oz-bag/39836</t>
  </si>
  <si>
    <t>Hershey's Nuggets Milk Chocolate Candy with Almonds Share Pack</t>
  </si>
  <si>
    <t>10.1 OZ BAG</t>
  </si>
  <si>
    <t>https://giantfoodstores.com/product/hersheys-chocolate-candy-miniatures-share-pack-10.4-oz-bag/26971</t>
  </si>
  <si>
    <t>Hershey's Chocolate Candy Miniatures Share Pack</t>
  </si>
  <si>
    <t>10.4 OZ BAG</t>
  </si>
  <si>
    <t>https://giantfoodstores.com/product/hersheys-chocolate-candy-assortment-miniatures-share-pack-9.08-oz-bag/281807</t>
  </si>
  <si>
    <t>Hershey's Chocolate Candy Assortment Miniatures Share Pack</t>
  </si>
  <si>
    <t>9.08 OZ BAG</t>
  </si>
  <si>
    <t>https://giantfoodstores.com/product/hersheys-kisses-special-dark-chocolate-candy-share-pack-10-oz-bag/146286</t>
  </si>
  <si>
    <t>Hershey's KISSES Special Dark Chocolate Candy Share Pack</t>
  </si>
  <si>
    <t>https://giantfoodstores.com/product/hersheys-nuggets-milk-chocolate-candy-with-toffee-almonds-share-pack-10.2-oz-bag/102153</t>
  </si>
  <si>
    <t>Hershey's Nuggets Milk Chocolate Candy with Toffee &amp; Almonds Share Pack</t>
  </si>
  <si>
    <t>https://giantfoodstores.com/product/hersheys-nuggets-special-dark-chocolate-candy-with-almonds-share-pack-10.1-oz-bag/102152</t>
  </si>
  <si>
    <t>Hershey's Nuggets Special Dark Chocolate Candy with Almonds Share Pack</t>
  </si>
  <si>
    <t>https://giantfoodstores.com/product/hersheys-nuggets-special-dark-chocolate-candy-share-pack-10.2-oz-bag/329444</t>
  </si>
  <si>
    <t>Hershey's Nuggets Special Dark Chocolate Candy Share Pack</t>
  </si>
  <si>
    <t>https://giantfoodstores.com/product/hersheys-special-dark-chocolate-candy-assortment-miniatures-share-pack-10.1-oz-bag/155646</t>
  </si>
  <si>
    <t>Hershey's Special Dark Chocolate Candy Assortment Miniatures Share Pack</t>
  </si>
  <si>
    <t>https://giantfoodstores.com/product/hersheys-kisses-milk-chocolate-candy-with-almonds-share-pack-10-oz-bag/26974</t>
  </si>
  <si>
    <t>Hershey's KISSES Milk Chocolate Candy with Almonds Share Pack</t>
  </si>
  <si>
    <t>https://giantfoodstores.com/product/hersheys-kisses-milk-chocolate-candy-family-pack-17.9-oz-bag/26976</t>
  </si>
  <si>
    <t>Hershey's KISSES Milk Chocolate Candy Family Pack</t>
  </si>
  <si>
    <t>17.9 OZ BAG</t>
  </si>
  <si>
    <t>https://giantfoodstores.com/product/hersheys-nuggets-dark-chocolate-truffles-candy-share-pack-7.7-oz-bag/329568</t>
  </si>
  <si>
    <t>Hershey's Nuggets Dark Chocolate Truffles Candy Share Pack</t>
  </si>
  <si>
    <t>7.7 OZ BAG</t>
  </si>
  <si>
    <t>https://giantfoodstores.com/product/hersheys-hugs-milk-chocolate-white-creme-candy-share-pack-10.6-oz-bag/26973</t>
  </si>
  <si>
    <t>Hershey's HUGS Milk Chocolate &amp; White Creme Candy Share Pack</t>
  </si>
  <si>
    <t>10.6 OZ BAG</t>
  </si>
  <si>
    <t>https://giantfoodstores.com/product/hersheys-zero-sugar-chocolate-candy-5.1-oz-bag/307207</t>
  </si>
  <si>
    <t>Hershey's Zero Sugar Chocolate Candy</t>
  </si>
  <si>
    <t>https://giantfoodstores.com/product/hersheys-kisses-special-dark-chocolate-candy-family-pack-16.1-oz-bag/233652</t>
  </si>
  <si>
    <t>Hershey's KISSES Special Dark Chocolate Candy Family Pack</t>
  </si>
  <si>
    <t>16.1 OZ BAG</t>
  </si>
  <si>
    <t>https://giantfoodstores.com/product/hersheys-nuggets-milk-chocolate-truffles-candy-share-pack-7.7-oz-bag/328444</t>
  </si>
  <si>
    <t>Hershey's Nuggets Milk Chocolate Truffles Candy Share Pack</t>
  </si>
  <si>
    <t>https://giantfoodstores.com/product/hersheys-kisses-rainbow-brownie-milk-chocolate-candy-share-pack-9-oz-pkg/360908</t>
  </si>
  <si>
    <t>Hershey's KISSES Rainbow Brownie Milk Chocolate Candy Share Pack</t>
  </si>
  <si>
    <t>https://giantfoodstores.com/product/hersheys-kisses-milk-chocolate-candy-4.84-oz-bag/340766</t>
  </si>
  <si>
    <t>Hershey's KISSES Milk Chocolate Candy</t>
  </si>
  <si>
    <t>4.84 OZ BAG</t>
  </si>
  <si>
    <t>https://giantfoodstores.com/product/oscar-mayer-fully-cooked-hardwood-smoked-original-bacon-slices-2.52-oz-box/85222</t>
  </si>
  <si>
    <t>https://i5.peapod.com/c/VB/VBU56.png</t>
  </si>
  <si>
    <t>Oscar Mayer Fully Cooked Hardwood Smoked Original Bacon Slices</t>
  </si>
  <si>
    <t>Protein</t>
  </si>
  <si>
    <t>2.52 OZ BOX</t>
  </si>
  <si>
    <t>$31.19 /LB</t>
  </si>
  <si>
    <t>https://giantfoodstores.com/product/oscar-mayer-fully-cooked-hardwood-smoked-thick-cut-bacon-slices-2.52-oz-box/142535</t>
  </si>
  <si>
    <t>https://i5.peapod.com/c/ZO/ZO341.png</t>
  </si>
  <si>
    <t>Oscar Mayer Fully Cooked Hardwood Smoked Thick Cut Bacon Slices</t>
  </si>
  <si>
    <t>https://giantfoodstores.com/product/oscar-mayer-fully-cooked-hardwood-smoked-thick-cut-maple-bacon-slices-2.52-oz-pkg/257459</t>
  </si>
  <si>
    <t>https://i5.peapod.com/c/S2/S2WAM.png</t>
  </si>
  <si>
    <t>Oscar Mayer Fully Cooked Hardwood Smoked Thick Cut Maple Bacon Slices</t>
  </si>
  <si>
    <t>2.52 OZ PKG</t>
  </si>
  <si>
    <t>$33.27 /LB</t>
  </si>
  <si>
    <t>https://giantfoodstores.com/product/oscar-mayer-fully-cooked-hardwood-smoked-bacon-slices-mega-pack-6.3-oz-box/300625</t>
  </si>
  <si>
    <t>https://i5.peapod.com/c/YK/YKJ2Q.png</t>
  </si>
  <si>
    <t>Oscar Mayer Fully Cooked Hardwood Smoked Bacon Slices Mega Pack</t>
  </si>
  <si>
    <t>6.3 OZ BOX</t>
  </si>
  <si>
    <t>$33.31 /LB</t>
  </si>
  <si>
    <t>https://giantfoodstores.com/product/oscar-mayer-naturally-hardwood-smoked-original-bacon-sliced-16-oz-pkg/6372</t>
  </si>
  <si>
    <t>https://i5.peapod.com/c/WR/WRQNM.png</t>
  </si>
  <si>
    <t>Oscar Mayer Naturally Hardwood Smoked Original Bacon Sliced</t>
  </si>
  <si>
    <t>$8.49 /LB</t>
  </si>
  <si>
    <t>https://giantfoodstores.com/product/oscar-mayer-naturally-hardwood-smoked-original-center-cut-bacon-sliced-12-oz-pkg/6374</t>
  </si>
  <si>
    <t>https://i5.peapod.com/c/F6/F6B2P.png</t>
  </si>
  <si>
    <t>Oscar Mayer Naturally Hardwood Smoked Original Center Cut Bacon Sliced</t>
  </si>
  <si>
    <t>$11.32 /LB</t>
  </si>
  <si>
    <t>https://giantfoodstores.com/product/oscar-mayer-naturally-hardwood-smoked-thick-cut-bacon-sliced-16-oz-pkg/22437</t>
  </si>
  <si>
    <t>https://i5.peapod.com/c/VH/VHFQ5.png</t>
  </si>
  <si>
    <t>Oscar Mayer Naturally Hardwood Smoked Thick Cut Bacon Sliced</t>
  </si>
  <si>
    <t>https://giantfoodstores.com/product/oscar-mayer-original-bologna-sliced-16-oz-pkg/341063</t>
  </si>
  <si>
    <t>https://i5.peapod.com/c/L5/L5LWA.png</t>
  </si>
  <si>
    <t>Oscar Mayer Original Bologna Sliced</t>
  </si>
  <si>
    <t>$3.49 /LB</t>
  </si>
  <si>
    <t>https://giantfoodstores.com/product/oscar-mayer-original-uncured-turkey-chicken-pork-wieners-10-ct-16-oz-pkg/6332</t>
  </si>
  <si>
    <t>https://i5.peapod.com/c/6E/6EU3F.png</t>
  </si>
  <si>
    <t>Oscar Mayer Original Uncured Turkey Chicken &amp; Pork Wieners - 10 ct</t>
  </si>
  <si>
    <t>https://giantfoodstores.com/product/oscar-mayer-deli-fresh-oven-roasted-turkey-breast-sliced-9-oz-pkg/134995</t>
  </si>
  <si>
    <t>https://i5.peapod.com/c/RM/RM49L.png</t>
  </si>
  <si>
    <t>Oscar Mayer Deli Fresh Oven Roasted Turkey Breast Sliced</t>
  </si>
  <si>
    <t>$8.91 /LB</t>
  </si>
  <si>
    <t>https://giantfoodstores.com/product/oscar-mayer-natural-uncured-turkey-franks-8-ct-16-oz-pkg/158284</t>
  </si>
  <si>
    <t>Oscar Mayer Natural Uncured Turkey Franks - 8 ct</t>
  </si>
  <si>
    <t>$6.49 /LB</t>
  </si>
  <si>
    <t>https://giantfoodstores.com/product/oscar-mayer-original-smoked-cured-turkey-bacon-sliced-12-oz-pkg/8507</t>
  </si>
  <si>
    <t>Oscar Mayer Original Smoked Cured Turkey Bacon Sliced</t>
  </si>
  <si>
    <t>$6.39 /LB</t>
  </si>
  <si>
    <t>https://giantfoodstores.com/product/oscar-mayer-lower-sodium-naturally-hardwood-smoked-bacon-sliced-16-oz-pkg/6373</t>
  </si>
  <si>
    <t>Oscar Mayer Lower Sodium Naturally Hardwood Smoked Bacon Sliced</t>
  </si>
  <si>
    <t>https://giantfoodstores.com/product/oscar-mayer-naturally-hardwood-smoked-maple-flavor-bacon-sliced-16-oz-pkg/134682</t>
  </si>
  <si>
    <t>Oscar Mayer Naturally Hardwood Smoked Maple Flavor Bacon Sliced</t>
  </si>
  <si>
    <t>$9.99 /LB</t>
  </si>
  <si>
    <t>https://giantfoodstores.com/product/oscar-mayer-cheese-stuffed-dogs-10-ct-16-oz-pkg/6331</t>
  </si>
  <si>
    <t>Oscar Mayer Cheese Stuffed Dogs - 10 ct</t>
  </si>
  <si>
    <t>https://giantfoodstores.com/product/oscar-mayer-deli-fresh-honey-smoked-turkey-breast-sliced-9-oz-pkg/153746</t>
  </si>
  <si>
    <t>Oscar Mayer Deli Fresh Honey Smoked Turkey Breast Sliced</t>
  </si>
  <si>
    <t>https://giantfoodstores.com/product/oscar-mayer-deli-fresh-lower-sodium-oven-roasted-turkey-breast-sliced-8-oz-pkg/223051</t>
  </si>
  <si>
    <t>Oscar Mayer Deli Fresh Lower Sodium Oven Roasted Turkey Breast Sliced</t>
  </si>
  <si>
    <t>https://giantfoodstores.com/product/oscar-mayer-deli-fresh-smoked-turkey-breast-sliced-9-oz-pkg/130474</t>
  </si>
  <si>
    <t>Oscar Mayer Deli Fresh Smoked Turkey Breast Sliced</t>
  </si>
  <si>
    <t>https://giantfoodstores.com/product/oscar-mayer-deli-fresh-oven-roasted-turkey-breast-sliced-family-pack-16-oz-pkg/159346</t>
  </si>
  <si>
    <t>Oscar Mayer Deli Fresh Oven Roasted Turkey Breast Sliced Family Pack</t>
  </si>
  <si>
    <t>https://giantfoodstores.com/product/oscar-mayer-classic-uncured-beef-franks-10-ct-15-oz-pkg/6335</t>
  </si>
  <si>
    <t>Oscar Mayer Classic Uncured Beef Franks - 10 ct</t>
  </si>
  <si>
    <t>$7.01 /LB</t>
  </si>
  <si>
    <t>https://giantfoodstores.com/product/oscar-mayer-deli-fresh-rotisserie-seasoned-chicken-breast-sliced-9-oz-pkg/153745</t>
  </si>
  <si>
    <t>Oscar Mayer Deli Fresh Rotisserie Seasoned Chicken Breast Sliced</t>
  </si>
  <si>
    <t>https://giantfoodstores.com/product/oscar-mayer-deli-fresh-honey-uncured-ham-sliced-9-oz-pkg/134996</t>
  </si>
  <si>
    <t>Oscar Mayer Deli Fresh Honey Uncured Ham Sliced</t>
  </si>
  <si>
    <t>https://giantfoodstores.com/product/oscar-mayer-deli-fresh-cracked-black-pepper-turkey-breast-sliced-8-oz-pkg/184155</t>
  </si>
  <si>
    <t>Oscar Mayer Deli Fresh Cracked Black Pepper Turkey Breast Sliced</t>
  </si>
  <si>
    <t>https://giantfoodstores.com/product/oscar-mayer-original-uncured-turkey-franks-10-ct-16-oz-pkg/21852</t>
  </si>
  <si>
    <t>Oscar Mayer Original Uncured Turkey Franks - 10 ct</t>
  </si>
  <si>
    <t>https://giantfoodstores.com/product/oscar-mayer-deli-fresh-honey-smoked-turkey-breast-sliced-family-pack-16-oz-pkg/223052</t>
  </si>
  <si>
    <t>Oscar Mayer Deli Fresh Honey Smoked Turkey Breast Sliced Family Pack</t>
  </si>
  <si>
    <t>https://giantfoodstores.com/product/oscar-mayer-original-beef-bologna-sliced-16-oz-pkg/300619</t>
  </si>
  <si>
    <t>Oscar Mayer Original Beef Bologna Sliced</t>
  </si>
  <si>
    <t>https://giantfoodstores.com/product/oscar-mayer-deli-fresh-rotisserie-seasoned-chicken-breast-sliced-family-pk-16-oz-pkg/183769</t>
  </si>
  <si>
    <t>Oscar Mayer Deli Fresh Rotisserie Seasoned Chicken Breast Sliced Family Pk</t>
  </si>
  <si>
    <t>https://giantfoodstores.com/product/oscar-mayer-scramblers-bacon-velveeta-scramble-kit-3-oz-cup/347838</t>
  </si>
  <si>
    <t>Oscar Mayer Scramblers Bacon &amp; Velveeta Scramble Kit</t>
  </si>
  <si>
    <t>3 OZ CUP</t>
  </si>
  <si>
    <t>https://giantfoodstores.com/product/oscar-mayer-jumbo-uncured-turkey-chicken-pork-wieners-8-ct-16-oz-pkg/81330</t>
  </si>
  <si>
    <t>Oscar Mayer Jumbo Uncured Turkey Chicken &amp; Pork Wieners - 8 ct</t>
  </si>
  <si>
    <t>https://giantfoodstores.com/product/oscar-mayer-bun-length-uncured-angus-beef-franks-8-ct-15-oz-pkg/6334</t>
  </si>
  <si>
    <t>Oscar Mayer Bun Length Uncured Angus Beef Franks - 8 ct</t>
  </si>
  <si>
    <t>https://giantfoodstores.com/product/oscar-mayer-deli-fresh-oven-roasted-turkey-breast-smoked-ham-sliced-9-oz-pkg/185048</t>
  </si>
  <si>
    <t>Oscar Mayer Deli Fresh Oven Roasted Turkey Breast &amp; Smoked Ham Sliced</t>
  </si>
  <si>
    <t>https://giantfoodstores.com/product/oscar-mayer-scramblers-ham-colby-jack-scramble-kit-3-oz-cup/347839</t>
  </si>
  <si>
    <t>Oscar Mayer Scramblers Ham &amp; Colby Jack Scramble Kit</t>
  </si>
  <si>
    <t>https://giantfoodstores.com/product/oscar-mayer-lower-fat-original-turkey-bologna-sliced-16-oz-pkg/8501</t>
  </si>
  <si>
    <t>Oscar Mayer Lower Fat Original Turkey Bologna Sliced</t>
  </si>
  <si>
    <t>$3.79 /LB</t>
  </si>
  <si>
    <t>https://giantfoodstores.com/product/oscar-mayer-deli-fresh-smoked-turkey-breast-sliced-family-pack-16-oz-pkg/183768</t>
  </si>
  <si>
    <t>Oscar Mayer Deli Fresh Smoked Turkey Breast Sliced Family Pack</t>
  </si>
  <si>
    <t>https://giantfoodstores.com/product/oscar-mayer-jumbo-uncured-beef-franks-8-ct-15-oz-pkg/206141</t>
  </si>
  <si>
    <t>Oscar Mayer Jumbo Uncured Beef Franks - 8 ct</t>
  </si>
  <si>
    <t>https://giantfoodstores.com/product/oscar-mayer-chopped-ham-original-sliced-16-oz-pkg/203740</t>
  </si>
  <si>
    <t>Oscar Mayer Chopped Ham Original Sliced</t>
  </si>
  <si>
    <t>$4.49 /LB</t>
  </si>
  <si>
    <t>https://giantfoodstores.com/product/oscar-mayer-naturally-hardwood-smoked-original-bacon-sliced-22-oz-pkg/213560</t>
  </si>
  <si>
    <t>$8.33 /LB</t>
  </si>
  <si>
    <t>https://giantfoodstores.com/product/oscar-mayer-deli-fresh-uncured-ham-virginia-brand-sliced-9-oz-pkg/153748</t>
  </si>
  <si>
    <t>Oscar Mayer Deli Fresh Uncured Ham Virginia Brand Sliced</t>
  </si>
  <si>
    <t>https://giantfoodstores.com/product/oscar-mayer-deli-fresh-sliced-honey-uncured-ham-family-pack-16-oz-pkg/207747</t>
  </si>
  <si>
    <t>Oscar Mayer Deli Fresh Sliced Honey Uncured Ham Family Pack</t>
  </si>
  <si>
    <t>https://giantfoodstores.com/product/oscar-mayer-beef-bologna-thick-sliced-16-oz-pkg/246442</t>
  </si>
  <si>
    <t>Oscar Mayer Beef Bologna Thick Sliced</t>
  </si>
  <si>
    <t>https://giantfoodstores.com/product/spam-classic-12-oz-can/3828</t>
  </si>
  <si>
    <t>https://i5.peapod.com/c/QD/QD65R.png</t>
  </si>
  <si>
    <t>https://giantfoodstores.com/product/spam-25-reduced-sodium-12-oz-can/3826</t>
  </si>
  <si>
    <t>https://i5.peapod.com/c/GP/GPM64.png</t>
  </si>
  <si>
    <t>https://giantfoodstores.com/product/spam-lite-12-oz-can/32918</t>
  </si>
  <si>
    <t>https://i5.peapod.com/c/Z2/Z2T79.jpg</t>
  </si>
  <si>
    <t>https://giantfoodstores.com/product/spam-classic-2-ct-12-oz-can/261834</t>
  </si>
  <si>
    <t>https://i5.peapod.com/c/LV/LVBXG.png</t>
  </si>
  <si>
    <t>https://giantfoodstores.com/product/spam-hickory-smoke-flavored-12-oz-can/199165</t>
  </si>
  <si>
    <t>https://i5.peapod.com/c/BH/BHDZH.png</t>
  </si>
  <si>
    <t>https://giantfoodstores.com/product/spam-oven-roasted-turkey-12-oz-can/128073</t>
  </si>
  <si>
    <t>https://i5.peapod.com/c/OX/OXR2H.jpg</t>
  </si>
  <si>
    <t>https://giantfoodstores.com/product/spam-with-bacon-12-oz-can/224450</t>
  </si>
  <si>
    <t>https://i5.peapod.com/c/YR/YR42K.jpg</t>
  </si>
  <si>
    <t>https://giantfoodstores.com/product/spam-classic-single-2.5-oz-pkg/176108</t>
  </si>
  <si>
    <t>https://i5.peapod.com/c/WJ/WJLK7.png</t>
  </si>
  <si>
    <t>2.5 OZ PKG</t>
  </si>
  <si>
    <t>https://giantfoodstores.com/product/spam-classic-7-oz-can/166586</t>
  </si>
  <si>
    <t>https://i5.peapod.com/c/KD/KDI91.png</t>
  </si>
  <si>
    <t>7 OZ CAN</t>
  </si>
  <si>
    <t>https://giantfoodstores.com/product/spam-single-lite-sliced-meat-2.5-oz-pkg/374316</t>
  </si>
  <si>
    <t>https://i5.peapod.com/c/RW/RW52P.png</t>
  </si>
  <si>
    <t>https://giantfoodstores.com/product/spam-25-reduced-sodium-7-oz-tin/373618</t>
  </si>
  <si>
    <t>7 OZ TIN</t>
  </si>
  <si>
    <t>https://giantfoodstores.com/product/hillshire-farm-polska-kielbasa-rope-14-oz-pkg/61536</t>
  </si>
  <si>
    <t>https://i5.peapod.com/c/F6/F6MJY.png</t>
  </si>
  <si>
    <t>Hillshire Farm Polska Kielbasa Rope</t>
  </si>
  <si>
    <t>$5.10 /LB</t>
  </si>
  <si>
    <t>https://giantfoodstores.com/product/hillshire-farm-beef-polska-kielbasa-sausage-rope-12-oz-pkg/115390</t>
  </si>
  <si>
    <t>https://i5.peapod.com/c/5N/5N9SD.png</t>
  </si>
  <si>
    <t>Hillshire Farm Beef Polska Kielbasa Sausage Rope</t>
  </si>
  <si>
    <t>$7.32 /LB</t>
  </si>
  <si>
    <t>https://giantfoodstores.com/product/hillshire-farm-oven-roasted-turkey-breast-ultra-thin-sliced-9-oz-tub/129117</t>
  </si>
  <si>
    <t>https://i5.peapod.com/c/TG/TGXH9.png</t>
  </si>
  <si>
    <t>Hillshire Farm Oven Roasted Turkey Breast Ultra Thin Sliced</t>
  </si>
  <si>
    <t>9 OZ TUB</t>
  </si>
  <si>
    <t>$9.45 /LB</t>
  </si>
  <si>
    <t>https://giantfoodstores.com/product/hillshire-farm-turkey-polska-kielbasa-rope-13-oz-pkg/61399</t>
  </si>
  <si>
    <t>https://i5.peapod.com/c/TB/TBNI4.png</t>
  </si>
  <si>
    <t>Hillshire Farm Turkey Polska Kielbasa Rope</t>
  </si>
  <si>
    <t>13 OZ PKG</t>
  </si>
  <si>
    <t>$5.54 /LB</t>
  </si>
  <si>
    <t>https://giantfoodstores.com/product/hillshire-farms-small-plates-genoa-salame-w-white-cheddar-toasted-rounds-2.76-oz-pkg/225551</t>
  </si>
  <si>
    <t>https://i5.peapod.com/c/H9/H999K.png</t>
  </si>
  <si>
    <t>Hillshire Farms Small Plates Genoa Salame w/White Cheddar &amp; Toasted Rounds</t>
  </si>
  <si>
    <t>2.76 OZ PKG</t>
  </si>
  <si>
    <t>$1.21 /OZ</t>
  </si>
  <si>
    <t>https://giantfoodstores.com/product/hillshire-farm-ham-honey-ultra-thin-sliced-9-oz-tub/129115</t>
  </si>
  <si>
    <t>https://i5.peapod.com/c/PD/PDQ2X.png</t>
  </si>
  <si>
    <t>Hillshire Farm Ham Honey Ultra Thin Sliced</t>
  </si>
  <si>
    <t>https://giantfoodstores.com/product/hillshire-farm-smoked-turkey-sausage-rope-13-oz-pkg/190317</t>
  </si>
  <si>
    <t>https://i5.peapod.com/c/NC/NCG4Z.png</t>
  </si>
  <si>
    <t>Hillshire Farm Smoked Turkey Sausage Rope</t>
  </si>
  <si>
    <t>https://giantfoodstores.com/product/hillshire-farm-smoked-sausage-rope-14-oz-pkg/61398</t>
  </si>
  <si>
    <t>https://i5.peapod.com/c/KF/KFKR5.png</t>
  </si>
  <si>
    <t>Hillshire Farm Smoked Sausage Rope</t>
  </si>
  <si>
    <t>https://giantfoodstores.com/product/hillshire-farm-oven-roasted-turkey-breast-ultra-thin-sliced-family-size-16-oz-tub/155196</t>
  </si>
  <si>
    <t>https://i5.peapod.com/c/69/69XAB.png</t>
  </si>
  <si>
    <t>Hillshire Farm Oven Roasted Turkey Breast Ultra Thin Sliced Family Size</t>
  </si>
  <si>
    <t>https://giantfoodstores.com/product/hillshire-farm-ham-honey-ultra-thin-sliced-family-size-16-oz-tub/155195</t>
  </si>
  <si>
    <t>https://i5.peapod.com/c/WL/WLQ0O.png</t>
  </si>
  <si>
    <t>Hillshire Farm Ham Honey Ultra Thin Sliced Family Size</t>
  </si>
  <si>
    <t>https://giantfoodstores.com/product/hillshire-farm-lower-sodium-sliced-honey-ham-8-oz-tub/159361</t>
  </si>
  <si>
    <t>https://i5.peapod.com/c/KC/KCXS6.png</t>
  </si>
  <si>
    <t>Hillshire Farm Lower Sodium Sliced Honey Ham</t>
  </si>
  <si>
    <t>$10.58 /LB</t>
  </si>
  <si>
    <t>https://giantfoodstores.com/product/hillshire-farm-litl-smokies-smoked-beef-sausage-12-oz-pkg/115386</t>
  </si>
  <si>
    <t>https://i5.peapod.com/c/SX/SXY4Q.png</t>
  </si>
  <si>
    <t>Hillshire Farm Lit'l Smokies Smoked Beef Sausage</t>
  </si>
  <si>
    <t>https://giantfoodstores.com/product/hillshire-farm-beef-smoked-sausage-rope-12-oz-pkg/72059</t>
  </si>
  <si>
    <t>https://i5.peapod.com/c/Y3/Y37U4.png</t>
  </si>
  <si>
    <t>Hillshire Farm Beef Smoked Sausage Rope</t>
  </si>
  <si>
    <t>https://giantfoodstores.com/product/hillshire-farm-honey-roasted-turkey-breast-ultra-thin-sliced-9-oz-tub/129118</t>
  </si>
  <si>
    <t>https://i5.peapod.com/c/DS/DS9MQ.png</t>
  </si>
  <si>
    <t>Hillshire Farm Honey Roasted Turkey Breast Ultra Thin Sliced</t>
  </si>
  <si>
    <t>https://giantfoodstores.com/product/hillshire-farm-roast-beef-ultra-thin-sliced-7-oz-tub/129119</t>
  </si>
  <si>
    <t>https://i5.peapod.com/c/J1/J1UFU.png</t>
  </si>
  <si>
    <t>Hillshire Farm Roast Beef Ultra Thin Sliced</t>
  </si>
  <si>
    <t>7 OZ TUB</t>
  </si>
  <si>
    <t>$12.02 /LB</t>
  </si>
  <si>
    <t>https://giantfoodstores.com/product/hillshire-farm-snack-kit-honey-turkey-breast-colby-jack-cheese-cracker-2.76-oz-pkg/351727</t>
  </si>
  <si>
    <t>https://i5.peapod.com/c/K3/K3BKQ.png</t>
  </si>
  <si>
    <t>Hillshire Farm Snack Kit Honey Turkey Breast Colby Jack Cheese &amp; Cracker</t>
  </si>
  <si>
    <t>https://giantfoodstores.com/product/hillshire-farm-ham-smoked-ultra-thin-sliced-9-oz-tub/129116</t>
  </si>
  <si>
    <t>https://i5.peapod.com/c/KL/KLCTG.png</t>
  </si>
  <si>
    <t>Hillshire Farm Ham Smoked Ultra Thin Sliced</t>
  </si>
  <si>
    <t>https://giantfoodstores.com/product/hillshire-farm-litl-smokies-smoked-sausage-14-oz-pkg/28639</t>
  </si>
  <si>
    <t>https://i5.peapod.com/c/NG/NG6FV.png</t>
  </si>
  <si>
    <t>Hillshire Farm Lit'l Smokies Smoked Sausage</t>
  </si>
  <si>
    <t>$6.24 /LB</t>
  </si>
  <si>
    <t>https://giantfoodstores.com/product/hillshire-farm-lite-polska-kielbasa-rope-13-oz-pkg/127291</t>
  </si>
  <si>
    <t>https://i5.peapod.com/c/3J/3JN0I.png</t>
  </si>
  <si>
    <t>Hillshire Farm Lite Polska Kielbasa Rope</t>
  </si>
  <si>
    <t>https://giantfoodstores.com/product/hillshire-farm-black-forest-ham-ultra-thin-sliced-16-oz-tub/238611</t>
  </si>
  <si>
    <t>https://i5.peapod.com/c/8F/8FPYJ.png</t>
  </si>
  <si>
    <t>Hillshire Farm Black Forest Ham Ultra Thin Sliced</t>
  </si>
  <si>
    <t>https://giantfoodstores.com/product/hillshire-farm-ham-brown-sugar-ultra-thin-sliced-9-oz-tub/155942</t>
  </si>
  <si>
    <t>https://i5.peapod.com/c/0S/0SIQV.png</t>
  </si>
  <si>
    <t>Hillshire Farm Ham Brown Sugar Ultra Thin Sliced</t>
  </si>
  <si>
    <t>https://giantfoodstores.com/product/hillshire-farm-rotisserie-seasoned-chicken-breast-ultra-thin-sliced-9-oz-tub/142645</t>
  </si>
  <si>
    <t>https://i5.peapod.com/c/B6/B6HWR.png</t>
  </si>
  <si>
    <t>Hillshire Farm Rotisserie Seasoned Chicken Breast Ultra Thin Sliced</t>
  </si>
  <si>
    <t>https://giantfoodstores.com/product/hillshire-farm-smoked-ham-monterey-jack-cheese-wheat-crackers-2.76-oz-pkg/348985</t>
  </si>
  <si>
    <t>https://i5.peapod.com/c/F7/F734Z.png</t>
  </si>
  <si>
    <t>Hillshire Farm Smoked Ham Monterey Jack Cheese &amp; Wheat Crackers</t>
  </si>
  <si>
    <t>https://giantfoodstores.com/product/hillshire-farm-honey-roasted-turkey-breast-ultra-thin-sliced-family-size-16-oz-tub/327260</t>
  </si>
  <si>
    <t>https://i5.peapod.com/c/8N/8NARU.png</t>
  </si>
  <si>
    <t>Hillshire Farm Honey Roasted Turkey Breast Ultra Thin Sliced Family Size</t>
  </si>
  <si>
    <t>https://giantfoodstores.com/product/hillshire-farm-pastrami-ultra-thin-sliced-7-oz-tub/141967</t>
  </si>
  <si>
    <t>https://i5.peapod.com/c/DY/DY1VH.png</t>
  </si>
  <si>
    <t>Hillshire Farm Pastrami Ultra Thin Sliced</t>
  </si>
  <si>
    <t>https://giantfoodstores.com/product/hillshire-farm-oven-roasted-turkey-breast-ultra-thin-sliced-mega-pack-22-oz-pkg/344912</t>
  </si>
  <si>
    <t>https://i5.peapod.com/c/GH/GHLOX.png</t>
  </si>
  <si>
    <t>Hillshire Farm Oven Roasted Turkey Breast Ultra Thin Sliced Mega Pack</t>
  </si>
  <si>
    <t>$8.02 /LB</t>
  </si>
  <si>
    <t>https://giantfoodstores.com/product/hillshire-farm-polska-kielbasa-sausage-rope-family-size-42-oz-pkg/61756</t>
  </si>
  <si>
    <t>https://i5.peapod.com/c/65/65QUZ.png</t>
  </si>
  <si>
    <t>Hillshire Farm Polska Kielbasa Sausage Rope Family Size</t>
  </si>
  <si>
    <t>42 OZ PKG</t>
  </si>
  <si>
    <t>$4.18 /LB</t>
  </si>
  <si>
    <t>https://giantfoodstores.com/product/hillshire-farm-litl-smokies-smoked-turkey-sausage-14-oz-pkg/156380</t>
  </si>
  <si>
    <t>https://i5.peapod.com/c/IE/IEQ2T.png</t>
  </si>
  <si>
    <t>Hillshire Farm Lit'l Smokies Smoked Turkey Sausage</t>
  </si>
  <si>
    <t>https://giantfoodstores.com/product/hillshire-farm-black-forest-ham-ultra-thin-mega-pack-22-oz-pkg/351726</t>
  </si>
  <si>
    <t>https://i5.peapod.com/c/PD/PD1IM.png</t>
  </si>
  <si>
    <t>Hillshire Farm Black Forest Ham Ultra Thin Mega Pack</t>
  </si>
  <si>
    <t>helper_1</t>
  </si>
  <si>
    <t>Horizon Organic</t>
  </si>
  <si>
    <t>Yogurt</t>
  </si>
  <si>
    <t>https://giantfoodstores.com/product/goya-dried-red-kidney-beans-1-lb-bag/14413</t>
  </si>
  <si>
    <t>https://i5.peapod.com/c/V2/V2POI.png</t>
  </si>
  <si>
    <t>Goya Dried Red Kidney Beans</t>
  </si>
  <si>
    <t>SPAM Classic</t>
  </si>
  <si>
    <t>SPAM 25% Reduced Sodium</t>
  </si>
  <si>
    <t>SPAM Lite</t>
  </si>
  <si>
    <t>SPAM Classic - 2 ct</t>
  </si>
  <si>
    <t>SPAM Hickory Smoke Flavored</t>
  </si>
  <si>
    <t>SPAM Oven Roasted Turkey</t>
  </si>
  <si>
    <t>SPAM with Bacon</t>
  </si>
  <si>
    <t>SPAM Classic Single</t>
  </si>
  <si>
    <t>SPAM Single Lite Sliced Meat</t>
  </si>
  <si>
    <t>Lay's Snacks Bold Mix Variety Pack - 18 ct</t>
  </si>
  <si>
    <t>Lay's Snacks Family Fun Variety Pack - 18 ct</t>
  </si>
  <si>
    <t>Lay's Flavor Mix Variety Pack Party Size - 28 ct</t>
  </si>
  <si>
    <t>Lay's Mega Size Flavor Mix Variety Pack - 42 ct</t>
  </si>
  <si>
    <t>Lay's Munchies Snack Mix Cheese Fix Party Size</t>
  </si>
  <si>
    <t>Lay's Baked &amp; Popped Mix Variety Pack - 18 ct</t>
  </si>
  <si>
    <t>Lay's Snacks Flavor Mix Variety Pack - 18 ct</t>
  </si>
  <si>
    <t>Lay's Doritos &amp; Cheetos Mix Variety Pack - 18 ct</t>
  </si>
  <si>
    <t>Lay's Snacks Classic Mix Variety Pack - 18 ct</t>
  </si>
  <si>
    <t>Totino's Breakfast Cheesy Chorizo Scramble Snack Bites - 40 ct</t>
  </si>
  <si>
    <t>Arizona Green Iced Tea with Ginseng &amp; Honey</t>
  </si>
  <si>
    <t>Arizona Arnold Palmer Lite Half &amp; Half Iced Tea Lemonade</t>
  </si>
  <si>
    <t>Arizona Sun Brewed Style Iced Tea with Lemon Flavor</t>
  </si>
  <si>
    <t>Arizona Southern Style Brewed Sweet Iced Tea</t>
  </si>
  <si>
    <t>Arizona RX Stress Caffeine Free Herbal Iced Tea</t>
  </si>
  <si>
    <t>Arizona Arnold Palmer Diet Half &amp; Half Iced Tea Lemonade</t>
  </si>
  <si>
    <t>Arizona Green Iced Tea with Ginseng &amp; Honey - 12 pk</t>
  </si>
  <si>
    <t>Arizona Mucho Mango Fruit Juice Cocktail</t>
  </si>
  <si>
    <t>Arizona Juice Cocktail Fruit Punch All Natural</t>
  </si>
  <si>
    <t>Arizona Zero Calorie Sun Brewed Style Iced Tea with Lemon Flavor</t>
  </si>
  <si>
    <t>Arizona Zero Calorie Sun Brewed Style Iced Tea with Peach Flavor</t>
  </si>
  <si>
    <t>Arizona Arnold Palmer Lite Half &amp; Half Iced Tea Lemonade - 12 pk</t>
  </si>
  <si>
    <t>Arizona Kiwi Strawberry Fruit Juice Cocktail All Natural</t>
  </si>
  <si>
    <t>Arizona Fruit Juice Cocktail Watermelon</t>
  </si>
  <si>
    <t>Arizona Sun Brewed Style Iced Tea with Lemon Flavor - 12 pk</t>
  </si>
  <si>
    <t>Arizona Fruit Juice Cocktail Fruit Punch</t>
  </si>
  <si>
    <t>Arizona Arnold Palmer Zero Half &amp; Half Iced Tea Lemonade - 12 pk</t>
  </si>
  <si>
    <t>Arizona All Natural Mucho Mango Fruit Juice Cocktail - 12 pk</t>
  </si>
  <si>
    <t>San Pellegrino Sparkling Natural Mineral Water - 6 pk</t>
  </si>
  <si>
    <t>San Pellegrino Sparkling Natural Mineral Water - 12 pk</t>
  </si>
  <si>
    <t>San Pellegrino Sparkling Natural Mineral Water - 8 pk</t>
  </si>
  <si>
    <t>San Pellegrino Sparkling Natural Mineral Water</t>
  </si>
  <si>
    <t>Coca-Cola Diet Soda</t>
  </si>
  <si>
    <t>Coca-Cola Diet Soda Caffeine Free Mini - 6 pk</t>
  </si>
  <si>
    <t>Coca-Cola Diet Soda Caffeine Free - 8 pk</t>
  </si>
  <si>
    <t>Coca-Cola Diet Soda Mini - 6 pk</t>
  </si>
  <si>
    <t>Coca-Cola Diet Soda - 8 pk</t>
  </si>
  <si>
    <t>Coca-Cola Diet Soda Caffeine Free</t>
  </si>
  <si>
    <t>Coca-Cola Diet Soda - 24 pk</t>
  </si>
  <si>
    <t>Coca-Cola Diet Soda Caffeine Free - 6 pk</t>
  </si>
  <si>
    <t>Coca-Cola Diet Soda Caffeine Free - 12 pk</t>
  </si>
  <si>
    <t>Coca-Cola Diet Soda Mini - 10 pk</t>
  </si>
  <si>
    <t>Coca-Cola Diet Soda - 6 pk</t>
  </si>
  <si>
    <t>Coca-Cola Diet Soda - 12 pk</t>
  </si>
  <si>
    <t>Rao's Homemade Rigatoni Bolognese Frozen Meal</t>
  </si>
  <si>
    <t>Rao's Homemade Slow Simmered Tomato Basil Soup</t>
  </si>
  <si>
    <t>Rao's Homemade Brick Oven Crust Supreme Pizza Frozen</t>
  </si>
  <si>
    <t>Rao's Homemade Brick Oven Crust Meat Trio Pizza Frozen</t>
  </si>
  <si>
    <t>Rao's Homemade Four Cheese Pasta Bake</t>
  </si>
  <si>
    <t>Rao's Homemade Caramelized Onion Carbonara Frozen Meal</t>
  </si>
  <si>
    <t>Rao's Homemade Homestyle Italian Sausage &amp; Mushroom Pasta Sauce</t>
  </si>
  <si>
    <t>Rao's Homemade Slow Simmered Vegetable Minestrone Soup</t>
  </si>
  <si>
    <t>Rao's Homemade Slow Simmered Chicken &amp; Gnocchi Soup</t>
  </si>
  <si>
    <t>Rao's Homemade Penne Arrabbiata with Spicy Sausage Frozen Meal</t>
  </si>
  <si>
    <t>Rao's Homemade Chicken Parmesan Frozen Meal</t>
  </si>
  <si>
    <t>Rao's Homemade Chicken Alfredo Frozen Meal</t>
  </si>
  <si>
    <t>Rao's Homemade Homestyle Bolognese with Meat Tomato Pasta Sauce</t>
  </si>
  <si>
    <t>Rao's Homemade Meat Lasagna Frozen Meal</t>
  </si>
  <si>
    <t>Rao's Homemade Meatballs &amp; Sauce Frozen</t>
  </si>
  <si>
    <t>Rao's Homemade Brick Oven Crust Uncured Pepperoni Pizza Frozen</t>
  </si>
  <si>
    <t>Rao's Homemade Slow Simmered Chicken Noodle Soup</t>
  </si>
  <si>
    <t>Rao's Homemade Slow Simmered Italian Wedding with Meatballs Soup</t>
  </si>
  <si>
    <t>Rao's Homemade Four Cheese Ravioli with Marinara Sauce Frozen Meal</t>
  </si>
  <si>
    <t>Rao's Homemade Penne Alla Vodka Frozen Meal</t>
  </si>
  <si>
    <t>Rao's Homemade Brick Oven Crust Five Cheese Pizza Frozen</t>
  </si>
  <si>
    <t>helper_2</t>
  </si>
  <si>
    <t>helper_3</t>
  </si>
  <si>
    <t>Cheese</t>
  </si>
  <si>
    <t>Fruit &amp; Vegetables</t>
  </si>
  <si>
    <t>Canned Vegetables</t>
  </si>
  <si>
    <t>Beverages</t>
  </si>
  <si>
    <t>Canned Fruit</t>
  </si>
  <si>
    <t xml:space="preserve">Bread </t>
  </si>
  <si>
    <t>Milk</t>
  </si>
  <si>
    <t>Hillshire Farm</t>
  </si>
  <si>
    <t>SPAM</t>
  </si>
  <si>
    <t>Oscar Mayer</t>
  </si>
  <si>
    <t>OREO</t>
  </si>
  <si>
    <t>Dannon Light + Fit</t>
  </si>
  <si>
    <t>Arizona Zero Calorie Green Iced Tea with Ginseng</t>
  </si>
  <si>
    <t>Giant_food_group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</si>
</sst>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8" fontId="0" fillId="0" borderId="0" xfId="0" applyNumberFormat="1"/>
    <xf numFmtId="44" fontId="0" fillId="0" borderId="0" xfId="1" applyFont="1"/>
    <xf numFmtId="43" fontId="0" fillId="0" borderId="0" xfId="1" applyNumberFormat="1" applyFont="1"/>
  </cellXfs>
  <cellStyles count="2">
    <cellStyle name="Currency" xfId="1" builtinId="4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138E44-3946-401C-A65C-B81F33237846}" name="Table13" displayName="Table13" ref="A1:I1376" totalsRowShown="0">
  <autoFilter ref="A1:I1376" xr:uid="{BA138E44-3946-401C-A65C-B81F33237846}"/>
  <sortState xmlns:xlrd2="http://schemas.microsoft.com/office/spreadsheetml/2017/richdata2" ref="A2:I561">
    <sortCondition ref="D1:D561"/>
  </sortState>
  <tableColumns count="9">
    <tableColumn id="1" xr3:uid="{EA9E7AF8-4866-4CC9-8D9F-F4524FFE719E}" name="Giant_product_url"/>
    <tableColumn id="2" xr3:uid="{41F10314-06FF-4582-9C1A-A3C9009DF783}" name="Giant_product_image_url"/>
    <tableColumn id="3" xr3:uid="{FDE66329-FB2E-4F3D-B3EA-9DE3366DBC34}" name="Giant_product_name"/>
    <tableColumn id="7" xr3:uid="{D77DDB45-FAF9-4403-BEE7-54EC70A7A074}" name="Giant_product_brand" dataDxfId="5">
      <calculatedColumnFormula array="1">_xlfn.TEXTJOIN("", TRUE, IF(ISNUMBER(SEARCH($K$1379:$K$1423, C2)), $K$1379:$K$1423, ""))</calculatedColumnFormula>
    </tableColumn>
    <tableColumn id="8" xr3:uid="{BED74CCB-F92A-425D-A66C-5B8B0AEF7DB7}" name="Giant_product_type" dataDxfId="4">
      <calculatedColumnFormula>IF(OR(D2="Mission",D2="Nature's Own",D2="Sara Lee"),"Bread",
IF(OR(D2="Del Monte",D2="Dole",D2="Mott's"),"Canned Fruit",
IF(OR(D2="Goya",D2="Hunt's",D2="Birds Eye"),"Canned Vegetables",
IF(OR(D2="fairlife",D2="Horizon Organic",D2="Lactaid",D2="Ben &amp; Jerry's"),"Milk",
IF(OR(D2="BelGioioso",D2="Kraft",D2="Philadelphia"),"Cheese",
IF(OR(D2="Chobani",D2="Oikos",D2="Dannon Light + Fit"),"Yogurt",
IF(OR(D2="Barilla",D2="Annie's",D2="Rao's Homemade"),"Pasta",
IF(OR(D2="Hershey's",D2="Lay's",D2="Totino's",D2="Cheerios",D2="Jif",D2="Skippy",D2="Nature Valley",D2="OREO",D2="DiGiorno",D2="Eggo"),"Prepared Food",
IF(OR(D2="Ben's Original",D2="Lundberg",D2="Quaker"),"Rice",
IF(OR(D2="Bush's",D2="Hillshire Farm",D2="Oscar Mayer",D2="SPAM"),"Protein",
IF(OR(D2="Starbucks",D2="Sparkling Ice",D2="Coca-Cola",D2="San Pellegrino",D2="Gatorade",D2="Arizona"),"Beverages",
"Other")))))))))))</calculatedColumnFormula>
    </tableColumn>
    <tableColumn id="9" xr3:uid="{96EF5AFF-90B2-404F-826D-FE4805E86A1D}" name="Giant_food_group" dataDxfId="3">
      <calculatedColumnFormula>IF(OR(E2="Bread",E2="Rice",E2="Pasta"), "Grain",
IF(OR(E2="Milk",E2="Cheese",E2="Yogurt"), "Dairy",
IF(OR(E2="Canned Fruit",E2="Canned Vegetables"), "Fruit &amp; Vegetables",
IF(E2="Prepared Food", "Prepared Food",
IF(E2="Protein", "Protein",
IF(E2="Beverages", "Beverages",
"Other"))))))</calculatedColumnFormula>
    </tableColumn>
    <tableColumn id="4" xr3:uid="{579313C7-72AD-47BE-89EB-BF8389B15184}" name="Giant_product_price" dataDxfId="2" dataCellStyle="Currency"/>
    <tableColumn id="5" xr3:uid="{5D760DAD-B8A0-434A-B3E7-16DF291FA994}" name="Giant_product_quantity"/>
    <tableColumn id="6" xr3:uid="{BF65FB8D-57C0-4BF0-81C2-8793A7022680}" name="Giant_product_price_per_unit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D2928-8A79-4AD7-BEB5-392F55675F7F}">
  <dimension ref="A1:M2216"/>
  <sheetViews>
    <sheetView tabSelected="1" topLeftCell="B1" workbookViewId="0">
      <selection activeCell="F3" sqref="F3"/>
    </sheetView>
  </sheetViews>
  <sheetFormatPr defaultColWidth="11" defaultRowHeight="15.75" x14ac:dyDescent="0.25"/>
  <cols>
    <col min="1" max="1" width="20.5" customWidth="1"/>
    <col min="2" max="2" width="28.375" customWidth="1"/>
    <col min="3" max="3" width="57.5" customWidth="1"/>
    <col min="4" max="6" width="26.625" customWidth="1"/>
    <col min="7" max="7" width="20.125" style="3" customWidth="1"/>
    <col min="8" max="8" width="22.625" customWidth="1"/>
    <col min="9" max="9" width="27.625" style="2" customWidth="1"/>
    <col min="11" max="11" width="18.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4440</v>
      </c>
      <c r="G1" s="3" t="s">
        <v>5</v>
      </c>
      <c r="H1" t="s">
        <v>6</v>
      </c>
      <c r="I1" s="2" t="s">
        <v>7</v>
      </c>
    </row>
    <row r="2" spans="1:9" x14ac:dyDescent="0.25">
      <c r="A2" t="s">
        <v>8</v>
      </c>
      <c r="B2" t="s">
        <v>9</v>
      </c>
      <c r="C2" t="s">
        <v>10</v>
      </c>
      <c r="D2" t="str" cm="1">
        <f t="array" ref="D2">_xlfn.TEXTJOIN("", TRUE, IF(ISNUMBER(SEARCH($K$1379:$K$1423, C2)), $K$1379:$K$1423, ""))</f>
        <v>Barilla</v>
      </c>
      <c r="E2" t="str">
        <f t="shared" ref="E2:E65" si="0">IF(OR(D2="Mission",D2="Nature's Own",D2="Sara Lee"),"Bread",
IF(OR(D2="Del Monte",D2="Dole",D2="Mott's"),"Canned Fruit",
IF(OR(D2="Goya",D2="Hunt's",D2="Birds Eye"),"Canned Vegetables",
IF(OR(D2="fairlife",D2="Horizon Organic",D2="Lactaid",D2="Ben &amp; Jerry's"),"Milk",
IF(OR(D2="BelGioioso",D2="Kraft",D2="Philadelphia"),"Cheese",
IF(OR(D2="Chobani",D2="Oikos",D2="Dannon Light + Fit"),"Yogurt",
IF(OR(D2="Barilla",D2="Annie's",D2="Rao's Homemade"),"Pasta",
IF(OR(D2="Hershey's",D2="Lay's",D2="Totino's",D2="Cheerios",D2="Jif",D2="Skippy",D2="Nature Valley",D2="OREO",D2="DiGiorno",D2="Eggo"),"Prepared Food",
IF(OR(D2="Ben's Original",D2="Lundberg",D2="Quaker"),"Rice",
IF(OR(D2="Bush's",D2="Hillshire Farm",D2="Oscar Mayer",D2="SPAM"),"Protein",
IF(OR(D2="Starbucks",D2="Sparkling Ice",D2="Coca-Cola",D2="San Pellegrino",D2="Gatorade",D2="Arizona"),"Beverages",
"Other")))))))))))</f>
        <v>Pasta</v>
      </c>
      <c r="F2" t="str">
        <f t="shared" ref="F2:F65" si="1">IF(OR(E2="Bread",E2="Rice",E2="Pasta"), "Grain",
IF(OR(E2="Milk",E2="Cheese",E2="Yogurt"), "Dairy",
IF(OR(E2="Canned Fruit",E2="Canned Vegetables"), "Fruit &amp; Vegetables",
IF(E2="Prepared Food", "Prepared Food",
IF(E2="Protein", "Protein",
IF(E2="Beverages", "Beverages",
"Other"))))))</f>
        <v>Grain</v>
      </c>
      <c r="G2" s="3">
        <v>2.59</v>
      </c>
      <c r="H2" t="s">
        <v>12</v>
      </c>
      <c r="I2" s="2" t="s">
        <v>13</v>
      </c>
    </row>
    <row r="3" spans="1:9" x14ac:dyDescent="0.25">
      <c r="A3" t="s">
        <v>14</v>
      </c>
      <c r="B3" t="s">
        <v>15</v>
      </c>
      <c r="C3" t="s">
        <v>16</v>
      </c>
      <c r="D3" t="str" cm="1">
        <f t="array" ref="D3">_xlfn.TEXTJOIN("", TRUE, IF(ISNUMBER(SEARCH($K$1379:$K$1423, C3)), $K$1379:$K$1423, ""))</f>
        <v>Barilla</v>
      </c>
      <c r="E3" t="str">
        <f t="shared" si="0"/>
        <v>Pasta</v>
      </c>
      <c r="F3" t="str">
        <f t="shared" si="1"/>
        <v>Grain</v>
      </c>
      <c r="G3" s="3">
        <v>2.59</v>
      </c>
      <c r="H3" t="s">
        <v>17</v>
      </c>
      <c r="I3" s="2" t="s">
        <v>18</v>
      </c>
    </row>
    <row r="4" spans="1:9" x14ac:dyDescent="0.25">
      <c r="A4" t="s">
        <v>19</v>
      </c>
      <c r="B4" t="s">
        <v>20</v>
      </c>
      <c r="C4" t="s">
        <v>21</v>
      </c>
      <c r="D4" t="str" cm="1">
        <f t="array" ref="D4">_xlfn.TEXTJOIN("", TRUE, IF(ISNUMBER(SEARCH($K$1379:$K$1423, C4)), $K$1379:$K$1423, ""))</f>
        <v>Barilla</v>
      </c>
      <c r="E4" t="str">
        <f t="shared" si="0"/>
        <v>Pasta</v>
      </c>
      <c r="F4" t="str">
        <f t="shared" si="1"/>
        <v>Grain</v>
      </c>
      <c r="G4" s="3">
        <v>2.59</v>
      </c>
      <c r="H4" t="s">
        <v>12</v>
      </c>
      <c r="I4" s="2" t="s">
        <v>13</v>
      </c>
    </row>
    <row r="5" spans="1:9" x14ac:dyDescent="0.25">
      <c r="A5" t="s">
        <v>22</v>
      </c>
      <c r="B5" t="s">
        <v>23</v>
      </c>
      <c r="C5" t="s">
        <v>24</v>
      </c>
      <c r="D5" t="str" cm="1">
        <f t="array" ref="D5">_xlfn.TEXTJOIN("", TRUE, IF(ISNUMBER(SEARCH($K$1379:$K$1423, C5)), $K$1379:$K$1423, ""))</f>
        <v>Barilla</v>
      </c>
      <c r="E5" t="str">
        <f t="shared" si="0"/>
        <v>Pasta</v>
      </c>
      <c r="F5" t="str">
        <f t="shared" si="1"/>
        <v>Grain</v>
      </c>
      <c r="G5" s="3">
        <v>2.59</v>
      </c>
      <c r="H5" t="s">
        <v>12</v>
      </c>
      <c r="I5" s="2" t="s">
        <v>13</v>
      </c>
    </row>
    <row r="6" spans="1:9" x14ac:dyDescent="0.25">
      <c r="A6" t="s">
        <v>25</v>
      </c>
      <c r="B6" t="s">
        <v>26</v>
      </c>
      <c r="C6" t="s">
        <v>27</v>
      </c>
      <c r="D6" t="str" cm="1">
        <f t="array" ref="D6">_xlfn.TEXTJOIN("", TRUE, IF(ISNUMBER(SEARCH($K$1379:$K$1423, C6)), $K$1379:$K$1423, ""))</f>
        <v>Barilla</v>
      </c>
      <c r="E6" t="str">
        <f t="shared" si="0"/>
        <v>Pasta</v>
      </c>
      <c r="F6" t="str">
        <f t="shared" si="1"/>
        <v>Grain</v>
      </c>
      <c r="G6" s="3">
        <v>2.59</v>
      </c>
      <c r="H6" t="s">
        <v>12</v>
      </c>
      <c r="I6" s="2" t="s">
        <v>13</v>
      </c>
    </row>
    <row r="7" spans="1:9" x14ac:dyDescent="0.25">
      <c r="A7" t="s">
        <v>28</v>
      </c>
      <c r="B7" t="s">
        <v>29</v>
      </c>
      <c r="C7" t="s">
        <v>30</v>
      </c>
      <c r="D7" t="str" cm="1">
        <f t="array" ref="D7">_xlfn.TEXTJOIN("", TRUE, IF(ISNUMBER(SEARCH($K$1379:$K$1423, C7)), $K$1379:$K$1423, ""))</f>
        <v>Barilla</v>
      </c>
      <c r="E7" t="str">
        <f t="shared" si="0"/>
        <v>Pasta</v>
      </c>
      <c r="F7" t="str">
        <f t="shared" si="1"/>
        <v>Grain</v>
      </c>
      <c r="G7" s="3">
        <v>1.99</v>
      </c>
      <c r="H7" t="s">
        <v>31</v>
      </c>
      <c r="I7" s="2" t="s">
        <v>32</v>
      </c>
    </row>
    <row r="8" spans="1:9" x14ac:dyDescent="0.25">
      <c r="A8" t="s">
        <v>33</v>
      </c>
      <c r="B8" t="s">
        <v>34</v>
      </c>
      <c r="C8" t="s">
        <v>35</v>
      </c>
      <c r="D8" t="str" cm="1">
        <f t="array" ref="D8">_xlfn.TEXTJOIN("", TRUE, IF(ISNUMBER(SEARCH($K$1379:$K$1423, C8)), $K$1379:$K$1423, ""))</f>
        <v>Barilla</v>
      </c>
      <c r="E8" t="str">
        <f t="shared" si="0"/>
        <v>Pasta</v>
      </c>
      <c r="F8" t="str">
        <f t="shared" si="1"/>
        <v>Grain</v>
      </c>
      <c r="G8" s="3">
        <v>3.19</v>
      </c>
      <c r="H8" t="s">
        <v>36</v>
      </c>
      <c r="I8" s="2" t="s">
        <v>18</v>
      </c>
    </row>
    <row r="9" spans="1:9" x14ac:dyDescent="0.25">
      <c r="A9" t="s">
        <v>37</v>
      </c>
      <c r="B9" t="s">
        <v>38</v>
      </c>
      <c r="C9" t="s">
        <v>39</v>
      </c>
      <c r="D9" t="str" cm="1">
        <f t="array" ref="D9">_xlfn.TEXTJOIN("", TRUE, IF(ISNUMBER(SEARCH($K$1379:$K$1423, C9)), $K$1379:$K$1423, ""))</f>
        <v>Barilla</v>
      </c>
      <c r="E9" t="str">
        <f t="shared" si="0"/>
        <v>Pasta</v>
      </c>
      <c r="F9" t="str">
        <f t="shared" si="1"/>
        <v>Grain</v>
      </c>
      <c r="G9" s="3">
        <v>1.99</v>
      </c>
      <c r="H9" t="s">
        <v>31</v>
      </c>
      <c r="I9" s="2" t="s">
        <v>32</v>
      </c>
    </row>
    <row r="10" spans="1:9" x14ac:dyDescent="0.25">
      <c r="A10" t="s">
        <v>40</v>
      </c>
      <c r="B10" t="s">
        <v>41</v>
      </c>
      <c r="C10" t="s">
        <v>42</v>
      </c>
      <c r="D10" t="str" cm="1">
        <f t="array" ref="D10">_xlfn.TEXTJOIN("", TRUE, IF(ISNUMBER(SEARCH($K$1379:$K$1423, C10)), $K$1379:$K$1423, ""))</f>
        <v>Barilla</v>
      </c>
      <c r="E10" t="str">
        <f t="shared" si="0"/>
        <v>Pasta</v>
      </c>
      <c r="F10" t="str">
        <f t="shared" si="1"/>
        <v>Grain</v>
      </c>
      <c r="G10" s="3">
        <v>1.99</v>
      </c>
      <c r="H10" t="s">
        <v>31</v>
      </c>
      <c r="I10" s="2" t="s">
        <v>32</v>
      </c>
    </row>
    <row r="11" spans="1:9" x14ac:dyDescent="0.25">
      <c r="A11" t="s">
        <v>43</v>
      </c>
      <c r="B11" t="s">
        <v>44</v>
      </c>
      <c r="C11" t="s">
        <v>45</v>
      </c>
      <c r="D11" t="str" cm="1">
        <f t="array" ref="D11">_xlfn.TEXTJOIN("", TRUE, IF(ISNUMBER(SEARCH($K$1379:$K$1423, C11)), $K$1379:$K$1423, ""))</f>
        <v>Barilla</v>
      </c>
      <c r="E11" t="str">
        <f t="shared" si="0"/>
        <v>Pasta</v>
      </c>
      <c r="F11" t="str">
        <f t="shared" si="1"/>
        <v>Grain</v>
      </c>
      <c r="G11" s="3">
        <v>1.99</v>
      </c>
      <c r="H11" t="s">
        <v>31</v>
      </c>
      <c r="I11" s="2" t="s">
        <v>32</v>
      </c>
    </row>
    <row r="12" spans="1:9" x14ac:dyDescent="0.25">
      <c r="A12" t="s">
        <v>46</v>
      </c>
      <c r="B12" t="s">
        <v>47</v>
      </c>
      <c r="C12" t="s">
        <v>48</v>
      </c>
      <c r="D12" t="str" cm="1">
        <f t="array" ref="D12">_xlfn.TEXTJOIN("", TRUE, IF(ISNUMBER(SEARCH($K$1379:$K$1423, C12)), $K$1379:$K$1423, ""))</f>
        <v>Barilla</v>
      </c>
      <c r="E12" t="str">
        <f t="shared" si="0"/>
        <v>Pasta</v>
      </c>
      <c r="F12" t="str">
        <f t="shared" si="1"/>
        <v>Grain</v>
      </c>
      <c r="G12" s="3">
        <v>3.19</v>
      </c>
      <c r="H12" t="s">
        <v>36</v>
      </c>
      <c r="I12" s="2" t="s">
        <v>18</v>
      </c>
    </row>
    <row r="13" spans="1:9" x14ac:dyDescent="0.25">
      <c r="A13" t="s">
        <v>49</v>
      </c>
      <c r="B13" t="s">
        <v>50</v>
      </c>
      <c r="C13" t="s">
        <v>51</v>
      </c>
      <c r="D13" t="str" cm="1">
        <f t="array" ref="D13">_xlfn.TEXTJOIN("", TRUE, IF(ISNUMBER(SEARCH($K$1379:$K$1423, C13)), $K$1379:$K$1423, ""))</f>
        <v>Barilla</v>
      </c>
      <c r="E13" t="str">
        <f t="shared" si="0"/>
        <v>Pasta</v>
      </c>
      <c r="F13" t="str">
        <f t="shared" si="1"/>
        <v>Grain</v>
      </c>
      <c r="G13" s="3">
        <v>1.99</v>
      </c>
      <c r="H13" t="s">
        <v>31</v>
      </c>
      <c r="I13" s="2" t="s">
        <v>32</v>
      </c>
    </row>
    <row r="14" spans="1:9" x14ac:dyDescent="0.25">
      <c r="A14" t="s">
        <v>52</v>
      </c>
      <c r="B14" t="s">
        <v>53</v>
      </c>
      <c r="C14" t="s">
        <v>54</v>
      </c>
      <c r="D14" t="str" cm="1">
        <f t="array" ref="D14">_xlfn.TEXTJOIN("", TRUE, IF(ISNUMBER(SEARCH($K$1379:$K$1423, C14)), $K$1379:$K$1423, ""))</f>
        <v>Barilla</v>
      </c>
      <c r="E14" t="str">
        <f t="shared" si="0"/>
        <v>Pasta</v>
      </c>
      <c r="F14" t="str">
        <f t="shared" si="1"/>
        <v>Grain</v>
      </c>
      <c r="G14" s="3">
        <v>1.99</v>
      </c>
      <c r="H14" t="s">
        <v>31</v>
      </c>
      <c r="I14" s="2" t="s">
        <v>32</v>
      </c>
    </row>
    <row r="15" spans="1:9" x14ac:dyDescent="0.25">
      <c r="A15" t="s">
        <v>55</v>
      </c>
      <c r="B15" t="s">
        <v>56</v>
      </c>
      <c r="C15" t="s">
        <v>57</v>
      </c>
      <c r="D15" t="str" cm="1">
        <f t="array" ref="D15">_xlfn.TEXTJOIN("", TRUE, IF(ISNUMBER(SEARCH($K$1379:$K$1423, C15)), $K$1379:$K$1423, ""))</f>
        <v>Barilla</v>
      </c>
      <c r="E15" t="str">
        <f t="shared" si="0"/>
        <v>Pasta</v>
      </c>
      <c r="F15" t="str">
        <f t="shared" si="1"/>
        <v>Grain</v>
      </c>
      <c r="G15" s="3">
        <v>1.99</v>
      </c>
      <c r="H15" t="s">
        <v>31</v>
      </c>
      <c r="I15" s="2" t="s">
        <v>32</v>
      </c>
    </row>
    <row r="16" spans="1:9" x14ac:dyDescent="0.25">
      <c r="A16" t="s">
        <v>58</v>
      </c>
      <c r="B16" t="s">
        <v>59</v>
      </c>
      <c r="C16" t="s">
        <v>60</v>
      </c>
      <c r="D16" t="str" cm="1">
        <f t="array" ref="D16">_xlfn.TEXTJOIN("", TRUE, IF(ISNUMBER(SEARCH($K$1379:$K$1423, C16)), $K$1379:$K$1423, ""))</f>
        <v>Barilla</v>
      </c>
      <c r="E16" t="str">
        <f t="shared" si="0"/>
        <v>Pasta</v>
      </c>
      <c r="F16" t="str">
        <f t="shared" si="1"/>
        <v>Grain</v>
      </c>
      <c r="G16" s="3">
        <v>1.99</v>
      </c>
      <c r="H16" t="s">
        <v>31</v>
      </c>
      <c r="I16" s="2" t="s">
        <v>32</v>
      </c>
    </row>
    <row r="17" spans="1:9" x14ac:dyDescent="0.25">
      <c r="A17" t="s">
        <v>61</v>
      </c>
      <c r="B17" t="s">
        <v>62</v>
      </c>
      <c r="C17" t="s">
        <v>63</v>
      </c>
      <c r="D17" t="str" cm="1">
        <f t="array" ref="D17">_xlfn.TEXTJOIN("", TRUE, IF(ISNUMBER(SEARCH($K$1379:$K$1423, C17)), $K$1379:$K$1423, ""))</f>
        <v>Barilla</v>
      </c>
      <c r="E17" t="str">
        <f t="shared" si="0"/>
        <v>Pasta</v>
      </c>
      <c r="F17" t="str">
        <f t="shared" si="1"/>
        <v>Grain</v>
      </c>
      <c r="G17" s="3">
        <v>3.19</v>
      </c>
      <c r="H17" t="s">
        <v>36</v>
      </c>
      <c r="I17" s="2" t="s">
        <v>18</v>
      </c>
    </row>
    <row r="18" spans="1:9" x14ac:dyDescent="0.25">
      <c r="A18" t="s">
        <v>64</v>
      </c>
      <c r="B18" t="s">
        <v>65</v>
      </c>
      <c r="C18" t="s">
        <v>66</v>
      </c>
      <c r="D18" t="str" cm="1">
        <f t="array" ref="D18">_xlfn.TEXTJOIN("", TRUE, IF(ISNUMBER(SEARCH($K$1379:$K$1423, C18)), $K$1379:$K$1423, ""))</f>
        <v>Barilla</v>
      </c>
      <c r="E18" t="str">
        <f t="shared" si="0"/>
        <v>Pasta</v>
      </c>
      <c r="F18" t="str">
        <f t="shared" si="1"/>
        <v>Grain</v>
      </c>
      <c r="G18" s="3">
        <v>3.19</v>
      </c>
      <c r="H18" t="s">
        <v>36</v>
      </c>
      <c r="I18" s="2" t="s">
        <v>18</v>
      </c>
    </row>
    <row r="19" spans="1:9" x14ac:dyDescent="0.25">
      <c r="A19" t="s">
        <v>67</v>
      </c>
      <c r="B19" t="s">
        <v>68</v>
      </c>
      <c r="C19" t="s">
        <v>69</v>
      </c>
      <c r="D19" t="str" cm="1">
        <f t="array" ref="D19">_xlfn.TEXTJOIN("", TRUE, IF(ISNUMBER(SEARCH($K$1379:$K$1423, C19)), $K$1379:$K$1423, ""))</f>
        <v>Barilla</v>
      </c>
      <c r="E19" t="str">
        <f t="shared" si="0"/>
        <v>Pasta</v>
      </c>
      <c r="F19" t="str">
        <f t="shared" si="1"/>
        <v>Grain</v>
      </c>
      <c r="G19" s="3">
        <v>1.99</v>
      </c>
      <c r="H19" t="s">
        <v>31</v>
      </c>
      <c r="I19" s="2" t="s">
        <v>32</v>
      </c>
    </row>
    <row r="20" spans="1:9" x14ac:dyDescent="0.25">
      <c r="A20" t="s">
        <v>70</v>
      </c>
      <c r="B20" t="s">
        <v>71</v>
      </c>
      <c r="C20" t="s">
        <v>72</v>
      </c>
      <c r="D20" t="str" cm="1">
        <f t="array" ref="D20">_xlfn.TEXTJOIN("", TRUE, IF(ISNUMBER(SEARCH($K$1379:$K$1423, C20)), $K$1379:$K$1423, ""))</f>
        <v>Barilla</v>
      </c>
      <c r="E20" t="str">
        <f t="shared" si="0"/>
        <v>Pasta</v>
      </c>
      <c r="F20" t="str">
        <f t="shared" si="1"/>
        <v>Grain</v>
      </c>
      <c r="G20" s="3">
        <v>3.19</v>
      </c>
      <c r="H20" t="s">
        <v>36</v>
      </c>
      <c r="I20" s="2" t="s">
        <v>18</v>
      </c>
    </row>
    <row r="21" spans="1:9" x14ac:dyDescent="0.25">
      <c r="A21" t="s">
        <v>73</v>
      </c>
      <c r="B21" t="s">
        <v>74</v>
      </c>
      <c r="C21" t="s">
        <v>75</v>
      </c>
      <c r="D21" t="str" cm="1">
        <f t="array" ref="D21">_xlfn.TEXTJOIN("", TRUE, IF(ISNUMBER(SEARCH($K$1379:$K$1423, C21)), $K$1379:$K$1423, ""))</f>
        <v>Barilla</v>
      </c>
      <c r="E21" t="str">
        <f t="shared" si="0"/>
        <v>Pasta</v>
      </c>
      <c r="F21" t="str">
        <f t="shared" si="1"/>
        <v>Grain</v>
      </c>
      <c r="G21" s="3">
        <v>1.99</v>
      </c>
      <c r="H21" t="s">
        <v>31</v>
      </c>
      <c r="I21" s="2" t="s">
        <v>32</v>
      </c>
    </row>
    <row r="22" spans="1:9" x14ac:dyDescent="0.25">
      <c r="A22" t="s">
        <v>76</v>
      </c>
      <c r="B22" t="s">
        <v>77</v>
      </c>
      <c r="C22" t="s">
        <v>78</v>
      </c>
      <c r="D22" t="str" cm="1">
        <f t="array" ref="D22">_xlfn.TEXTJOIN("", TRUE, IF(ISNUMBER(SEARCH($K$1379:$K$1423, C22)), $K$1379:$K$1423, ""))</f>
        <v>Barilla</v>
      </c>
      <c r="E22" t="str">
        <f t="shared" si="0"/>
        <v>Pasta</v>
      </c>
      <c r="F22" t="str">
        <f t="shared" si="1"/>
        <v>Grain</v>
      </c>
      <c r="G22" s="3">
        <v>3.19</v>
      </c>
      <c r="H22" t="s">
        <v>17</v>
      </c>
      <c r="I22" s="2" t="s">
        <v>79</v>
      </c>
    </row>
    <row r="23" spans="1:9" x14ac:dyDescent="0.25">
      <c r="A23" t="s">
        <v>80</v>
      </c>
      <c r="B23" t="s">
        <v>81</v>
      </c>
      <c r="C23" t="s">
        <v>82</v>
      </c>
      <c r="D23" t="str" cm="1">
        <f t="array" ref="D23">_xlfn.TEXTJOIN("", TRUE, IF(ISNUMBER(SEARCH($K$1379:$K$1423, C23)), $K$1379:$K$1423, ""))</f>
        <v>Barilla</v>
      </c>
      <c r="E23" t="str">
        <f t="shared" si="0"/>
        <v>Pasta</v>
      </c>
      <c r="F23" t="str">
        <f t="shared" si="1"/>
        <v>Grain</v>
      </c>
      <c r="G23" s="3">
        <v>1.99</v>
      </c>
      <c r="H23" t="s">
        <v>17</v>
      </c>
      <c r="I23" s="2" t="s">
        <v>83</v>
      </c>
    </row>
    <row r="24" spans="1:9" x14ac:dyDescent="0.25">
      <c r="A24" t="s">
        <v>84</v>
      </c>
      <c r="B24" t="s">
        <v>85</v>
      </c>
      <c r="C24" t="s">
        <v>86</v>
      </c>
      <c r="D24" t="str" cm="1">
        <f t="array" ref="D24">_xlfn.TEXTJOIN("", TRUE, IF(ISNUMBER(SEARCH($K$1379:$K$1423, C24)), $K$1379:$K$1423, ""))</f>
        <v>Barilla</v>
      </c>
      <c r="E24" t="str">
        <f t="shared" si="0"/>
        <v>Pasta</v>
      </c>
      <c r="F24" t="str">
        <f t="shared" si="1"/>
        <v>Grain</v>
      </c>
      <c r="G24" s="3">
        <v>1.99</v>
      </c>
      <c r="H24" t="s">
        <v>31</v>
      </c>
      <c r="I24" s="2" t="s">
        <v>32</v>
      </c>
    </row>
    <row r="25" spans="1:9" x14ac:dyDescent="0.25">
      <c r="A25" t="s">
        <v>87</v>
      </c>
      <c r="B25" t="s">
        <v>88</v>
      </c>
      <c r="C25" t="s">
        <v>89</v>
      </c>
      <c r="D25" t="str" cm="1">
        <f t="array" ref="D25">_xlfn.TEXTJOIN("", TRUE, IF(ISNUMBER(SEARCH($K$1379:$K$1423, C25)), $K$1379:$K$1423, ""))</f>
        <v>Barilla</v>
      </c>
      <c r="E25" t="str">
        <f t="shared" si="0"/>
        <v>Pasta</v>
      </c>
      <c r="F25" t="str">
        <f t="shared" si="1"/>
        <v>Grain</v>
      </c>
      <c r="G25" s="3">
        <v>3.19</v>
      </c>
      <c r="H25" t="s">
        <v>17</v>
      </c>
      <c r="I25" s="2" t="s">
        <v>79</v>
      </c>
    </row>
    <row r="26" spans="1:9" x14ac:dyDescent="0.25">
      <c r="A26" t="s">
        <v>90</v>
      </c>
      <c r="B26" t="s">
        <v>91</v>
      </c>
      <c r="C26" t="s">
        <v>92</v>
      </c>
      <c r="D26" t="str" cm="1">
        <f t="array" ref="D26">_xlfn.TEXTJOIN("", TRUE, IF(ISNUMBER(SEARCH($K$1379:$K$1423, C26)), $K$1379:$K$1423, ""))</f>
        <v>Barilla</v>
      </c>
      <c r="E26" t="str">
        <f t="shared" si="0"/>
        <v>Pasta</v>
      </c>
      <c r="F26" t="str">
        <f t="shared" si="1"/>
        <v>Grain</v>
      </c>
      <c r="G26" s="3">
        <v>3.99</v>
      </c>
      <c r="H26" t="s">
        <v>93</v>
      </c>
      <c r="I26" s="2" t="s">
        <v>94</v>
      </c>
    </row>
    <row r="27" spans="1:9" x14ac:dyDescent="0.25">
      <c r="A27" t="s">
        <v>95</v>
      </c>
      <c r="B27" t="s">
        <v>96</v>
      </c>
      <c r="C27" t="s">
        <v>97</v>
      </c>
      <c r="D27" t="str" cm="1">
        <f t="array" ref="D27">_xlfn.TEXTJOIN("", TRUE, IF(ISNUMBER(SEARCH($K$1379:$K$1423, C27)), $K$1379:$K$1423, ""))</f>
        <v>Barilla</v>
      </c>
      <c r="E27" t="str">
        <f t="shared" si="0"/>
        <v>Pasta</v>
      </c>
      <c r="F27" t="str">
        <f t="shared" si="1"/>
        <v>Grain</v>
      </c>
      <c r="G27" s="3">
        <v>2.4900000000000002</v>
      </c>
      <c r="H27" t="s">
        <v>98</v>
      </c>
      <c r="I27" s="2" t="s">
        <v>99</v>
      </c>
    </row>
    <row r="28" spans="1:9" x14ac:dyDescent="0.25">
      <c r="A28" t="s">
        <v>100</v>
      </c>
      <c r="B28" t="s">
        <v>101</v>
      </c>
      <c r="C28" t="s">
        <v>102</v>
      </c>
      <c r="D28" t="str" cm="1">
        <f t="array" ref="D28">_xlfn.TEXTJOIN("", TRUE, IF(ISNUMBER(SEARCH($K$1379:$K$1423, C28)), $K$1379:$K$1423, ""))</f>
        <v>Barilla</v>
      </c>
      <c r="E28" t="str">
        <f t="shared" si="0"/>
        <v>Pasta</v>
      </c>
      <c r="F28" t="str">
        <f t="shared" si="1"/>
        <v>Grain</v>
      </c>
      <c r="G28" s="3">
        <v>3.19</v>
      </c>
      <c r="H28" t="s">
        <v>17</v>
      </c>
      <c r="I28" s="2" t="s">
        <v>79</v>
      </c>
    </row>
    <row r="29" spans="1:9" x14ac:dyDescent="0.25">
      <c r="A29" t="s">
        <v>103</v>
      </c>
      <c r="B29" t="s">
        <v>104</v>
      </c>
      <c r="C29" t="s">
        <v>105</v>
      </c>
      <c r="D29" t="str" cm="1">
        <f t="array" ref="D29">_xlfn.TEXTJOIN("", TRUE, IF(ISNUMBER(SEARCH($K$1379:$K$1423, C29)), $K$1379:$K$1423, ""))</f>
        <v>Barilla</v>
      </c>
      <c r="E29" t="str">
        <f t="shared" si="0"/>
        <v>Pasta</v>
      </c>
      <c r="F29" t="str">
        <f t="shared" si="1"/>
        <v>Grain</v>
      </c>
      <c r="G29" s="3">
        <v>3.19</v>
      </c>
      <c r="H29" t="s">
        <v>36</v>
      </c>
      <c r="I29" s="2" t="s">
        <v>18</v>
      </c>
    </row>
    <row r="30" spans="1:9" x14ac:dyDescent="0.25">
      <c r="A30" t="s">
        <v>106</v>
      </c>
      <c r="B30" t="s">
        <v>107</v>
      </c>
      <c r="C30" t="s">
        <v>108</v>
      </c>
      <c r="D30" t="str" cm="1">
        <f t="array" ref="D30">_xlfn.TEXTJOIN("", TRUE, IF(ISNUMBER(SEARCH($K$1379:$K$1423, C30)), $K$1379:$K$1423, ""))</f>
        <v>Barilla</v>
      </c>
      <c r="E30" t="str">
        <f t="shared" si="0"/>
        <v>Pasta</v>
      </c>
      <c r="F30" t="str">
        <f t="shared" si="1"/>
        <v>Grain</v>
      </c>
      <c r="G30" s="3">
        <v>3.19</v>
      </c>
      <c r="H30" t="s">
        <v>36</v>
      </c>
      <c r="I30" s="2" t="s">
        <v>18</v>
      </c>
    </row>
    <row r="31" spans="1:9" x14ac:dyDescent="0.25">
      <c r="A31" t="s">
        <v>109</v>
      </c>
      <c r="B31" t="s">
        <v>110</v>
      </c>
      <c r="C31" t="s">
        <v>111</v>
      </c>
      <c r="D31" t="str" cm="1">
        <f t="array" ref="D31">_xlfn.TEXTJOIN("", TRUE, IF(ISNUMBER(SEARCH($K$1379:$K$1423, C31)), $K$1379:$K$1423, ""))</f>
        <v>Barilla</v>
      </c>
      <c r="E31" t="str">
        <f t="shared" si="0"/>
        <v>Pasta</v>
      </c>
      <c r="F31" t="str">
        <f t="shared" si="1"/>
        <v>Grain</v>
      </c>
      <c r="G31" s="3">
        <v>1.99</v>
      </c>
      <c r="H31" t="s">
        <v>31</v>
      </c>
      <c r="I31" s="2" t="s">
        <v>32</v>
      </c>
    </row>
    <row r="32" spans="1:9" x14ac:dyDescent="0.25">
      <c r="A32" t="s">
        <v>112</v>
      </c>
      <c r="B32" t="s">
        <v>113</v>
      </c>
      <c r="C32" t="s">
        <v>114</v>
      </c>
      <c r="D32" t="str" cm="1">
        <f t="array" ref="D32">_xlfn.TEXTJOIN("", TRUE, IF(ISNUMBER(SEARCH($K$1379:$K$1423, C32)), $K$1379:$K$1423, ""))</f>
        <v>Barilla</v>
      </c>
      <c r="E32" t="str">
        <f t="shared" si="0"/>
        <v>Pasta</v>
      </c>
      <c r="F32" t="str">
        <f t="shared" si="1"/>
        <v>Grain</v>
      </c>
      <c r="G32" s="3">
        <v>3.19</v>
      </c>
      <c r="H32" t="s">
        <v>17</v>
      </c>
      <c r="I32" s="2" t="s">
        <v>79</v>
      </c>
    </row>
    <row r="33" spans="1:9" x14ac:dyDescent="0.25">
      <c r="A33" t="s">
        <v>115</v>
      </c>
      <c r="B33" t="s">
        <v>116</v>
      </c>
      <c r="C33" t="s">
        <v>117</v>
      </c>
      <c r="D33" t="str" cm="1">
        <f t="array" ref="D33">_xlfn.TEXTJOIN("", TRUE, IF(ISNUMBER(SEARCH($K$1379:$K$1423, C33)), $K$1379:$K$1423, ""))</f>
        <v>Barilla</v>
      </c>
      <c r="E33" t="str">
        <f t="shared" si="0"/>
        <v>Pasta</v>
      </c>
      <c r="F33" t="str">
        <f t="shared" si="1"/>
        <v>Grain</v>
      </c>
      <c r="G33" s="3">
        <v>2.4900000000000002</v>
      </c>
      <c r="H33" t="s">
        <v>98</v>
      </c>
      <c r="I33" s="2" t="s">
        <v>99</v>
      </c>
    </row>
    <row r="34" spans="1:9" x14ac:dyDescent="0.25">
      <c r="A34" t="s">
        <v>118</v>
      </c>
      <c r="B34" t="s">
        <v>119</v>
      </c>
      <c r="C34" t="s">
        <v>120</v>
      </c>
      <c r="D34" t="str" cm="1">
        <f t="array" ref="D34">_xlfn.TEXTJOIN("", TRUE, IF(ISNUMBER(SEARCH($K$1379:$K$1423, C34)), $K$1379:$K$1423, ""))</f>
        <v>Barilla</v>
      </c>
      <c r="E34" t="str">
        <f t="shared" si="0"/>
        <v>Pasta</v>
      </c>
      <c r="F34" t="str">
        <f t="shared" si="1"/>
        <v>Grain</v>
      </c>
      <c r="G34" s="3">
        <v>1.99</v>
      </c>
      <c r="H34" t="s">
        <v>31</v>
      </c>
      <c r="I34" s="2" t="s">
        <v>32</v>
      </c>
    </row>
    <row r="35" spans="1:9" x14ac:dyDescent="0.25">
      <c r="A35" t="s">
        <v>121</v>
      </c>
      <c r="B35" t="s">
        <v>122</v>
      </c>
      <c r="C35" t="s">
        <v>123</v>
      </c>
      <c r="D35" t="str" cm="1">
        <f t="array" ref="D35">_xlfn.TEXTJOIN("", TRUE, IF(ISNUMBER(SEARCH($K$1379:$K$1423, C35)), $K$1379:$K$1423, ""))</f>
        <v>Barilla</v>
      </c>
      <c r="E35" t="str">
        <f t="shared" si="0"/>
        <v>Pasta</v>
      </c>
      <c r="F35" t="str">
        <f t="shared" si="1"/>
        <v>Grain</v>
      </c>
      <c r="G35" s="3">
        <v>1.99</v>
      </c>
      <c r="H35" t="s">
        <v>31</v>
      </c>
      <c r="I35" s="2" t="s">
        <v>32</v>
      </c>
    </row>
    <row r="36" spans="1:9" x14ac:dyDescent="0.25">
      <c r="A36" t="s">
        <v>124</v>
      </c>
      <c r="B36" t="s">
        <v>125</v>
      </c>
      <c r="C36" t="s">
        <v>126</v>
      </c>
      <c r="D36" t="str" cm="1">
        <f t="array" ref="D36">_xlfn.TEXTJOIN("", TRUE, IF(ISNUMBER(SEARCH($K$1379:$K$1423, C36)), $K$1379:$K$1423, ""))</f>
        <v>Barilla</v>
      </c>
      <c r="E36" t="str">
        <f t="shared" si="0"/>
        <v>Pasta</v>
      </c>
      <c r="F36" t="str">
        <f t="shared" si="1"/>
        <v>Grain</v>
      </c>
      <c r="G36" s="3">
        <v>1.99</v>
      </c>
      <c r="H36" t="s">
        <v>31</v>
      </c>
      <c r="I36" s="2" t="s">
        <v>32</v>
      </c>
    </row>
    <row r="37" spans="1:9" x14ac:dyDescent="0.25">
      <c r="A37" t="s">
        <v>127</v>
      </c>
      <c r="B37" t="s">
        <v>128</v>
      </c>
      <c r="C37" t="s">
        <v>129</v>
      </c>
      <c r="D37" t="str" cm="1">
        <f t="array" ref="D37">_xlfn.TEXTJOIN("", TRUE, IF(ISNUMBER(SEARCH($K$1379:$K$1423, C37)), $K$1379:$K$1423, ""))</f>
        <v>Barilla</v>
      </c>
      <c r="E37" t="str">
        <f t="shared" si="0"/>
        <v>Pasta</v>
      </c>
      <c r="F37" t="str">
        <f t="shared" si="1"/>
        <v>Grain</v>
      </c>
      <c r="G37" s="3">
        <v>3</v>
      </c>
      <c r="H37" t="s">
        <v>130</v>
      </c>
      <c r="I37" s="2" t="s">
        <v>131</v>
      </c>
    </row>
    <row r="38" spans="1:9" x14ac:dyDescent="0.25">
      <c r="A38" t="s">
        <v>132</v>
      </c>
      <c r="B38" t="s">
        <v>133</v>
      </c>
      <c r="C38" t="s">
        <v>134</v>
      </c>
      <c r="D38" t="str" cm="1">
        <f t="array" ref="D38">_xlfn.TEXTJOIN("", TRUE, IF(ISNUMBER(SEARCH($K$1379:$K$1423, C38)), $K$1379:$K$1423, ""))</f>
        <v>Barilla</v>
      </c>
      <c r="E38" t="str">
        <f t="shared" si="0"/>
        <v>Pasta</v>
      </c>
      <c r="F38" t="str">
        <f t="shared" si="1"/>
        <v>Grain</v>
      </c>
      <c r="G38" s="3">
        <v>1.99</v>
      </c>
      <c r="H38" t="s">
        <v>31</v>
      </c>
      <c r="I38" s="2" t="s">
        <v>32</v>
      </c>
    </row>
    <row r="39" spans="1:9" x14ac:dyDescent="0.25">
      <c r="A39" t="s">
        <v>135</v>
      </c>
      <c r="B39" t="s">
        <v>136</v>
      </c>
      <c r="C39" t="s">
        <v>137</v>
      </c>
      <c r="D39" t="str" cm="1">
        <f t="array" ref="D39">_xlfn.TEXTJOIN("", TRUE, IF(ISNUMBER(SEARCH($K$1379:$K$1423, C39)), $K$1379:$K$1423, ""))</f>
        <v>Barilla</v>
      </c>
      <c r="E39" t="str">
        <f t="shared" si="0"/>
        <v>Pasta</v>
      </c>
      <c r="F39" t="str">
        <f t="shared" si="1"/>
        <v>Grain</v>
      </c>
      <c r="G39" s="3">
        <v>5.79</v>
      </c>
      <c r="H39" t="s">
        <v>138</v>
      </c>
      <c r="I39" s="2" t="s">
        <v>139</v>
      </c>
    </row>
    <row r="40" spans="1:9" x14ac:dyDescent="0.25">
      <c r="A40" t="s">
        <v>140</v>
      </c>
      <c r="B40" t="s">
        <v>141</v>
      </c>
      <c r="C40" t="s">
        <v>142</v>
      </c>
      <c r="D40" t="str" cm="1">
        <f t="array" ref="D40">_xlfn.TEXTJOIN("", TRUE, IF(ISNUMBER(SEARCH($K$1379:$K$1423, C40)), $K$1379:$K$1423, ""))</f>
        <v>Barilla</v>
      </c>
      <c r="E40" t="str">
        <f t="shared" si="0"/>
        <v>Pasta</v>
      </c>
      <c r="F40" t="str">
        <f t="shared" si="1"/>
        <v>Grain</v>
      </c>
      <c r="G40" s="3">
        <v>1.99</v>
      </c>
      <c r="H40" t="s">
        <v>31</v>
      </c>
      <c r="I40" s="2" t="s">
        <v>32</v>
      </c>
    </row>
    <row r="41" spans="1:9" x14ac:dyDescent="0.25">
      <c r="A41" t="s">
        <v>143</v>
      </c>
      <c r="B41" t="s">
        <v>144</v>
      </c>
      <c r="C41" t="s">
        <v>145</v>
      </c>
      <c r="D41" t="str" cm="1">
        <f t="array" ref="D41">_xlfn.TEXTJOIN("", TRUE, IF(ISNUMBER(SEARCH($K$1379:$K$1423, C41)), $K$1379:$K$1423, ""))</f>
        <v>Barilla</v>
      </c>
      <c r="E41" t="str">
        <f t="shared" si="0"/>
        <v>Pasta</v>
      </c>
      <c r="F41" t="str">
        <f t="shared" si="1"/>
        <v>Grain</v>
      </c>
      <c r="G41" s="3">
        <v>1.99</v>
      </c>
      <c r="H41" t="s">
        <v>31</v>
      </c>
      <c r="I41" s="2" t="s">
        <v>32</v>
      </c>
    </row>
    <row r="42" spans="1:9" x14ac:dyDescent="0.25">
      <c r="A42" t="s">
        <v>146</v>
      </c>
      <c r="B42" t="s">
        <v>147</v>
      </c>
      <c r="C42" t="s">
        <v>148</v>
      </c>
      <c r="D42" t="str" cm="1">
        <f t="array" ref="D42">_xlfn.TEXTJOIN("", TRUE, IF(ISNUMBER(SEARCH($K$1379:$K$1423, C42)), $K$1379:$K$1423, ""))</f>
        <v>Barilla</v>
      </c>
      <c r="E42" t="str">
        <f t="shared" si="0"/>
        <v>Pasta</v>
      </c>
      <c r="F42" t="str">
        <f t="shared" si="1"/>
        <v>Grain</v>
      </c>
      <c r="G42" s="3">
        <v>2.99</v>
      </c>
      <c r="H42" t="s">
        <v>17</v>
      </c>
      <c r="I42" s="2" t="s">
        <v>149</v>
      </c>
    </row>
    <row r="43" spans="1:9" x14ac:dyDescent="0.25">
      <c r="A43" t="s">
        <v>150</v>
      </c>
      <c r="B43" t="s">
        <v>151</v>
      </c>
      <c r="C43" t="s">
        <v>152</v>
      </c>
      <c r="D43" t="str" cm="1">
        <f t="array" ref="D43">_xlfn.TEXTJOIN("", TRUE, IF(ISNUMBER(SEARCH($K$1379:$K$1423, C43)), $K$1379:$K$1423, ""))</f>
        <v>Barilla</v>
      </c>
      <c r="E43" t="str">
        <f t="shared" si="0"/>
        <v>Pasta</v>
      </c>
      <c r="F43" t="str">
        <f t="shared" si="1"/>
        <v>Grain</v>
      </c>
      <c r="G43" s="3">
        <v>3.19</v>
      </c>
      <c r="H43" t="s">
        <v>17</v>
      </c>
      <c r="I43" s="2" t="s">
        <v>79</v>
      </c>
    </row>
    <row r="44" spans="1:9" x14ac:dyDescent="0.25">
      <c r="A44" t="s">
        <v>153</v>
      </c>
      <c r="B44" t="s">
        <v>154</v>
      </c>
      <c r="C44" t="s">
        <v>155</v>
      </c>
      <c r="D44" t="str" cm="1">
        <f t="array" ref="D44">_xlfn.TEXTJOIN("", TRUE, IF(ISNUMBER(SEARCH($K$1379:$K$1423, C44)), $K$1379:$K$1423, ""))</f>
        <v>Barilla</v>
      </c>
      <c r="E44" t="str">
        <f t="shared" si="0"/>
        <v>Pasta</v>
      </c>
      <c r="F44" t="str">
        <f t="shared" si="1"/>
        <v>Grain</v>
      </c>
      <c r="G44" s="3">
        <v>3.99</v>
      </c>
      <c r="H44" t="s">
        <v>156</v>
      </c>
      <c r="I44" s="2" t="s">
        <v>157</v>
      </c>
    </row>
    <row r="45" spans="1:9" x14ac:dyDescent="0.25">
      <c r="A45" t="s">
        <v>158</v>
      </c>
      <c r="B45" t="s">
        <v>159</v>
      </c>
      <c r="C45" t="s">
        <v>160</v>
      </c>
      <c r="D45" t="str" cm="1">
        <f t="array" ref="D45">_xlfn.TEXTJOIN("", TRUE, IF(ISNUMBER(SEARCH($K$1379:$K$1423, C45)), $K$1379:$K$1423, ""))</f>
        <v>Barilla</v>
      </c>
      <c r="E45" t="str">
        <f t="shared" si="0"/>
        <v>Pasta</v>
      </c>
      <c r="F45" t="str">
        <f t="shared" si="1"/>
        <v>Grain</v>
      </c>
      <c r="G45" s="3">
        <v>1.99</v>
      </c>
      <c r="H45" t="s">
        <v>31</v>
      </c>
      <c r="I45" s="2" t="s">
        <v>32</v>
      </c>
    </row>
    <row r="46" spans="1:9" x14ac:dyDescent="0.25">
      <c r="A46" t="s">
        <v>161</v>
      </c>
      <c r="B46" t="s">
        <v>162</v>
      </c>
      <c r="C46" t="s">
        <v>163</v>
      </c>
      <c r="D46" t="str" cm="1">
        <f t="array" ref="D46">_xlfn.TEXTJOIN("", TRUE, IF(ISNUMBER(SEARCH($K$1379:$K$1423, C46)), $K$1379:$K$1423, ""))</f>
        <v>Barilla</v>
      </c>
      <c r="E46" t="str">
        <f t="shared" si="0"/>
        <v>Pasta</v>
      </c>
      <c r="F46" t="str">
        <f t="shared" si="1"/>
        <v>Grain</v>
      </c>
      <c r="G46" s="3">
        <v>1.99</v>
      </c>
      <c r="H46" t="s">
        <v>31</v>
      </c>
      <c r="I46" s="2" t="s">
        <v>32</v>
      </c>
    </row>
    <row r="47" spans="1:9" x14ac:dyDescent="0.25">
      <c r="A47" t="s">
        <v>164</v>
      </c>
      <c r="B47" t="s">
        <v>165</v>
      </c>
      <c r="C47" t="s">
        <v>166</v>
      </c>
      <c r="D47" t="str" cm="1">
        <f t="array" ref="D47">_xlfn.TEXTJOIN("", TRUE, IF(ISNUMBER(SEARCH($K$1379:$K$1423, C47)), $K$1379:$K$1423, ""))</f>
        <v>Barilla</v>
      </c>
      <c r="E47" t="str">
        <f t="shared" si="0"/>
        <v>Pasta</v>
      </c>
      <c r="F47" t="str">
        <f t="shared" si="1"/>
        <v>Grain</v>
      </c>
      <c r="G47" s="3">
        <v>3</v>
      </c>
      <c r="H47" t="s">
        <v>130</v>
      </c>
      <c r="I47" s="2" t="s">
        <v>131</v>
      </c>
    </row>
    <row r="48" spans="1:9" x14ac:dyDescent="0.25">
      <c r="A48" t="s">
        <v>167</v>
      </c>
      <c r="B48" t="s">
        <v>168</v>
      </c>
      <c r="C48" t="s">
        <v>169</v>
      </c>
      <c r="D48" t="str" cm="1">
        <f t="array" ref="D48">_xlfn.TEXTJOIN("", TRUE, IF(ISNUMBER(SEARCH($K$1379:$K$1423, C48)), $K$1379:$K$1423, ""))</f>
        <v>Barilla</v>
      </c>
      <c r="E48" t="str">
        <f t="shared" si="0"/>
        <v>Pasta</v>
      </c>
      <c r="F48" t="str">
        <f t="shared" si="1"/>
        <v>Grain</v>
      </c>
      <c r="G48" s="3">
        <v>2.99</v>
      </c>
      <c r="H48" t="s">
        <v>31</v>
      </c>
      <c r="I48" s="2" t="s">
        <v>170</v>
      </c>
    </row>
    <row r="49" spans="1:9" x14ac:dyDescent="0.25">
      <c r="A49" t="s">
        <v>171</v>
      </c>
      <c r="B49" t="s">
        <v>172</v>
      </c>
      <c r="C49" t="s">
        <v>173</v>
      </c>
      <c r="D49" t="str" cm="1">
        <f t="array" ref="D49">_xlfn.TEXTJOIN("", TRUE, IF(ISNUMBER(SEARCH($K$1379:$K$1423, C49)), $K$1379:$K$1423, ""))</f>
        <v>Barilla</v>
      </c>
      <c r="E49" t="str">
        <f t="shared" si="0"/>
        <v>Pasta</v>
      </c>
      <c r="F49" t="str">
        <f t="shared" si="1"/>
        <v>Grain</v>
      </c>
      <c r="G49" s="3">
        <v>1.99</v>
      </c>
      <c r="H49" t="s">
        <v>31</v>
      </c>
      <c r="I49" s="2" t="s">
        <v>32</v>
      </c>
    </row>
    <row r="50" spans="1:9" x14ac:dyDescent="0.25">
      <c r="A50" t="s">
        <v>174</v>
      </c>
      <c r="B50" t="s">
        <v>175</v>
      </c>
      <c r="C50" t="s">
        <v>176</v>
      </c>
      <c r="D50" t="str" cm="1">
        <f t="array" ref="D50">_xlfn.TEXTJOIN("", TRUE, IF(ISNUMBER(SEARCH($K$1379:$K$1423, C50)), $K$1379:$K$1423, ""))</f>
        <v>Barilla</v>
      </c>
      <c r="E50" t="str">
        <f t="shared" si="0"/>
        <v>Pasta</v>
      </c>
      <c r="F50" t="str">
        <f t="shared" si="1"/>
        <v>Grain</v>
      </c>
      <c r="G50" s="3">
        <v>4.1900000000000004</v>
      </c>
      <c r="H50" t="s">
        <v>177</v>
      </c>
      <c r="I50" s="2" t="s">
        <v>139</v>
      </c>
    </row>
    <row r="51" spans="1:9" x14ac:dyDescent="0.25">
      <c r="A51" t="s">
        <v>178</v>
      </c>
      <c r="B51" t="s">
        <v>179</v>
      </c>
      <c r="C51" t="s">
        <v>180</v>
      </c>
      <c r="D51" t="str" cm="1">
        <f t="array" ref="D51">_xlfn.TEXTJOIN("", TRUE, IF(ISNUMBER(SEARCH($K$1379:$K$1423, C51)), $K$1379:$K$1423, ""))</f>
        <v>Barilla</v>
      </c>
      <c r="E51" t="str">
        <f t="shared" si="0"/>
        <v>Pasta</v>
      </c>
      <c r="F51" t="str">
        <f t="shared" si="1"/>
        <v>Grain</v>
      </c>
      <c r="G51" s="3">
        <v>3.59</v>
      </c>
      <c r="H51" t="s">
        <v>181</v>
      </c>
      <c r="I51" s="2" t="s">
        <v>99</v>
      </c>
    </row>
    <row r="52" spans="1:9" x14ac:dyDescent="0.25">
      <c r="A52" t="s">
        <v>182</v>
      </c>
      <c r="B52" t="s">
        <v>183</v>
      </c>
      <c r="C52" t="s">
        <v>184</v>
      </c>
      <c r="D52" t="str" cm="1">
        <f t="array" ref="D52">_xlfn.TEXTJOIN("", TRUE, IF(ISNUMBER(SEARCH($K$1379:$K$1423, C52)), $K$1379:$K$1423, ""))</f>
        <v>Barilla</v>
      </c>
      <c r="E52" t="str">
        <f t="shared" si="0"/>
        <v>Pasta</v>
      </c>
      <c r="F52" t="str">
        <f t="shared" si="1"/>
        <v>Grain</v>
      </c>
      <c r="G52" s="3">
        <v>1.99</v>
      </c>
      <c r="H52" t="s">
        <v>31</v>
      </c>
      <c r="I52" s="2" t="s">
        <v>32</v>
      </c>
    </row>
    <row r="53" spans="1:9" x14ac:dyDescent="0.25">
      <c r="A53" t="s">
        <v>185</v>
      </c>
      <c r="B53" t="s">
        <v>186</v>
      </c>
      <c r="C53" t="s">
        <v>187</v>
      </c>
      <c r="D53" t="str" cm="1">
        <f t="array" ref="D53">_xlfn.TEXTJOIN("", TRUE, IF(ISNUMBER(SEARCH($K$1379:$K$1423, C53)), $K$1379:$K$1423, ""))</f>
        <v>Barilla</v>
      </c>
      <c r="E53" t="str">
        <f t="shared" si="0"/>
        <v>Pasta</v>
      </c>
      <c r="F53" t="str">
        <f t="shared" si="1"/>
        <v>Grain</v>
      </c>
      <c r="G53" s="3">
        <v>2.4900000000000002</v>
      </c>
      <c r="H53" t="s">
        <v>98</v>
      </c>
      <c r="I53" s="2" t="s">
        <v>99</v>
      </c>
    </row>
    <row r="54" spans="1:9" x14ac:dyDescent="0.25">
      <c r="A54" t="s">
        <v>188</v>
      </c>
      <c r="B54" t="s">
        <v>189</v>
      </c>
      <c r="C54" t="s">
        <v>190</v>
      </c>
      <c r="D54" t="str" cm="1">
        <f t="array" ref="D54">_xlfn.TEXTJOIN("", TRUE, IF(ISNUMBER(SEARCH($K$1379:$K$1423, C54)), $K$1379:$K$1423, ""))</f>
        <v>Barilla</v>
      </c>
      <c r="E54" t="str">
        <f t="shared" si="0"/>
        <v>Pasta</v>
      </c>
      <c r="F54" t="str">
        <f t="shared" si="1"/>
        <v>Grain</v>
      </c>
      <c r="G54" s="3">
        <v>4.1900000000000004</v>
      </c>
      <c r="H54" t="s">
        <v>177</v>
      </c>
      <c r="I54" s="2" t="s">
        <v>139</v>
      </c>
    </row>
    <row r="55" spans="1:9" x14ac:dyDescent="0.25">
      <c r="A55" t="s">
        <v>191</v>
      </c>
      <c r="B55" t="s">
        <v>192</v>
      </c>
      <c r="C55" t="s">
        <v>193</v>
      </c>
      <c r="D55" t="str" cm="1">
        <f t="array" ref="D55">_xlfn.TEXTJOIN("", TRUE, IF(ISNUMBER(SEARCH($K$1379:$K$1423, C55)), $K$1379:$K$1423, ""))</f>
        <v>Barilla</v>
      </c>
      <c r="E55" t="str">
        <f t="shared" si="0"/>
        <v>Pasta</v>
      </c>
      <c r="F55" t="str">
        <f t="shared" si="1"/>
        <v>Grain</v>
      </c>
      <c r="G55" s="3">
        <v>3</v>
      </c>
      <c r="H55" t="s">
        <v>130</v>
      </c>
      <c r="I55" s="2" t="s">
        <v>131</v>
      </c>
    </row>
    <row r="56" spans="1:9" x14ac:dyDescent="0.25">
      <c r="A56" t="s">
        <v>194</v>
      </c>
      <c r="B56" t="s">
        <v>195</v>
      </c>
      <c r="C56" t="s">
        <v>196</v>
      </c>
      <c r="D56" t="str" cm="1">
        <f t="array" ref="D56">_xlfn.TEXTJOIN("", TRUE, IF(ISNUMBER(SEARCH($K$1379:$K$1423, C56)), $K$1379:$K$1423, ""))</f>
        <v>Barilla</v>
      </c>
      <c r="E56" t="str">
        <f t="shared" si="0"/>
        <v>Pasta</v>
      </c>
      <c r="F56" t="str">
        <f t="shared" si="1"/>
        <v>Grain</v>
      </c>
      <c r="G56" s="3">
        <v>5.79</v>
      </c>
      <c r="H56" t="s">
        <v>138</v>
      </c>
      <c r="I56" s="2" t="s">
        <v>139</v>
      </c>
    </row>
    <row r="57" spans="1:9" x14ac:dyDescent="0.25">
      <c r="A57" t="s">
        <v>197</v>
      </c>
      <c r="B57" t="s">
        <v>198</v>
      </c>
      <c r="C57" t="s">
        <v>199</v>
      </c>
      <c r="D57" t="str" cm="1">
        <f t="array" ref="D57">_xlfn.TEXTJOIN("", TRUE, IF(ISNUMBER(SEARCH($K$1379:$K$1423, C57)), $K$1379:$K$1423, ""))</f>
        <v>Barilla</v>
      </c>
      <c r="E57" t="str">
        <f t="shared" si="0"/>
        <v>Pasta</v>
      </c>
      <c r="F57" t="str">
        <f t="shared" si="1"/>
        <v>Grain</v>
      </c>
      <c r="G57" s="3">
        <v>3</v>
      </c>
      <c r="H57" t="s">
        <v>130</v>
      </c>
      <c r="I57" s="2" t="s">
        <v>131</v>
      </c>
    </row>
    <row r="58" spans="1:9" x14ac:dyDescent="0.25">
      <c r="A58" t="s">
        <v>200</v>
      </c>
      <c r="B58" t="s">
        <v>201</v>
      </c>
      <c r="C58" t="s">
        <v>202</v>
      </c>
      <c r="D58" t="str" cm="1">
        <f t="array" ref="D58">_xlfn.TEXTJOIN("", TRUE, IF(ISNUMBER(SEARCH($K$1379:$K$1423, C58)), $K$1379:$K$1423, ""))</f>
        <v>Barilla</v>
      </c>
      <c r="E58" t="str">
        <f t="shared" si="0"/>
        <v>Pasta</v>
      </c>
      <c r="F58" t="str">
        <f t="shared" si="1"/>
        <v>Grain</v>
      </c>
      <c r="G58" s="3">
        <v>4.1900000000000004</v>
      </c>
      <c r="H58" t="s">
        <v>177</v>
      </c>
      <c r="I58" s="2" t="s">
        <v>139</v>
      </c>
    </row>
    <row r="59" spans="1:9" x14ac:dyDescent="0.25">
      <c r="A59" t="s">
        <v>203</v>
      </c>
      <c r="B59" t="s">
        <v>204</v>
      </c>
      <c r="C59" t="s">
        <v>205</v>
      </c>
      <c r="D59" t="str" cm="1">
        <f t="array" ref="D59">_xlfn.TEXTJOIN("", TRUE, IF(ISNUMBER(SEARCH($K$1379:$K$1423, C59)), $K$1379:$K$1423, ""))</f>
        <v>Barilla</v>
      </c>
      <c r="E59" t="str">
        <f t="shared" si="0"/>
        <v>Pasta</v>
      </c>
      <c r="F59" t="str">
        <f t="shared" si="1"/>
        <v>Grain</v>
      </c>
      <c r="G59" s="3">
        <v>4.1900000000000004</v>
      </c>
      <c r="H59" t="s">
        <v>177</v>
      </c>
      <c r="I59" s="2" t="s">
        <v>139</v>
      </c>
    </row>
    <row r="60" spans="1:9" x14ac:dyDescent="0.25">
      <c r="A60" t="s">
        <v>206</v>
      </c>
      <c r="B60" t="s">
        <v>207</v>
      </c>
      <c r="C60" t="s">
        <v>208</v>
      </c>
      <c r="D60" t="str" cm="1">
        <f t="array" ref="D60">_xlfn.TEXTJOIN("", TRUE, IF(ISNUMBER(SEARCH($K$1379:$K$1423, C60)), $K$1379:$K$1423, ""))</f>
        <v>BelGioioso</v>
      </c>
      <c r="E60" t="str">
        <f t="shared" si="0"/>
        <v>Cheese</v>
      </c>
      <c r="F60" t="str">
        <f t="shared" si="1"/>
        <v>Dairy</v>
      </c>
      <c r="G60" s="3">
        <v>5.99</v>
      </c>
      <c r="H60" t="s">
        <v>211</v>
      </c>
      <c r="I60" s="2" t="s">
        <v>212</v>
      </c>
    </row>
    <row r="61" spans="1:9" x14ac:dyDescent="0.25">
      <c r="A61" t="s">
        <v>213</v>
      </c>
      <c r="B61" t="s">
        <v>214</v>
      </c>
      <c r="C61" t="s">
        <v>215</v>
      </c>
      <c r="D61" t="str" cm="1">
        <f t="array" ref="D61">_xlfn.TEXTJOIN("", TRUE, IF(ISNUMBER(SEARCH($K$1379:$K$1423, C61)), $K$1379:$K$1423, ""))</f>
        <v>BelGioioso</v>
      </c>
      <c r="E61" t="str">
        <f t="shared" si="0"/>
        <v>Cheese</v>
      </c>
      <c r="F61" t="str">
        <f t="shared" si="1"/>
        <v>Dairy</v>
      </c>
      <c r="G61" s="3">
        <v>4.99</v>
      </c>
      <c r="H61" t="s">
        <v>211</v>
      </c>
      <c r="I61" s="2" t="s">
        <v>216</v>
      </c>
    </row>
    <row r="62" spans="1:9" x14ac:dyDescent="0.25">
      <c r="A62" t="s">
        <v>217</v>
      </c>
      <c r="B62" t="s">
        <v>218</v>
      </c>
      <c r="C62" t="s">
        <v>219</v>
      </c>
      <c r="D62" t="str" cm="1">
        <f t="array" ref="D62">_xlfn.TEXTJOIN("", TRUE, IF(ISNUMBER(SEARCH($K$1379:$K$1423, C62)), $K$1379:$K$1423, ""))</f>
        <v>BelGioioso</v>
      </c>
      <c r="E62" t="str">
        <f t="shared" si="0"/>
        <v>Cheese</v>
      </c>
      <c r="F62" t="str">
        <f t="shared" si="1"/>
        <v>Dairy</v>
      </c>
      <c r="G62" s="3">
        <v>4.99</v>
      </c>
      <c r="H62" t="s">
        <v>220</v>
      </c>
      <c r="I62" s="2" t="s">
        <v>216</v>
      </c>
    </row>
    <row r="63" spans="1:9" x14ac:dyDescent="0.25">
      <c r="A63" t="s">
        <v>221</v>
      </c>
      <c r="B63" t="s">
        <v>222</v>
      </c>
      <c r="C63" t="s">
        <v>215</v>
      </c>
      <c r="D63" t="str" cm="1">
        <f t="array" ref="D63">_xlfn.TEXTJOIN("", TRUE, IF(ISNUMBER(SEARCH($K$1379:$K$1423, C63)), $K$1379:$K$1423, ""))</f>
        <v>BelGioioso</v>
      </c>
      <c r="E63" t="str">
        <f t="shared" si="0"/>
        <v>Cheese</v>
      </c>
      <c r="F63" t="str">
        <f t="shared" si="1"/>
        <v>Dairy</v>
      </c>
      <c r="G63" s="3">
        <v>7.49</v>
      </c>
      <c r="H63" t="s">
        <v>223</v>
      </c>
      <c r="I63" s="2" t="s">
        <v>224</v>
      </c>
    </row>
    <row r="64" spans="1:9" x14ac:dyDescent="0.25">
      <c r="A64" t="s">
        <v>225</v>
      </c>
      <c r="B64" t="s">
        <v>226</v>
      </c>
      <c r="C64" t="s">
        <v>227</v>
      </c>
      <c r="D64" t="str" cm="1">
        <f t="array" ref="D64">_xlfn.TEXTJOIN("", TRUE, IF(ISNUMBER(SEARCH($K$1379:$K$1423, C64)), $K$1379:$K$1423, ""))</f>
        <v>BelGioioso</v>
      </c>
      <c r="E64" t="str">
        <f t="shared" si="0"/>
        <v>Cheese</v>
      </c>
      <c r="F64" t="str">
        <f t="shared" si="1"/>
        <v>Dairy</v>
      </c>
      <c r="G64" s="3">
        <v>4.99</v>
      </c>
      <c r="H64" t="s">
        <v>211</v>
      </c>
      <c r="I64" s="2" t="s">
        <v>216</v>
      </c>
    </row>
    <row r="65" spans="1:9" x14ac:dyDescent="0.25">
      <c r="A65" t="s">
        <v>228</v>
      </c>
      <c r="B65" t="s">
        <v>229</v>
      </c>
      <c r="C65" t="s">
        <v>230</v>
      </c>
      <c r="D65" t="str" cm="1">
        <f t="array" ref="D65">_xlfn.TEXTJOIN("", TRUE, IF(ISNUMBER(SEARCH($K$1379:$K$1423, C65)), $K$1379:$K$1423, ""))</f>
        <v>BelGioioso</v>
      </c>
      <c r="E65" t="str">
        <f t="shared" si="0"/>
        <v>Cheese</v>
      </c>
      <c r="F65" t="str">
        <f t="shared" si="1"/>
        <v>Dairy</v>
      </c>
      <c r="G65" s="3">
        <v>3.99</v>
      </c>
      <c r="H65" t="s">
        <v>231</v>
      </c>
      <c r="I65" s="2" t="s">
        <v>232</v>
      </c>
    </row>
    <row r="66" spans="1:9" x14ac:dyDescent="0.25">
      <c r="A66" t="s">
        <v>233</v>
      </c>
      <c r="B66" t="s">
        <v>234</v>
      </c>
      <c r="C66" t="s">
        <v>235</v>
      </c>
      <c r="D66" t="str" cm="1">
        <f t="array" ref="D66">_xlfn.TEXTJOIN("", TRUE, IF(ISNUMBER(SEARCH($K$1379:$K$1423, C66)), $K$1379:$K$1423, ""))</f>
        <v>BelGioioso</v>
      </c>
      <c r="E66" t="str">
        <f t="shared" ref="E66:E129" si="2">IF(OR(D66="Mission",D66="Nature's Own",D66="Sara Lee"),"Bread",
IF(OR(D66="Del Monte",D66="Dole",D66="Mott's"),"Canned Fruit",
IF(OR(D66="Goya",D66="Hunt's",D66="Birds Eye"),"Canned Vegetables",
IF(OR(D66="fairlife",D66="Horizon Organic",D66="Lactaid",D66="Ben &amp; Jerry's"),"Milk",
IF(OR(D66="BelGioioso",D66="Kraft",D66="Philadelphia"),"Cheese",
IF(OR(D66="Chobani",D66="Oikos",D66="Dannon Light + Fit"),"Yogurt",
IF(OR(D66="Barilla",D66="Annie's",D66="Rao's Homemade"),"Pasta",
IF(OR(D66="Hershey's",D66="Lay's",D66="Totino's",D66="Cheerios",D66="Jif",D66="Skippy",D66="Nature Valley",D66="OREO",D66="DiGiorno",D66="Eggo"),"Prepared Food",
IF(OR(D66="Ben's Original",D66="Lundberg",D66="Quaker"),"Rice",
IF(OR(D66="Bush's",D66="Hillshire Farm",D66="Oscar Mayer",D66="SPAM"),"Protein",
IF(OR(D66="Starbucks",D66="Sparkling Ice",D66="Coca-Cola",D66="San Pellegrino",D66="Gatorade",D66="Arizona"),"Beverages",
"Other")))))))))))</f>
        <v>Cheese</v>
      </c>
      <c r="F66" t="str">
        <f t="shared" ref="F66:F129" si="3">IF(OR(E66="Bread",E66="Rice",E66="Pasta"), "Grain",
IF(OR(E66="Milk",E66="Cheese",E66="Yogurt"), "Dairy",
IF(OR(E66="Canned Fruit",E66="Canned Vegetables"), "Fruit &amp; Vegetables",
IF(E66="Prepared Food", "Prepared Food",
IF(E66="Protein", "Protein",
IF(E66="Beverages", "Beverages",
"Other"))))))</f>
        <v>Dairy</v>
      </c>
      <c r="G66" s="3">
        <v>6.99</v>
      </c>
      <c r="H66" t="s">
        <v>220</v>
      </c>
      <c r="I66" s="2" t="s">
        <v>236</v>
      </c>
    </row>
    <row r="67" spans="1:9" x14ac:dyDescent="0.25">
      <c r="A67" t="s">
        <v>237</v>
      </c>
      <c r="B67" t="s">
        <v>238</v>
      </c>
      <c r="C67" t="s">
        <v>219</v>
      </c>
      <c r="D67" t="str" cm="1">
        <f t="array" ref="D67">_xlfn.TEXTJOIN("", TRUE, IF(ISNUMBER(SEARCH($K$1379:$K$1423, C67)), $K$1379:$K$1423, ""))</f>
        <v>BelGioioso</v>
      </c>
      <c r="E67" t="str">
        <f t="shared" si="2"/>
        <v>Cheese</v>
      </c>
      <c r="F67" t="str">
        <f t="shared" si="3"/>
        <v>Dairy</v>
      </c>
      <c r="G67" s="3">
        <v>4.99</v>
      </c>
      <c r="H67" t="s">
        <v>211</v>
      </c>
      <c r="I67" s="2" t="s">
        <v>216</v>
      </c>
    </row>
    <row r="68" spans="1:9" x14ac:dyDescent="0.25">
      <c r="A68" t="s">
        <v>239</v>
      </c>
      <c r="B68" t="s">
        <v>240</v>
      </c>
      <c r="C68" t="s">
        <v>219</v>
      </c>
      <c r="D68" t="str" cm="1">
        <f t="array" ref="D68">_xlfn.TEXTJOIN("", TRUE, IF(ISNUMBER(SEARCH($K$1379:$K$1423, C68)), $K$1379:$K$1423, ""))</f>
        <v>BelGioioso</v>
      </c>
      <c r="E68" t="str">
        <f t="shared" si="2"/>
        <v>Cheese</v>
      </c>
      <c r="F68" t="str">
        <f t="shared" si="3"/>
        <v>Dairy</v>
      </c>
      <c r="G68" s="3">
        <v>7.49</v>
      </c>
      <c r="H68" t="s">
        <v>223</v>
      </c>
      <c r="I68" s="2" t="s">
        <v>224</v>
      </c>
    </row>
    <row r="69" spans="1:9" x14ac:dyDescent="0.25">
      <c r="A69" t="s">
        <v>241</v>
      </c>
      <c r="B69" t="s">
        <v>242</v>
      </c>
      <c r="C69" t="s">
        <v>243</v>
      </c>
      <c r="D69" t="str" cm="1">
        <f t="array" ref="D69">_xlfn.TEXTJOIN("", TRUE, IF(ISNUMBER(SEARCH($K$1379:$K$1423, C69)), $K$1379:$K$1423, ""))</f>
        <v>BelGioioso</v>
      </c>
      <c r="E69" t="str">
        <f t="shared" si="2"/>
        <v>Cheese</v>
      </c>
      <c r="F69" t="str">
        <f t="shared" si="3"/>
        <v>Dairy</v>
      </c>
      <c r="G69" s="3">
        <v>3.99</v>
      </c>
      <c r="H69" t="s">
        <v>231</v>
      </c>
      <c r="I69" s="2" t="s">
        <v>232</v>
      </c>
    </row>
    <row r="70" spans="1:9" x14ac:dyDescent="0.25">
      <c r="A70" t="s">
        <v>244</v>
      </c>
      <c r="B70" t="s">
        <v>245</v>
      </c>
      <c r="C70" t="s">
        <v>208</v>
      </c>
      <c r="D70" t="str" cm="1">
        <f t="array" ref="D70">_xlfn.TEXTJOIN("", TRUE, IF(ISNUMBER(SEARCH($K$1379:$K$1423, C70)), $K$1379:$K$1423, ""))</f>
        <v>BelGioioso</v>
      </c>
      <c r="E70" t="str">
        <f t="shared" si="2"/>
        <v>Cheese</v>
      </c>
      <c r="F70" t="str">
        <f t="shared" si="3"/>
        <v>Dairy</v>
      </c>
      <c r="G70" s="3">
        <v>10.99</v>
      </c>
      <c r="H70" t="s">
        <v>223</v>
      </c>
      <c r="I70" s="2" t="s">
        <v>246</v>
      </c>
    </row>
    <row r="71" spans="1:9" x14ac:dyDescent="0.25">
      <c r="A71" t="s">
        <v>247</v>
      </c>
      <c r="B71" t="s">
        <v>248</v>
      </c>
      <c r="C71" t="s">
        <v>249</v>
      </c>
      <c r="D71" t="str" cm="1">
        <f t="array" ref="D71">_xlfn.TEXTJOIN("", TRUE, IF(ISNUMBER(SEARCH($K$1379:$K$1423, C71)), $K$1379:$K$1423, ""))</f>
        <v>BelGioioso</v>
      </c>
      <c r="E71" t="str">
        <f t="shared" si="2"/>
        <v>Cheese</v>
      </c>
      <c r="F71" t="str">
        <f t="shared" si="3"/>
        <v>Dairy</v>
      </c>
      <c r="G71" s="3">
        <v>5.99</v>
      </c>
      <c r="H71" t="s">
        <v>211</v>
      </c>
      <c r="I71" s="2" t="s">
        <v>212</v>
      </c>
    </row>
    <row r="72" spans="1:9" x14ac:dyDescent="0.25">
      <c r="A72" t="s">
        <v>250</v>
      </c>
      <c r="B72" t="s">
        <v>251</v>
      </c>
      <c r="C72" t="s">
        <v>252</v>
      </c>
      <c r="D72" t="str" cm="1">
        <f t="array" ref="D72">_xlfn.TEXTJOIN("", TRUE, IF(ISNUMBER(SEARCH($K$1379:$K$1423, C72)), $K$1379:$K$1423, ""))</f>
        <v>BelGioioso</v>
      </c>
      <c r="E72" t="str">
        <f t="shared" si="2"/>
        <v>Cheese</v>
      </c>
      <c r="F72" t="str">
        <f t="shared" si="3"/>
        <v>Dairy</v>
      </c>
      <c r="G72" s="3">
        <v>7.49</v>
      </c>
      <c r="H72" t="s">
        <v>223</v>
      </c>
      <c r="I72" s="2" t="s">
        <v>224</v>
      </c>
    </row>
    <row r="73" spans="1:9" x14ac:dyDescent="0.25">
      <c r="A73" t="s">
        <v>253</v>
      </c>
      <c r="B73" t="s">
        <v>254</v>
      </c>
      <c r="C73" t="s">
        <v>255</v>
      </c>
      <c r="D73" t="str" cm="1">
        <f t="array" ref="D73">_xlfn.TEXTJOIN("", TRUE, IF(ISNUMBER(SEARCH($K$1379:$K$1423, C73)), $K$1379:$K$1423, ""))</f>
        <v>BelGioioso</v>
      </c>
      <c r="E73" t="str">
        <f t="shared" si="2"/>
        <v>Cheese</v>
      </c>
      <c r="F73" t="str">
        <f t="shared" si="3"/>
        <v>Dairy</v>
      </c>
      <c r="G73" s="3">
        <v>4.99</v>
      </c>
      <c r="H73" t="s">
        <v>220</v>
      </c>
      <c r="I73" s="2" t="s">
        <v>216</v>
      </c>
    </row>
    <row r="74" spans="1:9" x14ac:dyDescent="0.25">
      <c r="A74" t="s">
        <v>256</v>
      </c>
      <c r="B74" t="s">
        <v>257</v>
      </c>
      <c r="C74" t="s">
        <v>258</v>
      </c>
      <c r="D74" t="str" cm="1">
        <f t="array" ref="D74">_xlfn.TEXTJOIN("", TRUE, IF(ISNUMBER(SEARCH($K$1379:$K$1423, C74)), $K$1379:$K$1423, ""))</f>
        <v>BelGioioso</v>
      </c>
      <c r="E74" t="str">
        <f t="shared" si="2"/>
        <v>Cheese</v>
      </c>
      <c r="F74" t="str">
        <f t="shared" si="3"/>
        <v>Dairy</v>
      </c>
      <c r="G74" s="3">
        <v>5.99</v>
      </c>
      <c r="H74" t="s">
        <v>211</v>
      </c>
      <c r="I74" s="2" t="s">
        <v>212</v>
      </c>
    </row>
    <row r="75" spans="1:9" x14ac:dyDescent="0.25">
      <c r="A75" t="s">
        <v>259</v>
      </c>
      <c r="B75" t="s">
        <v>260</v>
      </c>
      <c r="C75" t="s">
        <v>261</v>
      </c>
      <c r="D75" t="str" cm="1">
        <f t="array" ref="D75">_xlfn.TEXTJOIN("", TRUE, IF(ISNUMBER(SEARCH($K$1379:$K$1423, C75)), $K$1379:$K$1423, ""))</f>
        <v>BelGioioso</v>
      </c>
      <c r="E75" t="str">
        <f t="shared" si="2"/>
        <v>Cheese</v>
      </c>
      <c r="F75" t="str">
        <f t="shared" si="3"/>
        <v>Dairy</v>
      </c>
      <c r="G75" s="3">
        <v>7.99</v>
      </c>
      <c r="H75" t="s">
        <v>262</v>
      </c>
      <c r="I75" s="2" t="s">
        <v>263</v>
      </c>
    </row>
    <row r="76" spans="1:9" x14ac:dyDescent="0.25">
      <c r="A76" t="s">
        <v>264</v>
      </c>
      <c r="B76" t="s">
        <v>265</v>
      </c>
      <c r="C76" t="s">
        <v>266</v>
      </c>
      <c r="D76" t="str" cm="1">
        <f t="array" ref="D76">_xlfn.TEXTJOIN("", TRUE, IF(ISNUMBER(SEARCH($K$1379:$K$1423, C76)), $K$1379:$K$1423, ""))</f>
        <v>BelGioioso</v>
      </c>
      <c r="E76" t="str">
        <f t="shared" si="2"/>
        <v>Cheese</v>
      </c>
      <c r="F76" t="str">
        <f t="shared" si="3"/>
        <v>Dairy</v>
      </c>
      <c r="G76" s="3">
        <v>4.99</v>
      </c>
      <c r="H76" t="s">
        <v>211</v>
      </c>
      <c r="I76" s="2" t="s">
        <v>216</v>
      </c>
    </row>
    <row r="77" spans="1:9" x14ac:dyDescent="0.25">
      <c r="A77" t="s">
        <v>267</v>
      </c>
      <c r="B77" t="s">
        <v>268</v>
      </c>
      <c r="C77" t="s">
        <v>269</v>
      </c>
      <c r="D77" t="str" cm="1">
        <f t="array" ref="D77">_xlfn.TEXTJOIN("", TRUE, IF(ISNUMBER(SEARCH($K$1379:$K$1423, C77)), $K$1379:$K$1423, ""))</f>
        <v>BelGioioso</v>
      </c>
      <c r="E77" t="str">
        <f t="shared" si="2"/>
        <v>Cheese</v>
      </c>
      <c r="F77" t="str">
        <f t="shared" si="3"/>
        <v>Dairy</v>
      </c>
      <c r="G77" s="3">
        <v>5.99</v>
      </c>
      <c r="H77" t="s">
        <v>270</v>
      </c>
      <c r="I77" s="2" t="s">
        <v>271</v>
      </c>
    </row>
    <row r="78" spans="1:9" x14ac:dyDescent="0.25">
      <c r="A78" t="s">
        <v>272</v>
      </c>
      <c r="B78" t="s">
        <v>273</v>
      </c>
      <c r="C78" t="s">
        <v>274</v>
      </c>
      <c r="D78" t="str" cm="1">
        <f t="array" ref="D78">_xlfn.TEXTJOIN("", TRUE, IF(ISNUMBER(SEARCH($K$1379:$K$1423, C78)), $K$1379:$K$1423, ""))</f>
        <v>BelGioioso</v>
      </c>
      <c r="E78" t="str">
        <f t="shared" si="2"/>
        <v>Cheese</v>
      </c>
      <c r="F78" t="str">
        <f t="shared" si="3"/>
        <v>Dairy</v>
      </c>
      <c r="G78" s="3">
        <v>3.99</v>
      </c>
      <c r="H78" t="s">
        <v>220</v>
      </c>
      <c r="I78" s="2" t="s">
        <v>275</v>
      </c>
    </row>
    <row r="79" spans="1:9" x14ac:dyDescent="0.25">
      <c r="A79" t="s">
        <v>276</v>
      </c>
      <c r="B79" t="s">
        <v>277</v>
      </c>
      <c r="C79" t="s">
        <v>278</v>
      </c>
      <c r="D79" t="str" cm="1">
        <f t="array" ref="D79">_xlfn.TEXTJOIN("", TRUE, IF(ISNUMBER(SEARCH($K$1379:$K$1423, C79)), $K$1379:$K$1423, ""))</f>
        <v>BelGioioso</v>
      </c>
      <c r="E79" t="str">
        <f t="shared" si="2"/>
        <v>Cheese</v>
      </c>
      <c r="F79" t="str">
        <f t="shared" si="3"/>
        <v>Dairy</v>
      </c>
      <c r="G79" s="3">
        <v>5.99</v>
      </c>
      <c r="H79" t="s">
        <v>211</v>
      </c>
      <c r="I79" s="2" t="s">
        <v>212</v>
      </c>
    </row>
    <row r="80" spans="1:9" x14ac:dyDescent="0.25">
      <c r="A80" t="s">
        <v>279</v>
      </c>
      <c r="B80" t="s">
        <v>280</v>
      </c>
      <c r="C80" t="s">
        <v>281</v>
      </c>
      <c r="D80" t="str" cm="1">
        <f t="array" ref="D80">_xlfn.TEXTJOIN("", TRUE, IF(ISNUMBER(SEARCH($K$1379:$K$1423, C80)), $K$1379:$K$1423, ""))</f>
        <v>BelGioioso</v>
      </c>
      <c r="E80" t="str">
        <f t="shared" si="2"/>
        <v>Cheese</v>
      </c>
      <c r="F80" t="str">
        <f t="shared" si="3"/>
        <v>Dairy</v>
      </c>
      <c r="G80" s="3">
        <v>5.99</v>
      </c>
      <c r="H80" t="s">
        <v>270</v>
      </c>
      <c r="I80" s="2" t="s">
        <v>271</v>
      </c>
    </row>
    <row r="81" spans="1:9" x14ac:dyDescent="0.25">
      <c r="A81" t="s">
        <v>282</v>
      </c>
      <c r="B81" t="s">
        <v>283</v>
      </c>
      <c r="C81" t="s">
        <v>284</v>
      </c>
      <c r="D81" t="str" cm="1">
        <f t="array" ref="D81">_xlfn.TEXTJOIN("", TRUE, IF(ISNUMBER(SEARCH($K$1379:$K$1423, C81)), $K$1379:$K$1423, ""))</f>
        <v>BelGioioso</v>
      </c>
      <c r="E81" t="str">
        <f t="shared" si="2"/>
        <v>Cheese</v>
      </c>
      <c r="F81" t="str">
        <f t="shared" si="3"/>
        <v>Dairy</v>
      </c>
      <c r="G81" s="3">
        <v>5.99</v>
      </c>
      <c r="H81" t="s">
        <v>211</v>
      </c>
      <c r="I81" s="2" t="s">
        <v>212</v>
      </c>
    </row>
    <row r="82" spans="1:9" x14ac:dyDescent="0.25">
      <c r="A82" t="s">
        <v>285</v>
      </c>
      <c r="B82" t="s">
        <v>286</v>
      </c>
      <c r="C82" t="s">
        <v>287</v>
      </c>
      <c r="D82" t="str" cm="1">
        <f t="array" ref="D82">_xlfn.TEXTJOIN("", TRUE, IF(ISNUMBER(SEARCH($K$1379:$K$1423, C82)), $K$1379:$K$1423, ""))</f>
        <v>BelGioioso</v>
      </c>
      <c r="E82" t="str">
        <f t="shared" si="2"/>
        <v>Cheese</v>
      </c>
      <c r="F82" t="str">
        <f t="shared" si="3"/>
        <v>Dairy</v>
      </c>
      <c r="G82" s="3">
        <v>5.99</v>
      </c>
      <c r="H82" t="s">
        <v>211</v>
      </c>
      <c r="I82" s="2" t="s">
        <v>212</v>
      </c>
    </row>
    <row r="83" spans="1:9" x14ac:dyDescent="0.25">
      <c r="A83" t="s">
        <v>288</v>
      </c>
      <c r="B83" t="s">
        <v>289</v>
      </c>
      <c r="C83" t="s">
        <v>274</v>
      </c>
      <c r="D83" t="str" cm="1">
        <f t="array" ref="D83">_xlfn.TEXTJOIN("", TRUE, IF(ISNUMBER(SEARCH($K$1379:$K$1423, C83)), $K$1379:$K$1423, ""))</f>
        <v>BelGioioso</v>
      </c>
      <c r="E83" t="str">
        <f t="shared" si="2"/>
        <v>Cheese</v>
      </c>
      <c r="F83" t="str">
        <f t="shared" si="3"/>
        <v>Dairy</v>
      </c>
      <c r="G83" s="3">
        <v>6.99</v>
      </c>
      <c r="H83" t="s">
        <v>290</v>
      </c>
      <c r="I83" s="2" t="s">
        <v>291</v>
      </c>
    </row>
    <row r="84" spans="1:9" x14ac:dyDescent="0.25">
      <c r="A84" t="s">
        <v>292</v>
      </c>
      <c r="B84" t="s">
        <v>293</v>
      </c>
      <c r="C84" t="s">
        <v>294</v>
      </c>
      <c r="D84" t="str" cm="1">
        <f t="array" ref="D84">_xlfn.TEXTJOIN("", TRUE, IF(ISNUMBER(SEARCH($K$1379:$K$1423, C84)), $K$1379:$K$1423, ""))</f>
        <v>BelGioioso</v>
      </c>
      <c r="E84" t="str">
        <f t="shared" si="2"/>
        <v>Cheese</v>
      </c>
      <c r="F84" t="str">
        <f t="shared" si="3"/>
        <v>Dairy</v>
      </c>
      <c r="G84" s="3">
        <v>5.99</v>
      </c>
      <c r="H84" t="s">
        <v>295</v>
      </c>
      <c r="I84" s="2" t="s">
        <v>296</v>
      </c>
    </row>
    <row r="85" spans="1:9" x14ac:dyDescent="0.25">
      <c r="A85" t="s">
        <v>297</v>
      </c>
      <c r="B85" t="s">
        <v>298</v>
      </c>
      <c r="C85" t="s">
        <v>299</v>
      </c>
      <c r="D85" t="str" cm="1">
        <f t="array" ref="D85">_xlfn.TEXTJOIN("", TRUE, IF(ISNUMBER(SEARCH($K$1379:$K$1423, C85)), $K$1379:$K$1423, ""))</f>
        <v>BelGioioso</v>
      </c>
      <c r="E85" t="str">
        <f t="shared" si="2"/>
        <v>Cheese</v>
      </c>
      <c r="F85" t="str">
        <f t="shared" si="3"/>
        <v>Dairy</v>
      </c>
      <c r="G85" s="3">
        <v>5.99</v>
      </c>
      <c r="H85" t="s">
        <v>270</v>
      </c>
      <c r="I85" s="2" t="s">
        <v>271</v>
      </c>
    </row>
    <row r="86" spans="1:9" x14ac:dyDescent="0.25">
      <c r="A86" t="s">
        <v>300</v>
      </c>
      <c r="B86" t="s">
        <v>301</v>
      </c>
      <c r="C86" t="s">
        <v>302</v>
      </c>
      <c r="D86" t="str" cm="1">
        <f t="array" ref="D86">_xlfn.TEXTJOIN("", TRUE, IF(ISNUMBER(SEARCH($K$1379:$K$1423, C86)), $K$1379:$K$1423, ""))</f>
        <v>BelGioioso</v>
      </c>
      <c r="E86" t="str">
        <f t="shared" si="2"/>
        <v>Cheese</v>
      </c>
      <c r="F86" t="str">
        <f t="shared" si="3"/>
        <v>Dairy</v>
      </c>
      <c r="G86" s="3">
        <v>5.99</v>
      </c>
      <c r="H86" t="s">
        <v>295</v>
      </c>
      <c r="I86" s="2" t="s">
        <v>296</v>
      </c>
    </row>
    <row r="87" spans="1:9" x14ac:dyDescent="0.25">
      <c r="A87" t="s">
        <v>303</v>
      </c>
      <c r="B87" t="s">
        <v>304</v>
      </c>
      <c r="C87" t="s">
        <v>305</v>
      </c>
      <c r="D87" t="str" cm="1">
        <f t="array" ref="D87">_xlfn.TEXTJOIN("", TRUE, IF(ISNUMBER(SEARCH($K$1379:$K$1423, C87)), $K$1379:$K$1423, ""))</f>
        <v>Ben's Original</v>
      </c>
      <c r="E87" t="str">
        <f t="shared" si="2"/>
        <v>Rice</v>
      </c>
      <c r="F87" t="str">
        <f t="shared" si="3"/>
        <v>Grain</v>
      </c>
      <c r="G87" s="3">
        <v>2.99</v>
      </c>
      <c r="H87" t="s">
        <v>307</v>
      </c>
      <c r="I87" s="2" t="s">
        <v>308</v>
      </c>
    </row>
    <row r="88" spans="1:9" x14ac:dyDescent="0.25">
      <c r="A88" t="s">
        <v>309</v>
      </c>
      <c r="B88" t="s">
        <v>310</v>
      </c>
      <c r="C88" t="s">
        <v>311</v>
      </c>
      <c r="D88" t="str" cm="1">
        <f t="array" ref="D88">_xlfn.TEXTJOIN("", TRUE, IF(ISNUMBER(SEARCH($K$1379:$K$1423, C88)), $K$1379:$K$1423, ""))</f>
        <v>Ben's Original</v>
      </c>
      <c r="E88" t="str">
        <f t="shared" si="2"/>
        <v>Rice</v>
      </c>
      <c r="F88" t="str">
        <f t="shared" si="3"/>
        <v>Grain</v>
      </c>
      <c r="G88" s="3">
        <v>2.99</v>
      </c>
      <c r="H88" t="s">
        <v>312</v>
      </c>
      <c r="I88" s="2" t="s">
        <v>308</v>
      </c>
    </row>
    <row r="89" spans="1:9" x14ac:dyDescent="0.25">
      <c r="A89" t="s">
        <v>313</v>
      </c>
      <c r="B89" t="s">
        <v>314</v>
      </c>
      <c r="C89" t="s">
        <v>315</v>
      </c>
      <c r="D89" t="str" cm="1">
        <f t="array" ref="D89">_xlfn.TEXTJOIN("", TRUE, IF(ISNUMBER(SEARCH($K$1379:$K$1423, C89)), $K$1379:$K$1423, ""))</f>
        <v>Ben's Original</v>
      </c>
      <c r="E89" t="str">
        <f t="shared" si="2"/>
        <v>Rice</v>
      </c>
      <c r="F89" t="str">
        <f t="shared" si="3"/>
        <v>Grain</v>
      </c>
      <c r="G89" s="3">
        <v>2.99</v>
      </c>
      <c r="H89" t="s">
        <v>307</v>
      </c>
      <c r="I89" s="2" t="s">
        <v>308</v>
      </c>
    </row>
    <row r="90" spans="1:9" x14ac:dyDescent="0.25">
      <c r="A90" t="s">
        <v>316</v>
      </c>
      <c r="B90" t="s">
        <v>317</v>
      </c>
      <c r="C90" t="s">
        <v>318</v>
      </c>
      <c r="D90" t="str" cm="1">
        <f t="array" ref="D90">_xlfn.TEXTJOIN("", TRUE, IF(ISNUMBER(SEARCH($K$1379:$K$1423, C90)), $K$1379:$K$1423, ""))</f>
        <v>Ben's Original</v>
      </c>
      <c r="E90" t="str">
        <f t="shared" si="2"/>
        <v>Rice</v>
      </c>
      <c r="F90" t="str">
        <f t="shared" si="3"/>
        <v>Grain</v>
      </c>
      <c r="G90" s="3">
        <v>2.99</v>
      </c>
      <c r="H90" t="s">
        <v>319</v>
      </c>
      <c r="I90" s="2" t="s">
        <v>320</v>
      </c>
    </row>
    <row r="91" spans="1:9" x14ac:dyDescent="0.25">
      <c r="A91" t="s">
        <v>321</v>
      </c>
      <c r="B91" t="s">
        <v>322</v>
      </c>
      <c r="C91" t="s">
        <v>323</v>
      </c>
      <c r="D91" t="str" cm="1">
        <f t="array" ref="D91">_xlfn.TEXTJOIN("", TRUE, IF(ISNUMBER(SEARCH($K$1379:$K$1423, C91)), $K$1379:$K$1423, ""))</f>
        <v>Ben's Original</v>
      </c>
      <c r="E91" t="str">
        <f t="shared" si="2"/>
        <v>Rice</v>
      </c>
      <c r="F91" t="str">
        <f t="shared" si="3"/>
        <v>Grain</v>
      </c>
      <c r="G91" s="3">
        <v>2.99</v>
      </c>
      <c r="H91" t="s">
        <v>319</v>
      </c>
      <c r="I91" s="2" t="s">
        <v>320</v>
      </c>
    </row>
    <row r="92" spans="1:9" x14ac:dyDescent="0.25">
      <c r="A92" t="s">
        <v>324</v>
      </c>
      <c r="B92" t="s">
        <v>325</v>
      </c>
      <c r="C92" t="s">
        <v>326</v>
      </c>
      <c r="D92" t="str" cm="1">
        <f t="array" ref="D92">_xlfn.TEXTJOIN("", TRUE, IF(ISNUMBER(SEARCH($K$1379:$K$1423, C92)), $K$1379:$K$1423, ""))</f>
        <v>Ben's Original</v>
      </c>
      <c r="E92" t="str">
        <f t="shared" si="2"/>
        <v>Rice</v>
      </c>
      <c r="F92" t="str">
        <f t="shared" si="3"/>
        <v>Grain</v>
      </c>
      <c r="G92" s="3">
        <v>2.99</v>
      </c>
      <c r="H92" t="s">
        <v>319</v>
      </c>
      <c r="I92" s="2" t="s">
        <v>320</v>
      </c>
    </row>
    <row r="93" spans="1:9" x14ac:dyDescent="0.25">
      <c r="A93" t="s">
        <v>327</v>
      </c>
      <c r="B93" t="s">
        <v>328</v>
      </c>
      <c r="C93" t="s">
        <v>329</v>
      </c>
      <c r="D93" t="str" cm="1">
        <f t="array" ref="D93">_xlfn.TEXTJOIN("", TRUE, IF(ISNUMBER(SEARCH($K$1379:$K$1423, C93)), $K$1379:$K$1423, ""))</f>
        <v>Ben's Original</v>
      </c>
      <c r="E93" t="str">
        <f t="shared" si="2"/>
        <v>Rice</v>
      </c>
      <c r="F93" t="str">
        <f t="shared" si="3"/>
        <v>Grain</v>
      </c>
      <c r="G93" s="3">
        <v>2.99</v>
      </c>
      <c r="H93" t="s">
        <v>319</v>
      </c>
      <c r="I93" s="2" t="s">
        <v>320</v>
      </c>
    </row>
    <row r="94" spans="1:9" x14ac:dyDescent="0.25">
      <c r="A94" t="s">
        <v>330</v>
      </c>
      <c r="B94" t="s">
        <v>331</v>
      </c>
      <c r="C94" t="s">
        <v>332</v>
      </c>
      <c r="D94" t="str" cm="1">
        <f t="array" ref="D94">_xlfn.TEXTJOIN("", TRUE, IF(ISNUMBER(SEARCH($K$1379:$K$1423, C94)), $K$1379:$K$1423, ""))</f>
        <v>Ben's Original</v>
      </c>
      <c r="E94" t="str">
        <f t="shared" si="2"/>
        <v>Rice</v>
      </c>
      <c r="F94" t="str">
        <f t="shared" si="3"/>
        <v>Grain</v>
      </c>
      <c r="G94" s="3">
        <v>2.99</v>
      </c>
      <c r="H94" t="s">
        <v>319</v>
      </c>
      <c r="I94" s="2" t="s">
        <v>320</v>
      </c>
    </row>
    <row r="95" spans="1:9" x14ac:dyDescent="0.25">
      <c r="A95" t="s">
        <v>333</v>
      </c>
      <c r="B95" t="s">
        <v>334</v>
      </c>
      <c r="C95" t="s">
        <v>335</v>
      </c>
      <c r="D95" t="str" cm="1">
        <f t="array" ref="D95">_xlfn.TEXTJOIN("", TRUE, IF(ISNUMBER(SEARCH($K$1379:$K$1423, C95)), $K$1379:$K$1423, ""))</f>
        <v>Ben's Original</v>
      </c>
      <c r="E95" t="str">
        <f t="shared" si="2"/>
        <v>Rice</v>
      </c>
      <c r="F95" t="str">
        <f t="shared" si="3"/>
        <v>Grain</v>
      </c>
      <c r="G95" s="3">
        <v>2.99</v>
      </c>
      <c r="H95" t="s">
        <v>307</v>
      </c>
      <c r="I95" s="2" t="s">
        <v>308</v>
      </c>
    </row>
    <row r="96" spans="1:9" x14ac:dyDescent="0.25">
      <c r="A96" t="s">
        <v>336</v>
      </c>
      <c r="B96" t="s">
        <v>337</v>
      </c>
      <c r="C96" t="s">
        <v>338</v>
      </c>
      <c r="D96" t="str" cm="1">
        <f t="array" ref="D96">_xlfn.TEXTJOIN("", TRUE, IF(ISNUMBER(SEARCH($K$1379:$K$1423, C96)), $K$1379:$K$1423, ""))</f>
        <v>Ben's Original</v>
      </c>
      <c r="E96" t="str">
        <f t="shared" si="2"/>
        <v>Rice</v>
      </c>
      <c r="F96" t="str">
        <f t="shared" si="3"/>
        <v>Grain</v>
      </c>
      <c r="G96" s="3">
        <v>2.99</v>
      </c>
      <c r="H96" t="s">
        <v>319</v>
      </c>
      <c r="I96" s="2" t="s">
        <v>320</v>
      </c>
    </row>
    <row r="97" spans="1:9" x14ac:dyDescent="0.25">
      <c r="A97" t="s">
        <v>339</v>
      </c>
      <c r="B97" t="s">
        <v>340</v>
      </c>
      <c r="C97" t="s">
        <v>341</v>
      </c>
      <c r="D97" t="str" cm="1">
        <f t="array" ref="D97">_xlfn.TEXTJOIN("", TRUE, IF(ISNUMBER(SEARCH($K$1379:$K$1423, C97)), $K$1379:$K$1423, ""))</f>
        <v>Ben's Original</v>
      </c>
      <c r="E97" t="str">
        <f t="shared" si="2"/>
        <v>Rice</v>
      </c>
      <c r="F97" t="str">
        <f t="shared" si="3"/>
        <v>Grain</v>
      </c>
      <c r="G97" s="3">
        <v>2.99</v>
      </c>
      <c r="H97" t="s">
        <v>307</v>
      </c>
      <c r="I97" s="2" t="s">
        <v>308</v>
      </c>
    </row>
    <row r="98" spans="1:9" x14ac:dyDescent="0.25">
      <c r="A98" t="s">
        <v>342</v>
      </c>
      <c r="B98" t="s">
        <v>343</v>
      </c>
      <c r="C98" t="s">
        <v>344</v>
      </c>
      <c r="D98" t="str" cm="1">
        <f t="array" ref="D98">_xlfn.TEXTJOIN("", TRUE, IF(ISNUMBER(SEARCH($K$1379:$K$1423, C98)), $K$1379:$K$1423, ""))</f>
        <v>Ben's Original</v>
      </c>
      <c r="E98" t="str">
        <f t="shared" si="2"/>
        <v>Rice</v>
      </c>
      <c r="F98" t="str">
        <f t="shared" si="3"/>
        <v>Grain</v>
      </c>
      <c r="G98" s="3">
        <v>2.99</v>
      </c>
      <c r="H98" t="s">
        <v>319</v>
      </c>
      <c r="I98" s="2" t="s">
        <v>320</v>
      </c>
    </row>
    <row r="99" spans="1:9" x14ac:dyDescent="0.25">
      <c r="A99" t="s">
        <v>345</v>
      </c>
      <c r="B99" t="s">
        <v>346</v>
      </c>
      <c r="C99" t="s">
        <v>347</v>
      </c>
      <c r="D99" t="str" cm="1">
        <f t="array" ref="D99">_xlfn.TEXTJOIN("", TRUE, IF(ISNUMBER(SEARCH($K$1379:$K$1423, C99)), $K$1379:$K$1423, ""))</f>
        <v>Ben's Original</v>
      </c>
      <c r="E99" t="str">
        <f t="shared" si="2"/>
        <v>Rice</v>
      </c>
      <c r="F99" t="str">
        <f t="shared" si="3"/>
        <v>Grain</v>
      </c>
      <c r="G99" s="3">
        <v>2.99</v>
      </c>
      <c r="H99" t="s">
        <v>307</v>
      </c>
      <c r="I99" s="2" t="s">
        <v>308</v>
      </c>
    </row>
    <row r="100" spans="1:9" x14ac:dyDescent="0.25">
      <c r="A100" t="s">
        <v>348</v>
      </c>
      <c r="B100" t="s">
        <v>349</v>
      </c>
      <c r="C100" t="s">
        <v>350</v>
      </c>
      <c r="D100" t="str" cm="1">
        <f t="array" ref="D100">_xlfn.TEXTJOIN("", TRUE, IF(ISNUMBER(SEARCH($K$1379:$K$1423, C100)), $K$1379:$K$1423, ""))</f>
        <v>Ben's Original</v>
      </c>
      <c r="E100" t="str">
        <f t="shared" si="2"/>
        <v>Rice</v>
      </c>
      <c r="F100" t="str">
        <f t="shared" si="3"/>
        <v>Grain</v>
      </c>
      <c r="G100" s="3">
        <v>2.99</v>
      </c>
      <c r="H100" t="s">
        <v>351</v>
      </c>
      <c r="I100" s="2" t="s">
        <v>320</v>
      </c>
    </row>
    <row r="101" spans="1:9" x14ac:dyDescent="0.25">
      <c r="A101" t="s">
        <v>352</v>
      </c>
      <c r="B101" t="s">
        <v>353</v>
      </c>
      <c r="C101" t="s">
        <v>354</v>
      </c>
      <c r="D101" t="str" cm="1">
        <f t="array" ref="D101">_xlfn.TEXTJOIN("", TRUE, IF(ISNUMBER(SEARCH($K$1379:$K$1423, C101)), $K$1379:$K$1423, ""))</f>
        <v>Ben's Original</v>
      </c>
      <c r="E101" t="str">
        <f t="shared" si="2"/>
        <v>Rice</v>
      </c>
      <c r="F101" t="str">
        <f t="shared" si="3"/>
        <v>Grain</v>
      </c>
      <c r="G101" s="3">
        <v>5.29</v>
      </c>
      <c r="H101" t="s">
        <v>355</v>
      </c>
      <c r="I101" s="2" t="s">
        <v>356</v>
      </c>
    </row>
    <row r="102" spans="1:9" x14ac:dyDescent="0.25">
      <c r="A102" t="s">
        <v>357</v>
      </c>
      <c r="B102" t="s">
        <v>358</v>
      </c>
      <c r="C102" t="s">
        <v>359</v>
      </c>
      <c r="D102" t="str" cm="1">
        <f t="array" ref="D102">_xlfn.TEXTJOIN("", TRUE, IF(ISNUMBER(SEARCH($K$1379:$K$1423, C102)), $K$1379:$K$1423, ""))</f>
        <v>Ben's Original</v>
      </c>
      <c r="E102" t="str">
        <f t="shared" si="2"/>
        <v>Rice</v>
      </c>
      <c r="F102" t="str">
        <f t="shared" si="3"/>
        <v>Grain</v>
      </c>
      <c r="G102" s="3">
        <v>2.99</v>
      </c>
      <c r="H102" t="s">
        <v>360</v>
      </c>
      <c r="I102" s="2" t="s">
        <v>361</v>
      </c>
    </row>
    <row r="103" spans="1:9" x14ac:dyDescent="0.25">
      <c r="A103" t="s">
        <v>362</v>
      </c>
      <c r="B103" t="s">
        <v>363</v>
      </c>
      <c r="C103" t="s">
        <v>364</v>
      </c>
      <c r="D103" t="str" cm="1">
        <f t="array" ref="D103">_xlfn.TEXTJOIN("", TRUE, IF(ISNUMBER(SEARCH($K$1379:$K$1423, C103)), $K$1379:$K$1423, ""))</f>
        <v>Ben's Original</v>
      </c>
      <c r="E103" t="str">
        <f t="shared" si="2"/>
        <v>Rice</v>
      </c>
      <c r="F103" t="str">
        <f t="shared" si="3"/>
        <v>Grain</v>
      </c>
      <c r="G103" s="3">
        <v>2.99</v>
      </c>
      <c r="H103" t="s">
        <v>307</v>
      </c>
      <c r="I103" s="2" t="s">
        <v>308</v>
      </c>
    </row>
    <row r="104" spans="1:9" x14ac:dyDescent="0.25">
      <c r="A104" t="s">
        <v>365</v>
      </c>
      <c r="B104" t="s">
        <v>366</v>
      </c>
      <c r="C104" t="s">
        <v>367</v>
      </c>
      <c r="D104" t="str" cm="1">
        <f t="array" ref="D104">_xlfn.TEXTJOIN("", TRUE, IF(ISNUMBER(SEARCH($K$1379:$K$1423, C104)), $K$1379:$K$1423, ""))</f>
        <v>Ben's Original</v>
      </c>
      <c r="E104" t="str">
        <f t="shared" si="2"/>
        <v>Rice</v>
      </c>
      <c r="F104" t="str">
        <f t="shared" si="3"/>
        <v>Grain</v>
      </c>
      <c r="G104" s="3">
        <v>2.99</v>
      </c>
      <c r="H104" t="s">
        <v>307</v>
      </c>
      <c r="I104" s="2" t="s">
        <v>308</v>
      </c>
    </row>
    <row r="105" spans="1:9" x14ac:dyDescent="0.25">
      <c r="A105" t="s">
        <v>368</v>
      </c>
      <c r="B105" t="s">
        <v>369</v>
      </c>
      <c r="C105" t="s">
        <v>370</v>
      </c>
      <c r="D105" t="str" cm="1">
        <f t="array" ref="D105">_xlfn.TEXTJOIN("", TRUE, IF(ISNUMBER(SEARCH($K$1379:$K$1423, C105)), $K$1379:$K$1423, ""))</f>
        <v>Ben's Original</v>
      </c>
      <c r="E105" t="str">
        <f t="shared" si="2"/>
        <v>Rice</v>
      </c>
      <c r="F105" t="str">
        <f t="shared" si="3"/>
        <v>Grain</v>
      </c>
      <c r="G105" s="3">
        <v>5.19</v>
      </c>
      <c r="H105" t="s">
        <v>371</v>
      </c>
      <c r="I105" s="2" t="s">
        <v>372</v>
      </c>
    </row>
    <row r="106" spans="1:9" x14ac:dyDescent="0.25">
      <c r="A106" t="s">
        <v>373</v>
      </c>
      <c r="B106" t="s">
        <v>374</v>
      </c>
      <c r="C106" t="s">
        <v>375</v>
      </c>
      <c r="D106" t="str" cm="1">
        <f t="array" ref="D106">_xlfn.TEXTJOIN("", TRUE, IF(ISNUMBER(SEARCH($K$1379:$K$1423, C106)), $K$1379:$K$1423, ""))</f>
        <v>Ben's Original</v>
      </c>
      <c r="E106" t="str">
        <f t="shared" si="2"/>
        <v>Rice</v>
      </c>
      <c r="F106" t="str">
        <f t="shared" si="3"/>
        <v>Grain</v>
      </c>
      <c r="G106" s="3">
        <v>2.99</v>
      </c>
      <c r="H106" t="s">
        <v>307</v>
      </c>
      <c r="I106" s="2" t="s">
        <v>308</v>
      </c>
    </row>
    <row r="107" spans="1:9" x14ac:dyDescent="0.25">
      <c r="A107" t="s">
        <v>376</v>
      </c>
      <c r="B107" t="s">
        <v>377</v>
      </c>
      <c r="C107" t="s">
        <v>378</v>
      </c>
      <c r="D107" t="str" cm="1">
        <f t="array" ref="D107">_xlfn.TEXTJOIN("", TRUE, IF(ISNUMBER(SEARCH($K$1379:$K$1423, C107)), $K$1379:$K$1423, ""))</f>
        <v>Ben's Original</v>
      </c>
      <c r="E107" t="str">
        <f t="shared" si="2"/>
        <v>Rice</v>
      </c>
      <c r="F107" t="str">
        <f t="shared" si="3"/>
        <v>Grain</v>
      </c>
      <c r="G107" s="3">
        <v>2.99</v>
      </c>
      <c r="H107" t="s">
        <v>307</v>
      </c>
      <c r="I107" s="2" t="s">
        <v>308</v>
      </c>
    </row>
    <row r="108" spans="1:9" x14ac:dyDescent="0.25">
      <c r="A108" t="s">
        <v>379</v>
      </c>
      <c r="B108" t="s">
        <v>380</v>
      </c>
      <c r="C108" t="s">
        <v>381</v>
      </c>
      <c r="D108" t="str" cm="1">
        <f t="array" ref="D108">_xlfn.TEXTJOIN("", TRUE, IF(ISNUMBER(SEARCH($K$1379:$K$1423, C108)), $K$1379:$K$1423, ""))</f>
        <v>Ben's Original</v>
      </c>
      <c r="E108" t="str">
        <f t="shared" si="2"/>
        <v>Rice</v>
      </c>
      <c r="F108" t="str">
        <f t="shared" si="3"/>
        <v>Grain</v>
      </c>
      <c r="G108" s="3">
        <v>2.99</v>
      </c>
      <c r="H108" t="s">
        <v>319</v>
      </c>
      <c r="I108" s="2" t="s">
        <v>320</v>
      </c>
    </row>
    <row r="109" spans="1:9" x14ac:dyDescent="0.25">
      <c r="A109" t="s">
        <v>382</v>
      </c>
      <c r="B109" t="s">
        <v>383</v>
      </c>
      <c r="C109" t="s">
        <v>384</v>
      </c>
      <c r="D109" t="str" cm="1">
        <f t="array" ref="D109">_xlfn.TEXTJOIN("", TRUE, IF(ISNUMBER(SEARCH($K$1379:$K$1423, C109)), $K$1379:$K$1423, ""))</f>
        <v>Ben's Original</v>
      </c>
      <c r="E109" t="str">
        <f t="shared" si="2"/>
        <v>Rice</v>
      </c>
      <c r="F109" t="str">
        <f t="shared" si="3"/>
        <v>Grain</v>
      </c>
      <c r="G109" s="3">
        <v>5.29</v>
      </c>
      <c r="H109" t="s">
        <v>385</v>
      </c>
      <c r="I109" s="2" t="s">
        <v>356</v>
      </c>
    </row>
    <row r="110" spans="1:9" x14ac:dyDescent="0.25">
      <c r="A110" t="s">
        <v>386</v>
      </c>
      <c r="B110" t="s">
        <v>387</v>
      </c>
      <c r="C110" t="s">
        <v>388</v>
      </c>
      <c r="D110" t="str" cm="1">
        <f t="array" ref="D110">_xlfn.TEXTJOIN("", TRUE, IF(ISNUMBER(SEARCH($K$1379:$K$1423, C110)), $K$1379:$K$1423, ""))</f>
        <v>Ben's Original</v>
      </c>
      <c r="E110" t="str">
        <f t="shared" si="2"/>
        <v>Rice</v>
      </c>
      <c r="F110" t="str">
        <f t="shared" si="3"/>
        <v>Grain</v>
      </c>
      <c r="G110" s="3">
        <v>5.29</v>
      </c>
      <c r="H110" t="s">
        <v>385</v>
      </c>
      <c r="I110" s="2" t="s">
        <v>356</v>
      </c>
    </row>
    <row r="111" spans="1:9" x14ac:dyDescent="0.25">
      <c r="A111" t="s">
        <v>389</v>
      </c>
      <c r="B111" t="s">
        <v>390</v>
      </c>
      <c r="C111" t="s">
        <v>391</v>
      </c>
      <c r="D111" t="str" cm="1">
        <f t="array" ref="D111">_xlfn.TEXTJOIN("", TRUE, IF(ISNUMBER(SEARCH($K$1379:$K$1423, C111)), $K$1379:$K$1423, ""))</f>
        <v>Ben's Original</v>
      </c>
      <c r="E111" t="str">
        <f t="shared" si="2"/>
        <v>Rice</v>
      </c>
      <c r="F111" t="str">
        <f t="shared" si="3"/>
        <v>Grain</v>
      </c>
      <c r="G111" s="3">
        <v>5.29</v>
      </c>
      <c r="H111" t="s">
        <v>385</v>
      </c>
      <c r="I111" s="2" t="s">
        <v>356</v>
      </c>
    </row>
    <row r="112" spans="1:9" x14ac:dyDescent="0.25">
      <c r="A112" t="s">
        <v>392</v>
      </c>
      <c r="B112" t="s">
        <v>393</v>
      </c>
      <c r="C112" t="s">
        <v>394</v>
      </c>
      <c r="D112" t="str" cm="1">
        <f t="array" ref="D112">_xlfn.TEXTJOIN("", TRUE, IF(ISNUMBER(SEARCH($K$1379:$K$1423, C112)), $K$1379:$K$1423, ""))</f>
        <v>Ben's Original</v>
      </c>
      <c r="E112" t="str">
        <f t="shared" si="2"/>
        <v>Rice</v>
      </c>
      <c r="F112" t="str">
        <f t="shared" si="3"/>
        <v>Grain</v>
      </c>
      <c r="G112" s="3">
        <v>2.99</v>
      </c>
      <c r="H112" t="s">
        <v>307</v>
      </c>
      <c r="I112" s="2" t="s">
        <v>308</v>
      </c>
    </row>
    <row r="113" spans="1:9" x14ac:dyDescent="0.25">
      <c r="A113" t="s">
        <v>395</v>
      </c>
      <c r="B113" t="s">
        <v>396</v>
      </c>
      <c r="C113" t="s">
        <v>397</v>
      </c>
      <c r="D113" t="str" cm="1">
        <f t="array" ref="D113">_xlfn.TEXTJOIN("", TRUE, IF(ISNUMBER(SEARCH($K$1379:$K$1423, C113)), $K$1379:$K$1423, ""))</f>
        <v>Ben's Original</v>
      </c>
      <c r="E113" t="str">
        <f t="shared" si="2"/>
        <v>Rice</v>
      </c>
      <c r="F113" t="str">
        <f t="shared" si="3"/>
        <v>Grain</v>
      </c>
      <c r="G113" s="3">
        <v>3.99</v>
      </c>
      <c r="H113" t="s">
        <v>398</v>
      </c>
      <c r="I113" s="2" t="s">
        <v>399</v>
      </c>
    </row>
    <row r="114" spans="1:9" x14ac:dyDescent="0.25">
      <c r="A114" t="s">
        <v>400</v>
      </c>
      <c r="B114" t="s">
        <v>401</v>
      </c>
      <c r="C114" t="s">
        <v>402</v>
      </c>
      <c r="D114" t="str" cm="1">
        <f t="array" ref="D114">_xlfn.TEXTJOIN("", TRUE, IF(ISNUMBER(SEARCH($K$1379:$K$1423, C114)), $K$1379:$K$1423, ""))</f>
        <v>Ben's Original</v>
      </c>
      <c r="E114" t="str">
        <f t="shared" si="2"/>
        <v>Rice</v>
      </c>
      <c r="F114" t="str">
        <f t="shared" si="3"/>
        <v>Grain</v>
      </c>
      <c r="G114" s="3">
        <v>3.99</v>
      </c>
      <c r="H114" t="s">
        <v>398</v>
      </c>
      <c r="I114" s="2" t="s">
        <v>399</v>
      </c>
    </row>
    <row r="115" spans="1:9" x14ac:dyDescent="0.25">
      <c r="A115" t="s">
        <v>403</v>
      </c>
      <c r="B115" t="s">
        <v>404</v>
      </c>
      <c r="C115" t="s">
        <v>405</v>
      </c>
      <c r="D115" t="str" cm="1">
        <f t="array" ref="D115">_xlfn.TEXTJOIN("", TRUE, IF(ISNUMBER(SEARCH($K$1379:$K$1423, C115)), $K$1379:$K$1423, ""))</f>
        <v>Ben's Original</v>
      </c>
      <c r="E115" t="str">
        <f t="shared" si="2"/>
        <v>Rice</v>
      </c>
      <c r="F115" t="str">
        <f t="shared" si="3"/>
        <v>Grain</v>
      </c>
      <c r="G115" s="3">
        <v>3.99</v>
      </c>
      <c r="H115" t="s">
        <v>398</v>
      </c>
      <c r="I115" s="2" t="s">
        <v>399</v>
      </c>
    </row>
    <row r="116" spans="1:9" x14ac:dyDescent="0.25">
      <c r="A116" t="s">
        <v>406</v>
      </c>
      <c r="B116" t="s">
        <v>407</v>
      </c>
      <c r="C116" t="s">
        <v>408</v>
      </c>
      <c r="D116" t="str" cm="1">
        <f t="array" ref="D116">_xlfn.TEXTJOIN("", TRUE, IF(ISNUMBER(SEARCH($K$1379:$K$1423, C116)), $K$1379:$K$1423, ""))</f>
        <v>Bush's</v>
      </c>
      <c r="E116" t="str">
        <f t="shared" si="2"/>
        <v>Protein</v>
      </c>
      <c r="F116" t="str">
        <f t="shared" si="3"/>
        <v>Protein</v>
      </c>
      <c r="G116" s="3">
        <v>2.4900000000000002</v>
      </c>
      <c r="H116" t="s">
        <v>410</v>
      </c>
      <c r="I116" s="2" t="s">
        <v>372</v>
      </c>
    </row>
    <row r="117" spans="1:9" x14ac:dyDescent="0.25">
      <c r="A117" t="s">
        <v>411</v>
      </c>
      <c r="B117" t="s">
        <v>412</v>
      </c>
      <c r="C117" t="s">
        <v>413</v>
      </c>
      <c r="D117" t="str" cm="1">
        <f t="array" ref="D117">_xlfn.TEXTJOIN("", TRUE, IF(ISNUMBER(SEARCH($K$1379:$K$1423, C117)), $K$1379:$K$1423, ""))</f>
        <v>Bush's</v>
      </c>
      <c r="E117" t="str">
        <f t="shared" si="2"/>
        <v>Protein</v>
      </c>
      <c r="F117" t="str">
        <f t="shared" si="3"/>
        <v>Protein</v>
      </c>
      <c r="G117" s="3">
        <v>2.4900000000000002</v>
      </c>
      <c r="H117" t="s">
        <v>410</v>
      </c>
      <c r="I117" s="2" t="s">
        <v>372</v>
      </c>
    </row>
    <row r="118" spans="1:9" x14ac:dyDescent="0.25">
      <c r="A118" t="s">
        <v>414</v>
      </c>
      <c r="B118" t="s">
        <v>415</v>
      </c>
      <c r="C118" t="s">
        <v>416</v>
      </c>
      <c r="D118" t="str" cm="1">
        <f t="array" ref="D118">_xlfn.TEXTJOIN("", TRUE, IF(ISNUMBER(SEARCH($K$1379:$K$1423, C118)), $K$1379:$K$1423, ""))</f>
        <v>Bush's</v>
      </c>
      <c r="E118" t="str">
        <f t="shared" si="2"/>
        <v>Protein</v>
      </c>
      <c r="F118" t="str">
        <f t="shared" si="3"/>
        <v>Protein</v>
      </c>
      <c r="G118" s="3">
        <v>2.4900000000000002</v>
      </c>
      <c r="H118" t="s">
        <v>410</v>
      </c>
      <c r="I118" s="2" t="s">
        <v>372</v>
      </c>
    </row>
    <row r="119" spans="1:9" x14ac:dyDescent="0.25">
      <c r="A119" t="s">
        <v>417</v>
      </c>
      <c r="B119" t="s">
        <v>418</v>
      </c>
      <c r="C119" t="s">
        <v>419</v>
      </c>
      <c r="D119" t="str" cm="1">
        <f t="array" ref="D119">_xlfn.TEXTJOIN("", TRUE, IF(ISNUMBER(SEARCH($K$1379:$K$1423, C119)), $K$1379:$K$1423, ""))</f>
        <v>Bush's</v>
      </c>
      <c r="E119" t="str">
        <f t="shared" si="2"/>
        <v>Protein</v>
      </c>
      <c r="F119" t="str">
        <f t="shared" si="3"/>
        <v>Protein</v>
      </c>
      <c r="G119" s="3">
        <v>2.4900000000000002</v>
      </c>
      <c r="H119" t="s">
        <v>410</v>
      </c>
      <c r="I119" s="2" t="s">
        <v>372</v>
      </c>
    </row>
    <row r="120" spans="1:9" x14ac:dyDescent="0.25">
      <c r="A120" t="s">
        <v>420</v>
      </c>
      <c r="B120" t="s">
        <v>421</v>
      </c>
      <c r="C120" t="s">
        <v>408</v>
      </c>
      <c r="D120" t="str" cm="1">
        <f t="array" ref="D120">_xlfn.TEXTJOIN("", TRUE, IF(ISNUMBER(SEARCH($K$1379:$K$1423, C120)), $K$1379:$K$1423, ""))</f>
        <v>Bush's</v>
      </c>
      <c r="E120" t="str">
        <f t="shared" si="2"/>
        <v>Protein</v>
      </c>
      <c r="F120" t="str">
        <f t="shared" si="3"/>
        <v>Protein</v>
      </c>
      <c r="G120" s="3">
        <v>1.59</v>
      </c>
      <c r="H120" t="s">
        <v>422</v>
      </c>
      <c r="I120" s="2" t="s">
        <v>170</v>
      </c>
    </row>
    <row r="121" spans="1:9" x14ac:dyDescent="0.25">
      <c r="A121" t="s">
        <v>423</v>
      </c>
      <c r="B121" t="s">
        <v>424</v>
      </c>
      <c r="C121" t="s">
        <v>425</v>
      </c>
      <c r="D121" t="str" cm="1">
        <f t="array" ref="D121">_xlfn.TEXTJOIN("", TRUE, IF(ISNUMBER(SEARCH($K$1379:$K$1423, C121)), $K$1379:$K$1423, ""))</f>
        <v>Bush's</v>
      </c>
      <c r="E121" t="str">
        <f t="shared" si="2"/>
        <v>Protein</v>
      </c>
      <c r="F121" t="str">
        <f t="shared" si="3"/>
        <v>Protein</v>
      </c>
      <c r="G121" s="3">
        <v>2.4900000000000002</v>
      </c>
      <c r="H121" t="s">
        <v>410</v>
      </c>
      <c r="I121" s="2" t="s">
        <v>372</v>
      </c>
    </row>
    <row r="122" spans="1:9" x14ac:dyDescent="0.25">
      <c r="A122" t="s">
        <v>426</v>
      </c>
      <c r="B122" t="s">
        <v>427</v>
      </c>
      <c r="C122" t="s">
        <v>408</v>
      </c>
      <c r="D122" t="str" cm="1">
        <f t="array" ref="D122">_xlfn.TEXTJOIN("", TRUE, IF(ISNUMBER(SEARCH($K$1379:$K$1423, C122)), $K$1379:$K$1423, ""))</f>
        <v>Bush's</v>
      </c>
      <c r="E122" t="str">
        <f t="shared" si="2"/>
        <v>Protein</v>
      </c>
      <c r="F122" t="str">
        <f t="shared" si="3"/>
        <v>Protein</v>
      </c>
      <c r="G122" s="3">
        <v>3.29</v>
      </c>
      <c r="H122" t="s">
        <v>428</v>
      </c>
      <c r="I122" s="2" t="s">
        <v>32</v>
      </c>
    </row>
    <row r="123" spans="1:9" x14ac:dyDescent="0.25">
      <c r="A123" t="s">
        <v>429</v>
      </c>
      <c r="B123" t="s">
        <v>430</v>
      </c>
      <c r="C123" t="s">
        <v>431</v>
      </c>
      <c r="D123" t="str" cm="1">
        <f t="array" ref="D123">_xlfn.TEXTJOIN("", TRUE, IF(ISNUMBER(SEARCH($K$1379:$K$1423, C123)), $K$1379:$K$1423, ""))</f>
        <v>Bush's</v>
      </c>
      <c r="E123" t="str">
        <f t="shared" si="2"/>
        <v>Protein</v>
      </c>
      <c r="F123" t="str">
        <f t="shared" si="3"/>
        <v>Protein</v>
      </c>
      <c r="G123" s="3">
        <v>2.4900000000000002</v>
      </c>
      <c r="H123" t="s">
        <v>432</v>
      </c>
      <c r="I123" s="2" t="s">
        <v>372</v>
      </c>
    </row>
    <row r="124" spans="1:9" x14ac:dyDescent="0.25">
      <c r="A124" t="s">
        <v>433</v>
      </c>
      <c r="B124" t="s">
        <v>434</v>
      </c>
      <c r="C124" t="s">
        <v>435</v>
      </c>
      <c r="D124" t="str" cm="1">
        <f t="array" ref="D124">_xlfn.TEXTJOIN("", TRUE, IF(ISNUMBER(SEARCH($K$1379:$K$1423, C124)), $K$1379:$K$1423, ""))</f>
        <v>Bush's</v>
      </c>
      <c r="E124" t="str">
        <f t="shared" si="2"/>
        <v>Protein</v>
      </c>
      <c r="F124" t="str">
        <f t="shared" si="3"/>
        <v>Protein</v>
      </c>
      <c r="G124" s="3">
        <v>1.69</v>
      </c>
      <c r="H124" t="s">
        <v>410</v>
      </c>
      <c r="I124" s="2" t="s">
        <v>436</v>
      </c>
    </row>
    <row r="125" spans="1:9" x14ac:dyDescent="0.25">
      <c r="A125" t="s">
        <v>437</v>
      </c>
      <c r="B125" t="s">
        <v>438</v>
      </c>
      <c r="C125" t="s">
        <v>413</v>
      </c>
      <c r="D125" t="str" cm="1">
        <f t="array" ref="D125">_xlfn.TEXTJOIN("", TRUE, IF(ISNUMBER(SEARCH($K$1379:$K$1423, C125)), $K$1379:$K$1423, ""))</f>
        <v>Bush's</v>
      </c>
      <c r="E125" t="str">
        <f t="shared" si="2"/>
        <v>Protein</v>
      </c>
      <c r="F125" t="str">
        <f t="shared" si="3"/>
        <v>Protein</v>
      </c>
      <c r="G125" s="3">
        <v>1.59</v>
      </c>
      <c r="H125" t="s">
        <v>422</v>
      </c>
      <c r="I125" s="2" t="s">
        <v>170</v>
      </c>
    </row>
    <row r="126" spans="1:9" x14ac:dyDescent="0.25">
      <c r="A126" t="s">
        <v>439</v>
      </c>
      <c r="B126" t="s">
        <v>440</v>
      </c>
      <c r="C126" t="s">
        <v>413</v>
      </c>
      <c r="D126" t="str" cm="1">
        <f t="array" ref="D126">_xlfn.TEXTJOIN("", TRUE, IF(ISNUMBER(SEARCH($K$1379:$K$1423, C126)), $K$1379:$K$1423, ""))</f>
        <v>Bush's</v>
      </c>
      <c r="E126" t="str">
        <f t="shared" si="2"/>
        <v>Protein</v>
      </c>
      <c r="F126" t="str">
        <f t="shared" si="3"/>
        <v>Protein</v>
      </c>
      <c r="G126" s="3">
        <v>3.29</v>
      </c>
      <c r="H126" t="s">
        <v>428</v>
      </c>
      <c r="I126" s="2" t="s">
        <v>32</v>
      </c>
    </row>
    <row r="127" spans="1:9" x14ac:dyDescent="0.25">
      <c r="A127" t="s">
        <v>441</v>
      </c>
      <c r="B127" t="s">
        <v>442</v>
      </c>
      <c r="C127" t="s">
        <v>419</v>
      </c>
      <c r="D127" t="str" cm="1">
        <f t="array" ref="D127">_xlfn.TEXTJOIN("", TRUE, IF(ISNUMBER(SEARCH($K$1379:$K$1423, C127)), $K$1379:$K$1423, ""))</f>
        <v>Bush's</v>
      </c>
      <c r="E127" t="str">
        <f t="shared" si="2"/>
        <v>Protein</v>
      </c>
      <c r="F127" t="str">
        <f t="shared" si="3"/>
        <v>Protein</v>
      </c>
      <c r="G127" s="3">
        <v>1.59</v>
      </c>
      <c r="H127" t="s">
        <v>422</v>
      </c>
      <c r="I127" s="2" t="s">
        <v>170</v>
      </c>
    </row>
    <row r="128" spans="1:9" x14ac:dyDescent="0.25">
      <c r="A128" t="s">
        <v>443</v>
      </c>
      <c r="B128" t="s">
        <v>444</v>
      </c>
      <c r="C128" t="s">
        <v>445</v>
      </c>
      <c r="D128" t="str" cm="1">
        <f t="array" ref="D128">_xlfn.TEXTJOIN("", TRUE, IF(ISNUMBER(SEARCH($K$1379:$K$1423, C128)), $K$1379:$K$1423, ""))</f>
        <v>Bush's</v>
      </c>
      <c r="E128" t="str">
        <f t="shared" si="2"/>
        <v>Protein</v>
      </c>
      <c r="F128" t="str">
        <f t="shared" si="3"/>
        <v>Protein</v>
      </c>
      <c r="G128" s="3">
        <v>2.19</v>
      </c>
      <c r="H128" t="s">
        <v>410</v>
      </c>
      <c r="I128" s="2" t="s">
        <v>446</v>
      </c>
    </row>
    <row r="129" spans="1:9" x14ac:dyDescent="0.25">
      <c r="A129" t="s">
        <v>447</v>
      </c>
      <c r="B129" t="s">
        <v>448</v>
      </c>
      <c r="C129" t="s">
        <v>449</v>
      </c>
      <c r="D129" t="str" cm="1">
        <f t="array" ref="D129">_xlfn.TEXTJOIN("", TRUE, IF(ISNUMBER(SEARCH($K$1379:$K$1423, C129)), $K$1379:$K$1423, ""))</f>
        <v>Bush's</v>
      </c>
      <c r="E129" t="str">
        <f t="shared" si="2"/>
        <v>Protein</v>
      </c>
      <c r="F129" t="str">
        <f t="shared" si="3"/>
        <v>Protein</v>
      </c>
      <c r="G129" s="3">
        <v>2.4900000000000002</v>
      </c>
      <c r="H129" t="s">
        <v>410</v>
      </c>
      <c r="I129" s="2" t="s">
        <v>372</v>
      </c>
    </row>
    <row r="130" spans="1:9" x14ac:dyDescent="0.25">
      <c r="A130" t="s">
        <v>450</v>
      </c>
      <c r="B130" t="s">
        <v>451</v>
      </c>
      <c r="C130" t="s">
        <v>419</v>
      </c>
      <c r="D130" t="str" cm="1">
        <f t="array" ref="D130">_xlfn.TEXTJOIN("", TRUE, IF(ISNUMBER(SEARCH($K$1379:$K$1423, C130)), $K$1379:$K$1423, ""))</f>
        <v>Bush's</v>
      </c>
      <c r="E130" t="str">
        <f t="shared" ref="E130:E193" si="4">IF(OR(D130="Mission",D130="Nature's Own",D130="Sara Lee"),"Bread",
IF(OR(D130="Del Monte",D130="Dole",D130="Mott's"),"Canned Fruit",
IF(OR(D130="Goya",D130="Hunt's",D130="Birds Eye"),"Canned Vegetables",
IF(OR(D130="fairlife",D130="Horizon Organic",D130="Lactaid",D130="Ben &amp; Jerry's"),"Milk",
IF(OR(D130="BelGioioso",D130="Kraft",D130="Philadelphia"),"Cheese",
IF(OR(D130="Chobani",D130="Oikos",D130="Dannon Light + Fit"),"Yogurt",
IF(OR(D130="Barilla",D130="Annie's",D130="Rao's Homemade"),"Pasta",
IF(OR(D130="Hershey's",D130="Lay's",D130="Totino's",D130="Cheerios",D130="Jif",D130="Skippy",D130="Nature Valley",D130="OREO",D130="DiGiorno",D130="Eggo"),"Prepared Food",
IF(OR(D130="Ben's Original",D130="Lundberg",D130="Quaker"),"Rice",
IF(OR(D130="Bush's",D130="Hillshire Farm",D130="Oscar Mayer",D130="SPAM"),"Protein",
IF(OR(D130="Starbucks",D130="Sparkling Ice",D130="Coca-Cola",D130="San Pellegrino",D130="Gatorade",D130="Arizona"),"Beverages",
"Other")))))))))))</f>
        <v>Protein</v>
      </c>
      <c r="F130" t="str">
        <f t="shared" ref="F130:F193" si="5">IF(OR(E130="Bread",E130="Rice",E130="Pasta"), "Grain",
IF(OR(E130="Milk",E130="Cheese",E130="Yogurt"), "Dairy",
IF(OR(E130="Canned Fruit",E130="Canned Vegetables"), "Fruit &amp; Vegetables",
IF(E130="Prepared Food", "Prepared Food",
IF(E130="Protein", "Protein",
IF(E130="Beverages", "Beverages",
"Other"))))))</f>
        <v>Protein</v>
      </c>
      <c r="G130" s="3">
        <v>3.29</v>
      </c>
      <c r="H130" t="s">
        <v>428</v>
      </c>
      <c r="I130" s="2" t="s">
        <v>32</v>
      </c>
    </row>
    <row r="131" spans="1:9" x14ac:dyDescent="0.25">
      <c r="A131" t="s">
        <v>452</v>
      </c>
      <c r="B131" t="s">
        <v>453</v>
      </c>
      <c r="C131" t="s">
        <v>454</v>
      </c>
      <c r="D131" t="str" cm="1">
        <f t="array" ref="D131">_xlfn.TEXTJOIN("", TRUE, IF(ISNUMBER(SEARCH($K$1379:$K$1423, C131)), $K$1379:$K$1423, ""))</f>
        <v>Bush's</v>
      </c>
      <c r="E131" t="str">
        <f t="shared" si="4"/>
        <v>Protein</v>
      </c>
      <c r="F131" t="str">
        <f t="shared" si="5"/>
        <v>Protein</v>
      </c>
      <c r="G131" s="3">
        <v>3.29</v>
      </c>
      <c r="H131" t="s">
        <v>428</v>
      </c>
      <c r="I131" s="2" t="s">
        <v>32</v>
      </c>
    </row>
    <row r="132" spans="1:9" x14ac:dyDescent="0.25">
      <c r="A132" t="s">
        <v>455</v>
      </c>
      <c r="B132" t="s">
        <v>456</v>
      </c>
      <c r="C132" t="s">
        <v>457</v>
      </c>
      <c r="D132" t="str" cm="1">
        <f t="array" ref="D132">_xlfn.TEXTJOIN("", TRUE, IF(ISNUMBER(SEARCH($K$1379:$K$1423, C132)), $K$1379:$K$1423, ""))</f>
        <v>Bush's</v>
      </c>
      <c r="E132" t="str">
        <f t="shared" si="4"/>
        <v>Protein</v>
      </c>
      <c r="F132" t="str">
        <f t="shared" si="5"/>
        <v>Protein</v>
      </c>
      <c r="G132" s="3">
        <v>2.4900000000000002</v>
      </c>
      <c r="H132" t="s">
        <v>410</v>
      </c>
      <c r="I132" s="2" t="s">
        <v>372</v>
      </c>
    </row>
    <row r="133" spans="1:9" x14ac:dyDescent="0.25">
      <c r="A133" t="s">
        <v>458</v>
      </c>
      <c r="B133" t="s">
        <v>459</v>
      </c>
      <c r="C133" t="s">
        <v>416</v>
      </c>
      <c r="D133" t="str" cm="1">
        <f t="array" ref="D133">_xlfn.TEXTJOIN("", TRUE, IF(ISNUMBER(SEARCH($K$1379:$K$1423, C133)), $K$1379:$K$1423, ""))</f>
        <v>Bush's</v>
      </c>
      <c r="E133" t="str">
        <f t="shared" si="4"/>
        <v>Protein</v>
      </c>
      <c r="F133" t="str">
        <f t="shared" si="5"/>
        <v>Protein</v>
      </c>
      <c r="G133" s="3">
        <v>3.29</v>
      </c>
      <c r="H133" t="s">
        <v>428</v>
      </c>
      <c r="I133" s="2" t="s">
        <v>32</v>
      </c>
    </row>
    <row r="134" spans="1:9" x14ac:dyDescent="0.25">
      <c r="A134" t="s">
        <v>460</v>
      </c>
      <c r="B134" t="s">
        <v>461</v>
      </c>
      <c r="C134" t="s">
        <v>425</v>
      </c>
      <c r="D134" t="str" cm="1">
        <f t="array" ref="D134">_xlfn.TEXTJOIN("", TRUE, IF(ISNUMBER(SEARCH($K$1379:$K$1423, C134)), $K$1379:$K$1423, ""))</f>
        <v>Bush's</v>
      </c>
      <c r="E134" t="str">
        <f t="shared" si="4"/>
        <v>Protein</v>
      </c>
      <c r="F134" t="str">
        <f t="shared" si="5"/>
        <v>Protein</v>
      </c>
      <c r="G134" s="3">
        <v>3.29</v>
      </c>
      <c r="H134" t="s">
        <v>428</v>
      </c>
      <c r="I134" s="2" t="s">
        <v>32</v>
      </c>
    </row>
    <row r="135" spans="1:9" x14ac:dyDescent="0.25">
      <c r="A135" t="s">
        <v>462</v>
      </c>
      <c r="B135" t="s">
        <v>463</v>
      </c>
      <c r="C135" t="s">
        <v>425</v>
      </c>
      <c r="D135" t="str" cm="1">
        <f t="array" ref="D135">_xlfn.TEXTJOIN("", TRUE, IF(ISNUMBER(SEARCH($K$1379:$K$1423, C135)), $K$1379:$K$1423, ""))</f>
        <v>Bush's</v>
      </c>
      <c r="E135" t="str">
        <f t="shared" si="4"/>
        <v>Protein</v>
      </c>
      <c r="F135" t="str">
        <f t="shared" si="5"/>
        <v>Protein</v>
      </c>
      <c r="G135" s="3">
        <v>1.59</v>
      </c>
      <c r="H135" t="s">
        <v>422</v>
      </c>
      <c r="I135" s="2" t="s">
        <v>170</v>
      </c>
    </row>
    <row r="136" spans="1:9" x14ac:dyDescent="0.25">
      <c r="A136" t="s">
        <v>464</v>
      </c>
      <c r="B136" t="s">
        <v>465</v>
      </c>
      <c r="C136" t="s">
        <v>466</v>
      </c>
      <c r="D136" t="str" cm="1">
        <f t="array" ref="D136">_xlfn.TEXTJOIN("", TRUE, IF(ISNUMBER(SEARCH($K$1379:$K$1423, C136)), $K$1379:$K$1423, ""))</f>
        <v>Bush's</v>
      </c>
      <c r="E136" t="str">
        <f t="shared" si="4"/>
        <v>Protein</v>
      </c>
      <c r="F136" t="str">
        <f t="shared" si="5"/>
        <v>Protein</v>
      </c>
      <c r="G136" s="3">
        <v>3.29</v>
      </c>
      <c r="H136" t="s">
        <v>467</v>
      </c>
      <c r="I136" s="2" t="s">
        <v>468</v>
      </c>
    </row>
    <row r="137" spans="1:9" x14ac:dyDescent="0.25">
      <c r="A137" t="s">
        <v>469</v>
      </c>
      <c r="B137" t="s">
        <v>470</v>
      </c>
      <c r="C137" t="s">
        <v>471</v>
      </c>
      <c r="D137" t="str" cm="1">
        <f t="array" ref="D137">_xlfn.TEXTJOIN("", TRUE, IF(ISNUMBER(SEARCH($K$1379:$K$1423, C137)), $K$1379:$K$1423, ""))</f>
        <v>Bush's</v>
      </c>
      <c r="E137" t="str">
        <f t="shared" si="4"/>
        <v>Protein</v>
      </c>
      <c r="F137" t="str">
        <f t="shared" si="5"/>
        <v>Protein</v>
      </c>
      <c r="G137" s="3">
        <v>2.29</v>
      </c>
      <c r="H137" t="s">
        <v>410</v>
      </c>
      <c r="I137" s="2" t="s">
        <v>446</v>
      </c>
    </row>
    <row r="138" spans="1:9" x14ac:dyDescent="0.25">
      <c r="A138" t="s">
        <v>472</v>
      </c>
      <c r="B138" t="s">
        <v>473</v>
      </c>
      <c r="C138" t="s">
        <v>474</v>
      </c>
      <c r="D138" t="str" cm="1">
        <f t="array" ref="D138">_xlfn.TEXTJOIN("", TRUE, IF(ISNUMBER(SEARCH($K$1379:$K$1423, C138)), $K$1379:$K$1423, ""))</f>
        <v>Bush's</v>
      </c>
      <c r="E138" t="str">
        <f t="shared" si="4"/>
        <v>Protein</v>
      </c>
      <c r="F138" t="str">
        <f t="shared" si="5"/>
        <v>Protein</v>
      </c>
      <c r="G138" s="3">
        <v>2.29</v>
      </c>
      <c r="H138" t="s">
        <v>410</v>
      </c>
      <c r="I138" s="2" t="s">
        <v>446</v>
      </c>
    </row>
    <row r="139" spans="1:9" x14ac:dyDescent="0.25">
      <c r="A139" t="s">
        <v>475</v>
      </c>
      <c r="B139" t="s">
        <v>476</v>
      </c>
      <c r="C139" t="s">
        <v>431</v>
      </c>
      <c r="D139" t="str" cm="1">
        <f t="array" ref="D139">_xlfn.TEXTJOIN("", TRUE, IF(ISNUMBER(SEARCH($K$1379:$K$1423, C139)), $K$1379:$K$1423, ""))</f>
        <v>Bush's</v>
      </c>
      <c r="E139" t="str">
        <f t="shared" si="4"/>
        <v>Protein</v>
      </c>
      <c r="F139" t="str">
        <f t="shared" si="5"/>
        <v>Protein</v>
      </c>
      <c r="G139" s="3">
        <v>3.29</v>
      </c>
      <c r="H139" t="s">
        <v>477</v>
      </c>
      <c r="I139" s="2" t="s">
        <v>32</v>
      </c>
    </row>
    <row r="140" spans="1:9" x14ac:dyDescent="0.25">
      <c r="A140" t="s">
        <v>478</v>
      </c>
      <c r="B140" t="s">
        <v>479</v>
      </c>
      <c r="C140" t="s">
        <v>480</v>
      </c>
      <c r="D140" t="str" cm="1">
        <f t="array" ref="D140">_xlfn.TEXTJOIN("", TRUE, IF(ISNUMBER(SEARCH($K$1379:$K$1423, C140)), $K$1379:$K$1423, ""))</f>
        <v>Bush's</v>
      </c>
      <c r="E140" t="str">
        <f t="shared" si="4"/>
        <v>Protein</v>
      </c>
      <c r="F140" t="str">
        <f t="shared" si="5"/>
        <v>Protein</v>
      </c>
      <c r="G140" s="3">
        <v>3.29</v>
      </c>
      <c r="H140" t="s">
        <v>467</v>
      </c>
      <c r="I140" s="2" t="s">
        <v>468</v>
      </c>
    </row>
    <row r="141" spans="1:9" x14ac:dyDescent="0.25">
      <c r="A141" t="s">
        <v>481</v>
      </c>
      <c r="B141" t="s">
        <v>482</v>
      </c>
      <c r="C141" t="s">
        <v>483</v>
      </c>
      <c r="D141" t="str" cm="1">
        <f t="array" ref="D141">_xlfn.TEXTJOIN("", TRUE, IF(ISNUMBER(SEARCH($K$1379:$K$1423, C141)), $K$1379:$K$1423, ""))</f>
        <v>Bush's</v>
      </c>
      <c r="E141" t="str">
        <f t="shared" si="4"/>
        <v>Protein</v>
      </c>
      <c r="F141" t="str">
        <f t="shared" si="5"/>
        <v>Protein</v>
      </c>
      <c r="G141" s="3">
        <v>3.29</v>
      </c>
      <c r="H141" t="s">
        <v>467</v>
      </c>
      <c r="I141" s="2" t="s">
        <v>468</v>
      </c>
    </row>
    <row r="142" spans="1:9" x14ac:dyDescent="0.25">
      <c r="A142" t="s">
        <v>484</v>
      </c>
      <c r="B142" t="s">
        <v>485</v>
      </c>
      <c r="C142" t="s">
        <v>486</v>
      </c>
      <c r="D142" t="str" cm="1">
        <f t="array" ref="D142">_xlfn.TEXTJOIN("", TRUE, IF(ISNUMBER(SEARCH($K$1379:$K$1423, C142)), $K$1379:$K$1423, ""))</f>
        <v>Bush's</v>
      </c>
      <c r="E142" t="str">
        <f t="shared" si="4"/>
        <v>Protein</v>
      </c>
      <c r="F142" t="str">
        <f t="shared" si="5"/>
        <v>Protein</v>
      </c>
      <c r="G142" s="3">
        <v>3.29</v>
      </c>
      <c r="H142" t="s">
        <v>467</v>
      </c>
      <c r="I142" s="2" t="s">
        <v>468</v>
      </c>
    </row>
    <row r="143" spans="1:9" x14ac:dyDescent="0.25">
      <c r="A143" t="s">
        <v>487</v>
      </c>
      <c r="B143" t="s">
        <v>488</v>
      </c>
      <c r="C143" t="s">
        <v>431</v>
      </c>
      <c r="D143" t="str" cm="1">
        <f t="array" ref="D143">_xlfn.TEXTJOIN("", TRUE, IF(ISNUMBER(SEARCH($K$1379:$K$1423, C143)), $K$1379:$K$1423, ""))</f>
        <v>Bush's</v>
      </c>
      <c r="E143" t="str">
        <f t="shared" si="4"/>
        <v>Protein</v>
      </c>
      <c r="F143" t="str">
        <f t="shared" si="5"/>
        <v>Protein</v>
      </c>
      <c r="G143" s="3">
        <v>1.59</v>
      </c>
      <c r="H143" t="s">
        <v>489</v>
      </c>
      <c r="I143" s="2" t="s">
        <v>490</v>
      </c>
    </row>
    <row r="144" spans="1:9" x14ac:dyDescent="0.25">
      <c r="A144" t="s">
        <v>491</v>
      </c>
      <c r="B144" t="s">
        <v>492</v>
      </c>
      <c r="C144" t="s">
        <v>493</v>
      </c>
      <c r="D144" t="str" cm="1">
        <f t="array" ref="D144">_xlfn.TEXTJOIN("", TRUE, IF(ISNUMBER(SEARCH($K$1379:$K$1423, C144)), $K$1379:$K$1423, ""))</f>
        <v>Bush's</v>
      </c>
      <c r="E144" t="str">
        <f t="shared" si="4"/>
        <v>Protein</v>
      </c>
      <c r="F144" t="str">
        <f t="shared" si="5"/>
        <v>Protein</v>
      </c>
      <c r="G144" s="3">
        <v>3.29</v>
      </c>
      <c r="H144" t="s">
        <v>494</v>
      </c>
      <c r="I144" s="2" t="s">
        <v>468</v>
      </c>
    </row>
    <row r="145" spans="1:9" x14ac:dyDescent="0.25">
      <c r="A145" t="s">
        <v>495</v>
      </c>
      <c r="B145" t="s">
        <v>496</v>
      </c>
      <c r="C145" t="s">
        <v>497</v>
      </c>
      <c r="D145" t="str" cm="1">
        <f t="array" ref="D145">_xlfn.TEXTJOIN("", TRUE, IF(ISNUMBER(SEARCH($K$1379:$K$1423, C145)), $K$1379:$K$1423, ""))</f>
        <v>Bush's</v>
      </c>
      <c r="E145" t="str">
        <f t="shared" si="4"/>
        <v>Protein</v>
      </c>
      <c r="F145" t="str">
        <f t="shared" si="5"/>
        <v>Protein</v>
      </c>
      <c r="G145" s="3">
        <v>3.29</v>
      </c>
      <c r="H145" t="s">
        <v>428</v>
      </c>
      <c r="I145" s="2" t="s">
        <v>32</v>
      </c>
    </row>
    <row r="146" spans="1:9" x14ac:dyDescent="0.25">
      <c r="A146" t="s">
        <v>498</v>
      </c>
      <c r="B146" t="s">
        <v>499</v>
      </c>
      <c r="C146" t="s">
        <v>500</v>
      </c>
      <c r="D146" t="str" cm="1">
        <f t="array" ref="D146">_xlfn.TEXTJOIN("", TRUE, IF(ISNUMBER(SEARCH($K$1379:$K$1423, C146)), $K$1379:$K$1423, ""))</f>
        <v>Chobani</v>
      </c>
      <c r="E146" t="str">
        <f t="shared" si="4"/>
        <v>Yogurt</v>
      </c>
      <c r="F146" t="str">
        <f t="shared" si="5"/>
        <v>Dairy</v>
      </c>
      <c r="G146" s="3">
        <v>1.69</v>
      </c>
      <c r="H146" t="s">
        <v>502</v>
      </c>
      <c r="I146" s="2" t="s">
        <v>170</v>
      </c>
    </row>
    <row r="147" spans="1:9" x14ac:dyDescent="0.25">
      <c r="A147" t="s">
        <v>503</v>
      </c>
      <c r="B147" t="s">
        <v>504</v>
      </c>
      <c r="C147" t="s">
        <v>505</v>
      </c>
      <c r="D147" t="str" cm="1">
        <f t="array" ref="D147">_xlfn.TEXTJOIN("", TRUE, IF(ISNUMBER(SEARCH($K$1379:$K$1423, C147)), $K$1379:$K$1423, ""))</f>
        <v>Chobani</v>
      </c>
      <c r="E147" t="str">
        <f t="shared" si="4"/>
        <v>Yogurt</v>
      </c>
      <c r="F147" t="str">
        <f t="shared" si="5"/>
        <v>Dairy</v>
      </c>
      <c r="G147" s="3">
        <v>1.89</v>
      </c>
      <c r="H147" t="s">
        <v>506</v>
      </c>
      <c r="I147" s="2" t="s">
        <v>507</v>
      </c>
    </row>
    <row r="148" spans="1:9" x14ac:dyDescent="0.25">
      <c r="A148" t="s">
        <v>508</v>
      </c>
      <c r="B148" t="s">
        <v>509</v>
      </c>
      <c r="C148" t="s">
        <v>510</v>
      </c>
      <c r="D148" t="str" cm="1">
        <f t="array" ref="D148">_xlfn.TEXTJOIN("", TRUE, IF(ISNUMBER(SEARCH($K$1379:$K$1423, C148)), $K$1379:$K$1423, ""))</f>
        <v>Chobani</v>
      </c>
      <c r="E148" t="str">
        <f t="shared" si="4"/>
        <v>Yogurt</v>
      </c>
      <c r="F148" t="str">
        <f t="shared" si="5"/>
        <v>Dairy</v>
      </c>
      <c r="G148" s="3">
        <v>1.69</v>
      </c>
      <c r="H148" t="s">
        <v>502</v>
      </c>
      <c r="I148" s="2" t="s">
        <v>170</v>
      </c>
    </row>
    <row r="149" spans="1:9" x14ac:dyDescent="0.25">
      <c r="A149" t="s">
        <v>511</v>
      </c>
      <c r="B149" t="s">
        <v>512</v>
      </c>
      <c r="C149" t="s">
        <v>513</v>
      </c>
      <c r="D149" t="str" cm="1">
        <f t="array" ref="D149">_xlfn.TEXTJOIN("", TRUE, IF(ISNUMBER(SEARCH($K$1379:$K$1423, C149)), $K$1379:$K$1423, ""))</f>
        <v>Chobani</v>
      </c>
      <c r="E149" t="str">
        <f t="shared" si="4"/>
        <v>Yogurt</v>
      </c>
      <c r="F149" t="str">
        <f t="shared" si="5"/>
        <v>Dairy</v>
      </c>
      <c r="G149" s="3">
        <v>1.69</v>
      </c>
      <c r="H149" t="s">
        <v>502</v>
      </c>
      <c r="I149" s="2" t="s">
        <v>170</v>
      </c>
    </row>
    <row r="150" spans="1:9" x14ac:dyDescent="0.25">
      <c r="A150" t="s">
        <v>514</v>
      </c>
      <c r="B150" t="s">
        <v>515</v>
      </c>
      <c r="C150" t="s">
        <v>516</v>
      </c>
      <c r="D150" t="str" cm="1">
        <f t="array" ref="D150">_xlfn.TEXTJOIN("", TRUE, IF(ISNUMBER(SEARCH($K$1379:$K$1423, C150)), $K$1379:$K$1423, ""))</f>
        <v>Chobani</v>
      </c>
      <c r="E150" t="str">
        <f t="shared" si="4"/>
        <v>Yogurt</v>
      </c>
      <c r="F150" t="str">
        <f t="shared" si="5"/>
        <v>Dairy</v>
      </c>
      <c r="G150" s="3">
        <v>1.69</v>
      </c>
      <c r="H150" t="s">
        <v>502</v>
      </c>
      <c r="I150" s="2" t="s">
        <v>170</v>
      </c>
    </row>
    <row r="151" spans="1:9" x14ac:dyDescent="0.25">
      <c r="A151" t="s">
        <v>517</v>
      </c>
      <c r="B151" t="s">
        <v>518</v>
      </c>
      <c r="C151" t="s">
        <v>519</v>
      </c>
      <c r="D151" t="str" cm="1">
        <f t="array" ref="D151">_xlfn.TEXTJOIN("", TRUE, IF(ISNUMBER(SEARCH($K$1379:$K$1423, C151)), $K$1379:$K$1423, ""))</f>
        <v>Chobani</v>
      </c>
      <c r="E151" t="str">
        <f t="shared" si="4"/>
        <v>Yogurt</v>
      </c>
      <c r="F151" t="str">
        <f t="shared" si="5"/>
        <v>Dairy</v>
      </c>
      <c r="G151" s="3">
        <v>1.89</v>
      </c>
      <c r="H151" t="s">
        <v>506</v>
      </c>
      <c r="I151" s="2" t="s">
        <v>507</v>
      </c>
    </row>
    <row r="152" spans="1:9" x14ac:dyDescent="0.25">
      <c r="A152" t="s">
        <v>520</v>
      </c>
      <c r="B152" t="s">
        <v>521</v>
      </c>
      <c r="C152" t="s">
        <v>522</v>
      </c>
      <c r="D152" t="str" cm="1">
        <f t="array" ref="D152">_xlfn.TEXTJOIN("", TRUE, IF(ISNUMBER(SEARCH($K$1379:$K$1423, C152)), $K$1379:$K$1423, ""))</f>
        <v>Chobani</v>
      </c>
      <c r="E152" t="str">
        <f t="shared" si="4"/>
        <v>Yogurt</v>
      </c>
      <c r="F152" t="str">
        <f t="shared" si="5"/>
        <v>Dairy</v>
      </c>
      <c r="G152" s="3">
        <v>6.99</v>
      </c>
      <c r="H152" t="s">
        <v>523</v>
      </c>
      <c r="I152" s="2" t="s">
        <v>18</v>
      </c>
    </row>
    <row r="153" spans="1:9" x14ac:dyDescent="0.25">
      <c r="A153" t="s">
        <v>524</v>
      </c>
      <c r="B153" t="s">
        <v>525</v>
      </c>
      <c r="C153" t="s">
        <v>526</v>
      </c>
      <c r="D153" t="str" cm="1">
        <f t="array" ref="D153">_xlfn.TEXTJOIN("", TRUE, IF(ISNUMBER(SEARCH($K$1379:$K$1423, C153)), $K$1379:$K$1423, ""))</f>
        <v>Chobani</v>
      </c>
      <c r="E153" t="str">
        <f t="shared" si="4"/>
        <v>Yogurt</v>
      </c>
      <c r="F153" t="str">
        <f t="shared" si="5"/>
        <v>Dairy</v>
      </c>
      <c r="G153" s="3">
        <v>1.99</v>
      </c>
      <c r="H153" t="s">
        <v>527</v>
      </c>
      <c r="I153" s="2" t="s">
        <v>528</v>
      </c>
    </row>
    <row r="154" spans="1:9" x14ac:dyDescent="0.25">
      <c r="A154" t="s">
        <v>529</v>
      </c>
      <c r="B154" t="s">
        <v>530</v>
      </c>
      <c r="C154" t="s">
        <v>531</v>
      </c>
      <c r="D154" t="str" cm="1">
        <f t="array" ref="D154">_xlfn.TEXTJOIN("", TRUE, IF(ISNUMBER(SEARCH($K$1379:$K$1423, C154)), $K$1379:$K$1423, ""))</f>
        <v>Chobani</v>
      </c>
      <c r="E154" t="str">
        <f t="shared" si="4"/>
        <v>Yogurt</v>
      </c>
      <c r="F154" t="str">
        <f t="shared" si="5"/>
        <v>Dairy</v>
      </c>
      <c r="G154" s="3">
        <v>1.69</v>
      </c>
      <c r="H154" t="s">
        <v>502</v>
      </c>
      <c r="I154" s="2" t="s">
        <v>170</v>
      </c>
    </row>
    <row r="155" spans="1:9" x14ac:dyDescent="0.25">
      <c r="A155" t="s">
        <v>532</v>
      </c>
      <c r="B155" t="s">
        <v>533</v>
      </c>
      <c r="C155" t="s">
        <v>534</v>
      </c>
      <c r="D155" t="str" cm="1">
        <f t="array" ref="D155">_xlfn.TEXTJOIN("", TRUE, IF(ISNUMBER(SEARCH($K$1379:$K$1423, C155)), $K$1379:$K$1423, ""))</f>
        <v>Chobani</v>
      </c>
      <c r="E155" t="str">
        <f t="shared" si="4"/>
        <v>Yogurt</v>
      </c>
      <c r="F155" t="str">
        <f t="shared" si="5"/>
        <v>Dairy</v>
      </c>
      <c r="G155" s="3">
        <v>6.99</v>
      </c>
      <c r="H155" t="s">
        <v>523</v>
      </c>
      <c r="I155" s="2" t="s">
        <v>18</v>
      </c>
    </row>
    <row r="156" spans="1:9" x14ac:dyDescent="0.25">
      <c r="A156" t="s">
        <v>535</v>
      </c>
      <c r="B156" t="s">
        <v>536</v>
      </c>
      <c r="C156" t="s">
        <v>537</v>
      </c>
      <c r="D156" t="str" cm="1">
        <f t="array" ref="D156">_xlfn.TEXTJOIN("", TRUE, IF(ISNUMBER(SEARCH($K$1379:$K$1423, C156)), $K$1379:$K$1423, ""))</f>
        <v>Chobani</v>
      </c>
      <c r="E156" t="str">
        <f t="shared" si="4"/>
        <v>Yogurt</v>
      </c>
      <c r="F156" t="str">
        <f t="shared" si="5"/>
        <v>Dairy</v>
      </c>
      <c r="G156" s="3">
        <v>1.69</v>
      </c>
      <c r="H156" t="s">
        <v>502</v>
      </c>
      <c r="I156" s="2" t="s">
        <v>170</v>
      </c>
    </row>
    <row r="157" spans="1:9" x14ac:dyDescent="0.25">
      <c r="A157" t="s">
        <v>538</v>
      </c>
      <c r="B157" t="s">
        <v>539</v>
      </c>
      <c r="C157" t="s">
        <v>540</v>
      </c>
      <c r="D157" t="str" cm="1">
        <f t="array" ref="D157">_xlfn.TEXTJOIN("", TRUE, IF(ISNUMBER(SEARCH($K$1379:$K$1423, C157)), $K$1379:$K$1423, ""))</f>
        <v>Chobani</v>
      </c>
      <c r="E157" t="str">
        <f t="shared" si="4"/>
        <v>Yogurt</v>
      </c>
      <c r="F157" t="str">
        <f t="shared" si="5"/>
        <v>Dairy</v>
      </c>
      <c r="G157" s="3">
        <v>1.89</v>
      </c>
      <c r="H157" t="s">
        <v>506</v>
      </c>
      <c r="I157" s="2" t="s">
        <v>507</v>
      </c>
    </row>
    <row r="158" spans="1:9" x14ac:dyDescent="0.25">
      <c r="A158" t="s">
        <v>541</v>
      </c>
      <c r="B158" t="s">
        <v>542</v>
      </c>
      <c r="C158" t="s">
        <v>543</v>
      </c>
      <c r="D158" t="str" cm="1">
        <f t="array" ref="D158">_xlfn.TEXTJOIN("", TRUE, IF(ISNUMBER(SEARCH($K$1379:$K$1423, C158)), $K$1379:$K$1423, ""))</f>
        <v>Chobani</v>
      </c>
      <c r="E158" t="str">
        <f t="shared" si="4"/>
        <v>Yogurt</v>
      </c>
      <c r="F158" t="str">
        <f t="shared" si="5"/>
        <v>Dairy</v>
      </c>
      <c r="G158" s="3">
        <v>1.69</v>
      </c>
      <c r="H158" t="s">
        <v>502</v>
      </c>
      <c r="I158" s="2" t="s">
        <v>170</v>
      </c>
    </row>
    <row r="159" spans="1:9" x14ac:dyDescent="0.25">
      <c r="A159" t="s">
        <v>544</v>
      </c>
      <c r="B159" t="s">
        <v>545</v>
      </c>
      <c r="C159" t="s">
        <v>546</v>
      </c>
      <c r="D159" t="str" cm="1">
        <f t="array" ref="D159">_xlfn.TEXTJOIN("", TRUE, IF(ISNUMBER(SEARCH($K$1379:$K$1423, C159)), $K$1379:$K$1423, ""))</f>
        <v>Chobani</v>
      </c>
      <c r="E159" t="str">
        <f t="shared" si="4"/>
        <v>Yogurt</v>
      </c>
      <c r="F159" t="str">
        <f t="shared" si="5"/>
        <v>Dairy</v>
      </c>
      <c r="G159" s="3">
        <v>1.69</v>
      </c>
      <c r="H159" t="s">
        <v>502</v>
      </c>
      <c r="I159" s="2" t="s">
        <v>170</v>
      </c>
    </row>
    <row r="160" spans="1:9" x14ac:dyDescent="0.25">
      <c r="A160" t="s">
        <v>547</v>
      </c>
      <c r="B160" t="s">
        <v>548</v>
      </c>
      <c r="C160" t="s">
        <v>549</v>
      </c>
      <c r="D160" t="str" cm="1">
        <f t="array" ref="D160">_xlfn.TEXTJOIN("", TRUE, IF(ISNUMBER(SEARCH($K$1379:$K$1423, C160)), $K$1379:$K$1423, ""))</f>
        <v>Chobani</v>
      </c>
      <c r="E160" t="str">
        <f t="shared" si="4"/>
        <v>Yogurt</v>
      </c>
      <c r="F160" t="str">
        <f t="shared" si="5"/>
        <v>Dairy</v>
      </c>
      <c r="G160" s="3">
        <v>5.49</v>
      </c>
      <c r="H160" t="s">
        <v>550</v>
      </c>
      <c r="I160" s="2" t="s">
        <v>551</v>
      </c>
    </row>
    <row r="161" spans="1:9" x14ac:dyDescent="0.25">
      <c r="A161" t="s">
        <v>552</v>
      </c>
      <c r="B161" t="s">
        <v>553</v>
      </c>
      <c r="C161" t="s">
        <v>554</v>
      </c>
      <c r="D161" t="str" cm="1">
        <f t="array" ref="D161">_xlfn.TEXTJOIN("", TRUE, IF(ISNUMBER(SEARCH($K$1379:$K$1423, C161)), $K$1379:$K$1423, ""))</f>
        <v>Chobani</v>
      </c>
      <c r="E161" t="str">
        <f t="shared" si="4"/>
        <v>Yogurt</v>
      </c>
      <c r="F161" t="str">
        <f t="shared" si="5"/>
        <v>Dairy</v>
      </c>
      <c r="G161" s="3">
        <v>1.89</v>
      </c>
      <c r="H161" t="s">
        <v>506</v>
      </c>
      <c r="I161" s="2" t="s">
        <v>507</v>
      </c>
    </row>
    <row r="162" spans="1:9" x14ac:dyDescent="0.25">
      <c r="A162" t="s">
        <v>555</v>
      </c>
      <c r="B162" t="s">
        <v>556</v>
      </c>
      <c r="C162" t="s">
        <v>557</v>
      </c>
      <c r="D162" t="str" cm="1">
        <f t="array" ref="D162">_xlfn.TEXTJOIN("", TRUE, IF(ISNUMBER(SEARCH($K$1379:$K$1423, C162)), $K$1379:$K$1423, ""))</f>
        <v>Chobani</v>
      </c>
      <c r="E162" t="str">
        <f t="shared" si="4"/>
        <v>Yogurt</v>
      </c>
      <c r="F162" t="str">
        <f t="shared" si="5"/>
        <v>Dairy</v>
      </c>
      <c r="G162" s="3">
        <v>1.99</v>
      </c>
      <c r="H162" t="s">
        <v>527</v>
      </c>
      <c r="I162" s="2" t="s">
        <v>528</v>
      </c>
    </row>
    <row r="163" spans="1:9" x14ac:dyDescent="0.25">
      <c r="A163" t="s">
        <v>558</v>
      </c>
      <c r="B163" t="s">
        <v>559</v>
      </c>
      <c r="C163" t="s">
        <v>560</v>
      </c>
      <c r="D163" t="str" cm="1">
        <f t="array" ref="D163">_xlfn.TEXTJOIN("", TRUE, IF(ISNUMBER(SEARCH($K$1379:$K$1423, C163)), $K$1379:$K$1423, ""))</f>
        <v>Chobani</v>
      </c>
      <c r="E163" t="str">
        <f t="shared" si="4"/>
        <v>Yogurt</v>
      </c>
      <c r="F163" t="str">
        <f t="shared" si="5"/>
        <v>Dairy</v>
      </c>
      <c r="G163" s="3">
        <v>1.89</v>
      </c>
      <c r="H163" t="s">
        <v>506</v>
      </c>
      <c r="I163" s="2" t="s">
        <v>507</v>
      </c>
    </row>
    <row r="164" spans="1:9" x14ac:dyDescent="0.25">
      <c r="A164" t="s">
        <v>561</v>
      </c>
      <c r="B164" t="s">
        <v>562</v>
      </c>
      <c r="C164" t="s">
        <v>563</v>
      </c>
      <c r="D164" t="str" cm="1">
        <f t="array" ref="D164">_xlfn.TEXTJOIN("", TRUE, IF(ISNUMBER(SEARCH($K$1379:$K$1423, C164)), $K$1379:$K$1423, ""))</f>
        <v>Chobani</v>
      </c>
      <c r="E164" t="str">
        <f t="shared" si="4"/>
        <v>Yogurt</v>
      </c>
      <c r="F164" t="str">
        <f t="shared" si="5"/>
        <v>Dairy</v>
      </c>
      <c r="G164" s="3">
        <v>1.69</v>
      </c>
      <c r="H164" t="s">
        <v>502</v>
      </c>
      <c r="I164" s="2" t="s">
        <v>170</v>
      </c>
    </row>
    <row r="165" spans="1:9" x14ac:dyDescent="0.25">
      <c r="A165" t="s">
        <v>564</v>
      </c>
      <c r="B165" t="s">
        <v>565</v>
      </c>
      <c r="C165" t="s">
        <v>566</v>
      </c>
      <c r="D165" t="str" cm="1">
        <f t="array" ref="D165">_xlfn.TEXTJOIN("", TRUE, IF(ISNUMBER(SEARCH($K$1379:$K$1423, C165)), $K$1379:$K$1423, ""))</f>
        <v>Chobani</v>
      </c>
      <c r="E165" t="str">
        <f t="shared" si="4"/>
        <v>Yogurt</v>
      </c>
      <c r="F165" t="str">
        <f t="shared" si="5"/>
        <v>Dairy</v>
      </c>
      <c r="G165" s="3">
        <v>1.69</v>
      </c>
      <c r="H165" t="s">
        <v>502</v>
      </c>
      <c r="I165" s="2" t="s">
        <v>170</v>
      </c>
    </row>
    <row r="166" spans="1:9" x14ac:dyDescent="0.25">
      <c r="A166" t="s">
        <v>567</v>
      </c>
      <c r="B166" t="s">
        <v>568</v>
      </c>
      <c r="C166" t="s">
        <v>569</v>
      </c>
      <c r="D166" t="str" cm="1">
        <f t="array" ref="D166">_xlfn.TEXTJOIN("", TRUE, IF(ISNUMBER(SEARCH($K$1379:$K$1423, C166)), $K$1379:$K$1423, ""))</f>
        <v>Chobani</v>
      </c>
      <c r="E166" t="str">
        <f t="shared" si="4"/>
        <v>Yogurt</v>
      </c>
      <c r="F166" t="str">
        <f t="shared" si="5"/>
        <v>Dairy</v>
      </c>
      <c r="G166" s="3">
        <v>1.69</v>
      </c>
      <c r="H166" t="s">
        <v>502</v>
      </c>
      <c r="I166" s="2" t="s">
        <v>170</v>
      </c>
    </row>
    <row r="167" spans="1:9" x14ac:dyDescent="0.25">
      <c r="A167" t="s">
        <v>570</v>
      </c>
      <c r="B167" t="s">
        <v>571</v>
      </c>
      <c r="C167" t="s">
        <v>572</v>
      </c>
      <c r="D167" t="str" cm="1">
        <f t="array" ref="D167">_xlfn.TEXTJOIN("", TRUE, IF(ISNUMBER(SEARCH($K$1379:$K$1423, C167)), $K$1379:$K$1423, ""))</f>
        <v>Chobani</v>
      </c>
      <c r="E167" t="str">
        <f t="shared" si="4"/>
        <v>Yogurt</v>
      </c>
      <c r="F167" t="str">
        <f t="shared" si="5"/>
        <v>Dairy</v>
      </c>
      <c r="G167" s="3">
        <v>5.49</v>
      </c>
      <c r="H167" t="s">
        <v>550</v>
      </c>
      <c r="I167" s="2" t="s">
        <v>551</v>
      </c>
    </row>
    <row r="168" spans="1:9" x14ac:dyDescent="0.25">
      <c r="A168" t="s">
        <v>573</v>
      </c>
      <c r="B168" t="s">
        <v>574</v>
      </c>
      <c r="C168" t="s">
        <v>575</v>
      </c>
      <c r="D168" t="str" cm="1">
        <f t="array" ref="D168">_xlfn.TEXTJOIN("", TRUE, IF(ISNUMBER(SEARCH($K$1379:$K$1423, C168)), $K$1379:$K$1423, ""))</f>
        <v>Chobani</v>
      </c>
      <c r="E168" t="str">
        <f t="shared" si="4"/>
        <v>Yogurt</v>
      </c>
      <c r="F168" t="str">
        <f t="shared" si="5"/>
        <v>Dairy</v>
      </c>
      <c r="G168" s="3">
        <v>1.99</v>
      </c>
      <c r="H168" t="s">
        <v>527</v>
      </c>
      <c r="I168" s="2" t="s">
        <v>528</v>
      </c>
    </row>
    <row r="169" spans="1:9" x14ac:dyDescent="0.25">
      <c r="A169" t="s">
        <v>576</v>
      </c>
      <c r="B169" t="s">
        <v>577</v>
      </c>
      <c r="C169" t="s">
        <v>578</v>
      </c>
      <c r="D169" t="str" cm="1">
        <f t="array" ref="D169">_xlfn.TEXTJOIN("", TRUE, IF(ISNUMBER(SEARCH($K$1379:$K$1423, C169)), $K$1379:$K$1423, ""))</f>
        <v>Chobani</v>
      </c>
      <c r="E169" t="str">
        <f t="shared" si="4"/>
        <v>Yogurt</v>
      </c>
      <c r="F169" t="str">
        <f t="shared" si="5"/>
        <v>Dairy</v>
      </c>
      <c r="G169" s="3">
        <v>1.69</v>
      </c>
      <c r="H169" t="s">
        <v>502</v>
      </c>
      <c r="I169" s="2" t="s">
        <v>170</v>
      </c>
    </row>
    <row r="170" spans="1:9" x14ac:dyDescent="0.25">
      <c r="A170" t="s">
        <v>579</v>
      </c>
      <c r="B170" t="s">
        <v>580</v>
      </c>
      <c r="C170" t="s">
        <v>581</v>
      </c>
      <c r="D170" t="str" cm="1">
        <f t="array" ref="D170">_xlfn.TEXTJOIN("", TRUE, IF(ISNUMBER(SEARCH($K$1379:$K$1423, C170)), $K$1379:$K$1423, ""))</f>
        <v>Chobani</v>
      </c>
      <c r="E170" t="str">
        <f t="shared" si="4"/>
        <v>Yogurt</v>
      </c>
      <c r="F170" t="str">
        <f t="shared" si="5"/>
        <v>Dairy</v>
      </c>
      <c r="G170" s="3">
        <v>1.69</v>
      </c>
      <c r="H170" t="s">
        <v>502</v>
      </c>
      <c r="I170" s="2" t="s">
        <v>170</v>
      </c>
    </row>
    <row r="171" spans="1:9" x14ac:dyDescent="0.25">
      <c r="A171" t="s">
        <v>582</v>
      </c>
      <c r="B171" t="s">
        <v>583</v>
      </c>
      <c r="C171" t="s">
        <v>584</v>
      </c>
      <c r="D171" t="str" cm="1">
        <f t="array" ref="D171">_xlfn.TEXTJOIN("", TRUE, IF(ISNUMBER(SEARCH($K$1379:$K$1423, C171)), $K$1379:$K$1423, ""))</f>
        <v>Chobani</v>
      </c>
      <c r="E171" t="str">
        <f t="shared" si="4"/>
        <v>Yogurt</v>
      </c>
      <c r="F171" t="str">
        <f t="shared" si="5"/>
        <v>Dairy</v>
      </c>
      <c r="G171" s="3">
        <v>1.69</v>
      </c>
      <c r="H171" t="s">
        <v>502</v>
      </c>
      <c r="I171" s="2" t="s">
        <v>170</v>
      </c>
    </row>
    <row r="172" spans="1:9" x14ac:dyDescent="0.25">
      <c r="A172" t="s">
        <v>585</v>
      </c>
      <c r="B172" t="s">
        <v>586</v>
      </c>
      <c r="C172" t="s">
        <v>587</v>
      </c>
      <c r="D172" t="str" cm="1">
        <f t="array" ref="D172">_xlfn.TEXTJOIN("", TRUE, IF(ISNUMBER(SEARCH($K$1379:$K$1423, C172)), $K$1379:$K$1423, ""))</f>
        <v>Chobani</v>
      </c>
      <c r="E172" t="str">
        <f t="shared" si="4"/>
        <v>Yogurt</v>
      </c>
      <c r="F172" t="str">
        <f t="shared" si="5"/>
        <v>Dairy</v>
      </c>
      <c r="G172" s="3">
        <v>1.69</v>
      </c>
      <c r="H172" t="s">
        <v>502</v>
      </c>
      <c r="I172" s="2" t="s">
        <v>170</v>
      </c>
    </row>
    <row r="173" spans="1:9" x14ac:dyDescent="0.25">
      <c r="A173" t="s">
        <v>588</v>
      </c>
      <c r="B173" t="s">
        <v>589</v>
      </c>
      <c r="C173" t="s">
        <v>590</v>
      </c>
      <c r="D173" t="str" cm="1">
        <f t="array" ref="D173">_xlfn.TEXTJOIN("", TRUE, IF(ISNUMBER(SEARCH($K$1379:$K$1423, C173)), $K$1379:$K$1423, ""))</f>
        <v>Chobani</v>
      </c>
      <c r="E173" t="str">
        <f t="shared" si="4"/>
        <v>Yogurt</v>
      </c>
      <c r="F173" t="str">
        <f t="shared" si="5"/>
        <v>Dairy</v>
      </c>
      <c r="G173" s="3">
        <v>1.69</v>
      </c>
      <c r="H173" t="s">
        <v>502</v>
      </c>
      <c r="I173" s="2" t="s">
        <v>170</v>
      </c>
    </row>
    <row r="174" spans="1:9" x14ac:dyDescent="0.25">
      <c r="A174" t="s">
        <v>591</v>
      </c>
      <c r="B174" t="s">
        <v>592</v>
      </c>
      <c r="C174" t="s">
        <v>593</v>
      </c>
      <c r="D174" t="str" cm="1">
        <f t="array" ref="D174">_xlfn.TEXTJOIN("", TRUE, IF(ISNUMBER(SEARCH($K$1379:$K$1423, C174)), $K$1379:$K$1423, ""))</f>
        <v>Chobani</v>
      </c>
      <c r="E174" t="str">
        <f t="shared" si="4"/>
        <v>Yogurt</v>
      </c>
      <c r="F174" t="str">
        <f t="shared" si="5"/>
        <v>Dairy</v>
      </c>
      <c r="G174" s="3">
        <v>1.69</v>
      </c>
      <c r="H174" t="s">
        <v>502</v>
      </c>
      <c r="I174" s="2" t="s">
        <v>170</v>
      </c>
    </row>
    <row r="175" spans="1:9" x14ac:dyDescent="0.25">
      <c r="A175" t="s">
        <v>594</v>
      </c>
      <c r="B175" t="s">
        <v>595</v>
      </c>
      <c r="C175" t="s">
        <v>596</v>
      </c>
      <c r="D175" t="str" cm="1">
        <f t="array" ref="D175">_xlfn.TEXTJOIN("", TRUE, IF(ISNUMBER(SEARCH($K$1379:$K$1423, C175)), $K$1379:$K$1423, ""))</f>
        <v>Chobani</v>
      </c>
      <c r="E175" t="str">
        <f t="shared" si="4"/>
        <v>Yogurt</v>
      </c>
      <c r="F175" t="str">
        <f t="shared" si="5"/>
        <v>Dairy</v>
      </c>
      <c r="G175" s="3">
        <v>1.69</v>
      </c>
      <c r="H175" t="s">
        <v>502</v>
      </c>
      <c r="I175" s="2" t="s">
        <v>170</v>
      </c>
    </row>
    <row r="176" spans="1:9" x14ac:dyDescent="0.25">
      <c r="A176" t="s">
        <v>597</v>
      </c>
      <c r="B176" t="s">
        <v>598</v>
      </c>
      <c r="C176" t="s">
        <v>599</v>
      </c>
      <c r="D176" t="str" cm="1">
        <f t="array" ref="D176">_xlfn.TEXTJOIN("", TRUE, IF(ISNUMBER(SEARCH($K$1379:$K$1423, C176)), $K$1379:$K$1423, ""))</f>
        <v>Chobani</v>
      </c>
      <c r="E176" t="str">
        <f t="shared" si="4"/>
        <v>Yogurt</v>
      </c>
      <c r="F176" t="str">
        <f t="shared" si="5"/>
        <v>Dairy</v>
      </c>
      <c r="G176" s="3">
        <v>1.99</v>
      </c>
      <c r="H176" t="s">
        <v>527</v>
      </c>
      <c r="I176" s="2" t="s">
        <v>528</v>
      </c>
    </row>
    <row r="177" spans="1:9" x14ac:dyDescent="0.25">
      <c r="A177" t="s">
        <v>600</v>
      </c>
      <c r="B177" t="s">
        <v>601</v>
      </c>
      <c r="C177" t="s">
        <v>602</v>
      </c>
      <c r="D177" t="str" cm="1">
        <f t="array" ref="D177">_xlfn.TEXTJOIN("", TRUE, IF(ISNUMBER(SEARCH($K$1379:$K$1423, C177)), $K$1379:$K$1423, ""))</f>
        <v>Chobani</v>
      </c>
      <c r="E177" t="str">
        <f t="shared" si="4"/>
        <v>Yogurt</v>
      </c>
      <c r="F177" t="str">
        <f t="shared" si="5"/>
        <v>Dairy</v>
      </c>
      <c r="G177" s="3">
        <v>6.99</v>
      </c>
      <c r="H177" t="s">
        <v>523</v>
      </c>
      <c r="I177" s="2" t="s">
        <v>18</v>
      </c>
    </row>
    <row r="178" spans="1:9" x14ac:dyDescent="0.25">
      <c r="A178" t="s">
        <v>603</v>
      </c>
      <c r="B178" t="s">
        <v>604</v>
      </c>
      <c r="C178" t="s">
        <v>605</v>
      </c>
      <c r="D178" t="str" cm="1">
        <f t="array" ref="D178">_xlfn.TEXTJOIN("", TRUE, IF(ISNUMBER(SEARCH($K$1379:$K$1423, C178)), $K$1379:$K$1423, ""))</f>
        <v>Chobani</v>
      </c>
      <c r="E178" t="str">
        <f t="shared" si="4"/>
        <v>Yogurt</v>
      </c>
      <c r="F178" t="str">
        <f t="shared" si="5"/>
        <v>Dairy</v>
      </c>
      <c r="G178" s="3">
        <v>1.69</v>
      </c>
      <c r="H178" t="s">
        <v>502</v>
      </c>
      <c r="I178" s="2" t="s">
        <v>170</v>
      </c>
    </row>
    <row r="179" spans="1:9" x14ac:dyDescent="0.25">
      <c r="A179" t="s">
        <v>606</v>
      </c>
      <c r="B179" t="s">
        <v>607</v>
      </c>
      <c r="C179" t="s">
        <v>608</v>
      </c>
      <c r="D179" t="str" cm="1">
        <f t="array" ref="D179">_xlfn.TEXTJOIN("", TRUE, IF(ISNUMBER(SEARCH($K$1379:$K$1423, C179)), $K$1379:$K$1423, ""))</f>
        <v>Chobani</v>
      </c>
      <c r="E179" t="str">
        <f t="shared" si="4"/>
        <v>Yogurt</v>
      </c>
      <c r="F179" t="str">
        <f t="shared" si="5"/>
        <v>Dairy</v>
      </c>
      <c r="G179" s="3">
        <v>1.69</v>
      </c>
      <c r="H179" t="s">
        <v>502</v>
      </c>
      <c r="I179" s="2" t="s">
        <v>170</v>
      </c>
    </row>
    <row r="180" spans="1:9" x14ac:dyDescent="0.25">
      <c r="A180" t="s">
        <v>609</v>
      </c>
      <c r="B180" t="s">
        <v>610</v>
      </c>
      <c r="C180" t="s">
        <v>611</v>
      </c>
      <c r="D180" t="str" cm="1">
        <f t="array" ref="D180">_xlfn.TEXTJOIN("", TRUE, IF(ISNUMBER(SEARCH($K$1379:$K$1423, C180)), $K$1379:$K$1423, ""))</f>
        <v>Chobani</v>
      </c>
      <c r="E180" t="str">
        <f t="shared" si="4"/>
        <v>Yogurt</v>
      </c>
      <c r="F180" t="str">
        <f t="shared" si="5"/>
        <v>Dairy</v>
      </c>
      <c r="G180" s="3">
        <v>5.49</v>
      </c>
      <c r="H180" t="s">
        <v>550</v>
      </c>
      <c r="I180" s="2" t="s">
        <v>551</v>
      </c>
    </row>
    <row r="181" spans="1:9" x14ac:dyDescent="0.25">
      <c r="A181" t="s">
        <v>612</v>
      </c>
      <c r="B181" t="s">
        <v>613</v>
      </c>
      <c r="C181" t="s">
        <v>614</v>
      </c>
      <c r="D181" t="str" cm="1">
        <f t="array" ref="D181">_xlfn.TEXTJOIN("", TRUE, IF(ISNUMBER(SEARCH($K$1379:$K$1423, C181)), $K$1379:$K$1423, ""))</f>
        <v>Chobani</v>
      </c>
      <c r="E181" t="str">
        <f t="shared" si="4"/>
        <v>Yogurt</v>
      </c>
      <c r="F181" t="str">
        <f t="shared" si="5"/>
        <v>Dairy</v>
      </c>
      <c r="G181" s="3">
        <v>1.69</v>
      </c>
      <c r="H181" t="s">
        <v>502</v>
      </c>
      <c r="I181" s="2" t="s">
        <v>170</v>
      </c>
    </row>
    <row r="182" spans="1:9" x14ac:dyDescent="0.25">
      <c r="A182" t="s">
        <v>615</v>
      </c>
      <c r="B182" t="s">
        <v>616</v>
      </c>
      <c r="C182" t="s">
        <v>617</v>
      </c>
      <c r="D182" t="str" cm="1">
        <f t="array" ref="D182">_xlfn.TEXTJOIN("", TRUE, IF(ISNUMBER(SEARCH($K$1379:$K$1423, C182)), $K$1379:$K$1423, ""))</f>
        <v>Chobani</v>
      </c>
      <c r="E182" t="str">
        <f t="shared" si="4"/>
        <v>Yogurt</v>
      </c>
      <c r="F182" t="str">
        <f t="shared" si="5"/>
        <v>Dairy</v>
      </c>
      <c r="G182" s="3">
        <v>1.89</v>
      </c>
      <c r="H182" t="s">
        <v>506</v>
      </c>
      <c r="I182" s="2" t="s">
        <v>507</v>
      </c>
    </row>
    <row r="183" spans="1:9" x14ac:dyDescent="0.25">
      <c r="A183" t="s">
        <v>618</v>
      </c>
      <c r="B183" t="s">
        <v>619</v>
      </c>
      <c r="C183" t="s">
        <v>620</v>
      </c>
      <c r="D183" t="str" cm="1">
        <f t="array" ref="D183">_xlfn.TEXTJOIN("", TRUE, IF(ISNUMBER(SEARCH($K$1379:$K$1423, C183)), $K$1379:$K$1423, ""))</f>
        <v>Chobani</v>
      </c>
      <c r="E183" t="str">
        <f t="shared" si="4"/>
        <v>Yogurt</v>
      </c>
      <c r="F183" t="str">
        <f t="shared" si="5"/>
        <v>Dairy</v>
      </c>
      <c r="G183" s="3">
        <v>1.69</v>
      </c>
      <c r="H183" t="s">
        <v>502</v>
      </c>
      <c r="I183" s="2" t="s">
        <v>170</v>
      </c>
    </row>
    <row r="184" spans="1:9" x14ac:dyDescent="0.25">
      <c r="A184" t="s">
        <v>621</v>
      </c>
      <c r="B184" t="s">
        <v>622</v>
      </c>
      <c r="C184" t="s">
        <v>623</v>
      </c>
      <c r="D184" t="str" cm="1">
        <f t="array" ref="D184">_xlfn.TEXTJOIN("", TRUE, IF(ISNUMBER(SEARCH($K$1379:$K$1423, C184)), $K$1379:$K$1423, ""))</f>
        <v>Chobani</v>
      </c>
      <c r="E184" t="str">
        <f t="shared" si="4"/>
        <v>Yogurt</v>
      </c>
      <c r="F184" t="str">
        <f t="shared" si="5"/>
        <v>Dairy</v>
      </c>
      <c r="G184" s="3">
        <v>1.69</v>
      </c>
      <c r="H184" t="s">
        <v>502</v>
      </c>
      <c r="I184" s="2" t="s">
        <v>170</v>
      </c>
    </row>
    <row r="185" spans="1:9" x14ac:dyDescent="0.25">
      <c r="A185" t="s">
        <v>624</v>
      </c>
      <c r="B185" t="s">
        <v>625</v>
      </c>
      <c r="C185" t="s">
        <v>626</v>
      </c>
      <c r="D185" t="str" cm="1">
        <f t="array" ref="D185">_xlfn.TEXTJOIN("", TRUE, IF(ISNUMBER(SEARCH($K$1379:$K$1423, C185)), $K$1379:$K$1423, ""))</f>
        <v>Chobani</v>
      </c>
      <c r="E185" t="str">
        <f t="shared" si="4"/>
        <v>Yogurt</v>
      </c>
      <c r="F185" t="str">
        <f t="shared" si="5"/>
        <v>Dairy</v>
      </c>
      <c r="G185" s="3">
        <v>5.49</v>
      </c>
      <c r="H185" t="s">
        <v>550</v>
      </c>
      <c r="I185" s="2" t="s">
        <v>551</v>
      </c>
    </row>
    <row r="186" spans="1:9" x14ac:dyDescent="0.25">
      <c r="A186" t="s">
        <v>627</v>
      </c>
      <c r="B186" t="s">
        <v>628</v>
      </c>
      <c r="C186" t="s">
        <v>629</v>
      </c>
      <c r="D186" t="str" cm="1">
        <f t="array" ref="D186">_xlfn.TEXTJOIN("", TRUE, IF(ISNUMBER(SEARCH($K$1379:$K$1423, C186)), $K$1379:$K$1423, ""))</f>
        <v>Chobani</v>
      </c>
      <c r="E186" t="str">
        <f t="shared" si="4"/>
        <v>Yogurt</v>
      </c>
      <c r="F186" t="str">
        <f t="shared" si="5"/>
        <v>Dairy</v>
      </c>
      <c r="G186" s="3">
        <v>1.69</v>
      </c>
      <c r="H186" t="s">
        <v>502</v>
      </c>
      <c r="I186" s="2" t="s">
        <v>170</v>
      </c>
    </row>
    <row r="187" spans="1:9" x14ac:dyDescent="0.25">
      <c r="A187" t="s">
        <v>630</v>
      </c>
      <c r="B187" t="s">
        <v>631</v>
      </c>
      <c r="C187" t="s">
        <v>632</v>
      </c>
      <c r="D187" t="str" cm="1">
        <f t="array" ref="D187">_xlfn.TEXTJOIN("", TRUE, IF(ISNUMBER(SEARCH($K$1379:$K$1423, C187)), $K$1379:$K$1423, ""))</f>
        <v>Chobani</v>
      </c>
      <c r="E187" t="str">
        <f t="shared" si="4"/>
        <v>Yogurt</v>
      </c>
      <c r="F187" t="str">
        <f t="shared" si="5"/>
        <v>Dairy</v>
      </c>
      <c r="G187" s="3">
        <v>1.69</v>
      </c>
      <c r="H187" t="s">
        <v>502</v>
      </c>
      <c r="I187" s="2" t="s">
        <v>170</v>
      </c>
    </row>
    <row r="188" spans="1:9" x14ac:dyDescent="0.25">
      <c r="A188" t="s">
        <v>633</v>
      </c>
      <c r="B188" t="s">
        <v>634</v>
      </c>
      <c r="C188" t="s">
        <v>635</v>
      </c>
      <c r="D188" t="str" cm="1">
        <f t="array" ref="D188">_xlfn.TEXTJOIN("", TRUE, IF(ISNUMBER(SEARCH($K$1379:$K$1423, C188)), $K$1379:$K$1423, ""))</f>
        <v>Chobani</v>
      </c>
      <c r="E188" t="str">
        <f t="shared" si="4"/>
        <v>Yogurt</v>
      </c>
      <c r="F188" t="str">
        <f t="shared" si="5"/>
        <v>Dairy</v>
      </c>
      <c r="G188" s="3">
        <v>5.49</v>
      </c>
      <c r="H188" t="s">
        <v>550</v>
      </c>
      <c r="I188" s="2" t="s">
        <v>551</v>
      </c>
    </row>
    <row r="189" spans="1:9" x14ac:dyDescent="0.25">
      <c r="A189" t="s">
        <v>636</v>
      </c>
      <c r="B189" t="s">
        <v>637</v>
      </c>
      <c r="C189" t="s">
        <v>638</v>
      </c>
      <c r="D189" t="str" cm="1">
        <f t="array" ref="D189">_xlfn.TEXTJOIN("", TRUE, IF(ISNUMBER(SEARCH($K$1379:$K$1423, C189)), $K$1379:$K$1423, ""))</f>
        <v>Chobani</v>
      </c>
      <c r="E189" t="str">
        <f t="shared" si="4"/>
        <v>Yogurt</v>
      </c>
      <c r="F189" t="str">
        <f t="shared" si="5"/>
        <v>Dairy</v>
      </c>
      <c r="G189" s="3">
        <v>1.89</v>
      </c>
      <c r="H189" t="s">
        <v>502</v>
      </c>
      <c r="I189" s="2" t="s">
        <v>99</v>
      </c>
    </row>
    <row r="190" spans="1:9" x14ac:dyDescent="0.25">
      <c r="A190" t="s">
        <v>639</v>
      </c>
      <c r="B190" t="s">
        <v>640</v>
      </c>
      <c r="C190" t="s">
        <v>641</v>
      </c>
      <c r="D190" t="str" cm="1">
        <f t="array" ref="D190">_xlfn.TEXTJOIN("", TRUE, IF(ISNUMBER(SEARCH($K$1379:$K$1423, C190)), $K$1379:$K$1423, ""))</f>
        <v>Chobani</v>
      </c>
      <c r="E190" t="str">
        <f t="shared" si="4"/>
        <v>Yogurt</v>
      </c>
      <c r="F190" t="str">
        <f t="shared" si="5"/>
        <v>Dairy</v>
      </c>
      <c r="G190" s="3">
        <v>6.99</v>
      </c>
      <c r="H190" t="s">
        <v>523</v>
      </c>
      <c r="I190" s="2" t="s">
        <v>18</v>
      </c>
    </row>
    <row r="191" spans="1:9" x14ac:dyDescent="0.25">
      <c r="A191" t="s">
        <v>642</v>
      </c>
      <c r="B191" t="s">
        <v>643</v>
      </c>
      <c r="C191" t="s">
        <v>644</v>
      </c>
      <c r="D191" t="str" cm="1">
        <f t="array" ref="D191">_xlfn.TEXTJOIN("", TRUE, IF(ISNUMBER(SEARCH($K$1379:$K$1423, C191)), $K$1379:$K$1423, ""))</f>
        <v>Chobani</v>
      </c>
      <c r="E191" t="str">
        <f t="shared" si="4"/>
        <v>Yogurt</v>
      </c>
      <c r="F191" t="str">
        <f t="shared" si="5"/>
        <v>Dairy</v>
      </c>
      <c r="G191" s="3">
        <v>5.49</v>
      </c>
      <c r="H191" t="s">
        <v>550</v>
      </c>
      <c r="I191" s="2" t="s">
        <v>551</v>
      </c>
    </row>
    <row r="192" spans="1:9" x14ac:dyDescent="0.25">
      <c r="A192" t="s">
        <v>645</v>
      </c>
      <c r="B192" t="s">
        <v>646</v>
      </c>
      <c r="C192" t="s">
        <v>647</v>
      </c>
      <c r="D192" t="str" cm="1">
        <f t="array" ref="D192">_xlfn.TEXTJOIN("", TRUE, IF(ISNUMBER(SEARCH($K$1379:$K$1423, C192)), $K$1379:$K$1423, ""))</f>
        <v>Chobani</v>
      </c>
      <c r="E192" t="str">
        <f t="shared" si="4"/>
        <v>Yogurt</v>
      </c>
      <c r="F192" t="str">
        <f t="shared" si="5"/>
        <v>Dairy</v>
      </c>
      <c r="G192" s="3">
        <v>1.69</v>
      </c>
      <c r="H192" t="s">
        <v>502</v>
      </c>
      <c r="I192" s="2" t="s">
        <v>170</v>
      </c>
    </row>
    <row r="193" spans="1:9" x14ac:dyDescent="0.25">
      <c r="A193" t="s">
        <v>648</v>
      </c>
      <c r="B193" t="s">
        <v>649</v>
      </c>
      <c r="C193" t="s">
        <v>650</v>
      </c>
      <c r="D193" t="str" cm="1">
        <f t="array" ref="D193">_xlfn.TEXTJOIN("", TRUE, IF(ISNUMBER(SEARCH($K$1379:$K$1423, C193)), $K$1379:$K$1423, ""))</f>
        <v>Chobani</v>
      </c>
      <c r="E193" t="str">
        <f t="shared" si="4"/>
        <v>Yogurt</v>
      </c>
      <c r="F193" t="str">
        <f t="shared" si="5"/>
        <v>Dairy</v>
      </c>
      <c r="G193" s="3">
        <v>1.69</v>
      </c>
      <c r="H193" t="s">
        <v>502</v>
      </c>
      <c r="I193" s="2" t="s">
        <v>170</v>
      </c>
    </row>
    <row r="194" spans="1:9" x14ac:dyDescent="0.25">
      <c r="A194" t="s">
        <v>651</v>
      </c>
      <c r="B194" t="s">
        <v>652</v>
      </c>
      <c r="C194" t="s">
        <v>653</v>
      </c>
      <c r="D194" t="str" cm="1">
        <f t="array" ref="D194">_xlfn.TEXTJOIN("", TRUE, IF(ISNUMBER(SEARCH($K$1379:$K$1423, C194)), $K$1379:$K$1423, ""))</f>
        <v>Chobani</v>
      </c>
      <c r="E194" t="str">
        <f t="shared" ref="E194:E257" si="6">IF(OR(D194="Mission",D194="Nature's Own",D194="Sara Lee"),"Bread",
IF(OR(D194="Del Monte",D194="Dole",D194="Mott's"),"Canned Fruit",
IF(OR(D194="Goya",D194="Hunt's",D194="Birds Eye"),"Canned Vegetables",
IF(OR(D194="fairlife",D194="Horizon Organic",D194="Lactaid",D194="Ben &amp; Jerry's"),"Milk",
IF(OR(D194="BelGioioso",D194="Kraft",D194="Philadelphia"),"Cheese",
IF(OR(D194="Chobani",D194="Oikos",D194="Dannon Light + Fit"),"Yogurt",
IF(OR(D194="Barilla",D194="Annie's",D194="Rao's Homemade"),"Pasta",
IF(OR(D194="Hershey's",D194="Lay's",D194="Totino's",D194="Cheerios",D194="Jif",D194="Skippy",D194="Nature Valley",D194="OREO",D194="DiGiorno",D194="Eggo"),"Prepared Food",
IF(OR(D194="Ben's Original",D194="Lundberg",D194="Quaker"),"Rice",
IF(OR(D194="Bush's",D194="Hillshire Farm",D194="Oscar Mayer",D194="SPAM"),"Protein",
IF(OR(D194="Starbucks",D194="Sparkling Ice",D194="Coca-Cola",D194="San Pellegrino",D194="Gatorade",D194="Arizona"),"Beverages",
"Other")))))))))))</f>
        <v>Yogurt</v>
      </c>
      <c r="F194" t="str">
        <f t="shared" ref="F194:F257" si="7">IF(OR(E194="Bread",E194="Rice",E194="Pasta"), "Grain",
IF(OR(E194="Milk",E194="Cheese",E194="Yogurt"), "Dairy",
IF(OR(E194="Canned Fruit",E194="Canned Vegetables"), "Fruit &amp; Vegetables",
IF(E194="Prepared Food", "Prepared Food",
IF(E194="Protein", "Protein",
IF(E194="Beverages", "Beverages",
"Other"))))))</f>
        <v>Dairy</v>
      </c>
      <c r="G194" s="3">
        <v>5.49</v>
      </c>
      <c r="H194" t="s">
        <v>550</v>
      </c>
      <c r="I194" s="2" t="s">
        <v>551</v>
      </c>
    </row>
    <row r="195" spans="1:9" x14ac:dyDescent="0.25">
      <c r="A195" t="s">
        <v>654</v>
      </c>
      <c r="B195" t="s">
        <v>655</v>
      </c>
      <c r="C195" t="s">
        <v>656</v>
      </c>
      <c r="D195" t="str" cm="1">
        <f t="array" ref="D195">_xlfn.TEXTJOIN("", TRUE, IF(ISNUMBER(SEARCH($K$1379:$K$1423, C195)), $K$1379:$K$1423, ""))</f>
        <v>Chobani</v>
      </c>
      <c r="E195" t="str">
        <f t="shared" si="6"/>
        <v>Yogurt</v>
      </c>
      <c r="F195" t="str">
        <f t="shared" si="7"/>
        <v>Dairy</v>
      </c>
      <c r="G195" s="3">
        <v>5.49</v>
      </c>
      <c r="H195" t="s">
        <v>550</v>
      </c>
      <c r="I195" s="2" t="s">
        <v>551</v>
      </c>
    </row>
    <row r="196" spans="1:9" x14ac:dyDescent="0.25">
      <c r="A196" t="s">
        <v>657</v>
      </c>
      <c r="B196" t="s">
        <v>658</v>
      </c>
      <c r="C196" t="s">
        <v>659</v>
      </c>
      <c r="D196" t="str" cm="1">
        <f t="array" ref="D196">_xlfn.TEXTJOIN("", TRUE, IF(ISNUMBER(SEARCH($K$1379:$K$1423, C196)), $K$1379:$K$1423, ""))</f>
        <v>Chobani</v>
      </c>
      <c r="E196" t="str">
        <f t="shared" si="6"/>
        <v>Yogurt</v>
      </c>
      <c r="F196" t="str">
        <f t="shared" si="7"/>
        <v>Dairy</v>
      </c>
      <c r="G196" s="3">
        <v>5.49</v>
      </c>
      <c r="H196" t="s">
        <v>550</v>
      </c>
      <c r="I196" s="2" t="s">
        <v>551</v>
      </c>
    </row>
    <row r="197" spans="1:9" x14ac:dyDescent="0.25">
      <c r="A197" t="s">
        <v>660</v>
      </c>
      <c r="B197" t="s">
        <v>661</v>
      </c>
      <c r="C197" t="s">
        <v>662</v>
      </c>
      <c r="D197" t="str" cm="1">
        <f t="array" ref="D197">_xlfn.TEXTJOIN("", TRUE, IF(ISNUMBER(SEARCH($K$1379:$K$1423, C197)), $K$1379:$K$1423, ""))</f>
        <v>Chobani</v>
      </c>
      <c r="E197" t="str">
        <f t="shared" si="6"/>
        <v>Yogurt</v>
      </c>
      <c r="F197" t="str">
        <f t="shared" si="7"/>
        <v>Dairy</v>
      </c>
      <c r="G197" s="3">
        <v>6.99</v>
      </c>
      <c r="H197" t="s">
        <v>523</v>
      </c>
      <c r="I197" s="2" t="s">
        <v>18</v>
      </c>
    </row>
    <row r="198" spans="1:9" x14ac:dyDescent="0.25">
      <c r="A198" t="s">
        <v>663</v>
      </c>
      <c r="B198" t="s">
        <v>664</v>
      </c>
      <c r="C198" t="s">
        <v>665</v>
      </c>
      <c r="D198" t="str" cm="1">
        <f t="array" ref="D198">_xlfn.TEXTJOIN("", TRUE, IF(ISNUMBER(SEARCH($K$1379:$K$1423, C198)), $K$1379:$K$1423, ""))</f>
        <v>Chobani</v>
      </c>
      <c r="E198" t="str">
        <f t="shared" si="6"/>
        <v>Yogurt</v>
      </c>
      <c r="F198" t="str">
        <f t="shared" si="7"/>
        <v>Dairy</v>
      </c>
      <c r="G198" s="3">
        <v>6.99</v>
      </c>
      <c r="H198" t="s">
        <v>523</v>
      </c>
      <c r="I198" s="2" t="s">
        <v>18</v>
      </c>
    </row>
    <row r="199" spans="1:9" x14ac:dyDescent="0.25">
      <c r="A199" t="s">
        <v>666</v>
      </c>
      <c r="B199" t="s">
        <v>667</v>
      </c>
      <c r="C199" t="s">
        <v>668</v>
      </c>
      <c r="D199" t="str" cm="1">
        <f t="array" ref="D199">_xlfn.TEXTJOIN("", TRUE, IF(ISNUMBER(SEARCH($K$1379:$K$1423, C199)), $K$1379:$K$1423, ""))</f>
        <v>Chobani</v>
      </c>
      <c r="E199" t="str">
        <f t="shared" si="6"/>
        <v>Yogurt</v>
      </c>
      <c r="F199" t="str">
        <f t="shared" si="7"/>
        <v>Dairy</v>
      </c>
      <c r="G199" s="3">
        <v>1.69</v>
      </c>
      <c r="H199" t="s">
        <v>502</v>
      </c>
      <c r="I199" s="2" t="s">
        <v>170</v>
      </c>
    </row>
    <row r="200" spans="1:9" x14ac:dyDescent="0.25">
      <c r="A200" t="s">
        <v>669</v>
      </c>
      <c r="B200" t="s">
        <v>670</v>
      </c>
      <c r="C200" t="s">
        <v>671</v>
      </c>
      <c r="D200" t="str" cm="1">
        <f t="array" ref="D200">_xlfn.TEXTJOIN("", TRUE, IF(ISNUMBER(SEARCH($K$1379:$K$1423, C200)), $K$1379:$K$1423, ""))</f>
        <v>Chobani</v>
      </c>
      <c r="E200" t="str">
        <f t="shared" si="6"/>
        <v>Yogurt</v>
      </c>
      <c r="F200" t="str">
        <f t="shared" si="7"/>
        <v>Dairy</v>
      </c>
      <c r="G200" s="3">
        <v>1.69</v>
      </c>
      <c r="H200" t="s">
        <v>502</v>
      </c>
      <c r="I200" s="2" t="s">
        <v>170</v>
      </c>
    </row>
    <row r="201" spans="1:9" x14ac:dyDescent="0.25">
      <c r="A201" t="s">
        <v>672</v>
      </c>
      <c r="B201" t="s">
        <v>673</v>
      </c>
      <c r="C201" t="s">
        <v>674</v>
      </c>
      <c r="D201" t="str" cm="1">
        <f t="array" ref="D201">_xlfn.TEXTJOIN("", TRUE, IF(ISNUMBER(SEARCH($K$1379:$K$1423, C201)), $K$1379:$K$1423, ""))</f>
        <v>Chobani</v>
      </c>
      <c r="E201" t="str">
        <f t="shared" si="6"/>
        <v>Yogurt</v>
      </c>
      <c r="F201" t="str">
        <f t="shared" si="7"/>
        <v>Dairy</v>
      </c>
      <c r="G201" s="3">
        <v>5.59</v>
      </c>
      <c r="H201" t="s">
        <v>550</v>
      </c>
      <c r="I201" s="2" t="s">
        <v>551</v>
      </c>
    </row>
    <row r="202" spans="1:9" x14ac:dyDescent="0.25">
      <c r="A202" t="s">
        <v>675</v>
      </c>
      <c r="B202" t="s">
        <v>676</v>
      </c>
      <c r="C202" t="s">
        <v>677</v>
      </c>
      <c r="D202" t="str" cm="1">
        <f t="array" ref="D202">_xlfn.TEXTJOIN("", TRUE, IF(ISNUMBER(SEARCH($K$1379:$K$1423, C202)), $K$1379:$K$1423, ""))</f>
        <v>Chobani</v>
      </c>
      <c r="E202" t="str">
        <f t="shared" si="6"/>
        <v>Yogurt</v>
      </c>
      <c r="F202" t="str">
        <f t="shared" si="7"/>
        <v>Dairy</v>
      </c>
      <c r="G202" s="3">
        <v>5.49</v>
      </c>
      <c r="H202" t="s">
        <v>550</v>
      </c>
      <c r="I202" s="2" t="s">
        <v>551</v>
      </c>
    </row>
    <row r="203" spans="1:9" x14ac:dyDescent="0.25">
      <c r="A203" t="s">
        <v>678</v>
      </c>
      <c r="B203" t="s">
        <v>679</v>
      </c>
      <c r="C203" t="s">
        <v>680</v>
      </c>
      <c r="D203" t="str" cm="1">
        <f t="array" ref="D203">_xlfn.TEXTJOIN("", TRUE, IF(ISNUMBER(SEARCH($K$1379:$K$1423, C203)), $K$1379:$K$1423, ""))</f>
        <v>Chobani</v>
      </c>
      <c r="E203" t="str">
        <f t="shared" si="6"/>
        <v>Yogurt</v>
      </c>
      <c r="F203" t="str">
        <f t="shared" si="7"/>
        <v>Dairy</v>
      </c>
      <c r="G203" s="3">
        <v>5.99</v>
      </c>
      <c r="H203" t="s">
        <v>681</v>
      </c>
      <c r="I203" s="2" t="s">
        <v>320</v>
      </c>
    </row>
    <row r="204" spans="1:9" x14ac:dyDescent="0.25">
      <c r="A204" t="s">
        <v>682</v>
      </c>
      <c r="B204" t="s">
        <v>683</v>
      </c>
      <c r="C204" t="s">
        <v>684</v>
      </c>
      <c r="D204" t="str" cm="1">
        <f t="array" ref="D204">_xlfn.TEXTJOIN("", TRUE, IF(ISNUMBER(SEARCH($K$1379:$K$1423, C204)), $K$1379:$K$1423, ""))</f>
        <v>Chobani</v>
      </c>
      <c r="E204" t="str">
        <f t="shared" si="6"/>
        <v>Yogurt</v>
      </c>
      <c r="F204" t="str">
        <f t="shared" si="7"/>
        <v>Dairy</v>
      </c>
      <c r="G204" s="3">
        <v>6.99</v>
      </c>
      <c r="H204" t="s">
        <v>523</v>
      </c>
      <c r="I204" s="2" t="s">
        <v>18</v>
      </c>
    </row>
    <row r="205" spans="1:9" x14ac:dyDescent="0.25">
      <c r="A205" t="s">
        <v>685</v>
      </c>
      <c r="B205" t="s">
        <v>686</v>
      </c>
      <c r="C205" t="s">
        <v>687</v>
      </c>
      <c r="D205" t="str" cm="1">
        <f t="array" ref="D205">_xlfn.TEXTJOIN("", TRUE, IF(ISNUMBER(SEARCH($K$1379:$K$1423, C205)), $K$1379:$K$1423, ""))</f>
        <v>Chobani</v>
      </c>
      <c r="E205" t="str">
        <f t="shared" si="6"/>
        <v>Yogurt</v>
      </c>
      <c r="F205" t="str">
        <f t="shared" si="7"/>
        <v>Dairy</v>
      </c>
      <c r="G205" s="3">
        <v>6.59</v>
      </c>
      <c r="H205" t="s">
        <v>688</v>
      </c>
      <c r="I205" s="2" t="s">
        <v>689</v>
      </c>
    </row>
    <row r="206" spans="1:9" x14ac:dyDescent="0.25">
      <c r="A206" t="s">
        <v>690</v>
      </c>
      <c r="B206" t="s">
        <v>691</v>
      </c>
      <c r="C206" t="s">
        <v>692</v>
      </c>
      <c r="D206" t="str" cm="1">
        <f t="array" ref="D206">_xlfn.TEXTJOIN("", TRUE, IF(ISNUMBER(SEARCH($K$1379:$K$1423, C206)), $K$1379:$K$1423, ""))</f>
        <v>Chobani</v>
      </c>
      <c r="E206" t="str">
        <f t="shared" si="6"/>
        <v>Yogurt</v>
      </c>
      <c r="F206" t="str">
        <f t="shared" si="7"/>
        <v>Dairy</v>
      </c>
      <c r="G206" s="3">
        <v>5.59</v>
      </c>
      <c r="H206" t="s">
        <v>550</v>
      </c>
      <c r="I206" s="2" t="s">
        <v>551</v>
      </c>
    </row>
    <row r="207" spans="1:9" x14ac:dyDescent="0.25">
      <c r="A207" t="s">
        <v>693</v>
      </c>
      <c r="B207" t="s">
        <v>694</v>
      </c>
      <c r="C207" t="s">
        <v>695</v>
      </c>
      <c r="D207" t="str" cm="1">
        <f t="array" ref="D207">_xlfn.TEXTJOIN("", TRUE, IF(ISNUMBER(SEARCH($K$1379:$K$1423, C207)), $K$1379:$K$1423, ""))</f>
        <v>Chobani</v>
      </c>
      <c r="E207" t="str">
        <f t="shared" si="6"/>
        <v>Yogurt</v>
      </c>
      <c r="F207" t="str">
        <f t="shared" si="7"/>
        <v>Dairy</v>
      </c>
      <c r="G207" s="3">
        <v>5.49</v>
      </c>
      <c r="H207" t="s">
        <v>550</v>
      </c>
      <c r="I207" s="2" t="s">
        <v>551</v>
      </c>
    </row>
    <row r="208" spans="1:9" x14ac:dyDescent="0.25">
      <c r="A208" t="s">
        <v>696</v>
      </c>
      <c r="B208" t="s">
        <v>697</v>
      </c>
      <c r="C208" t="s">
        <v>698</v>
      </c>
      <c r="D208" t="str" cm="1">
        <f t="array" ref="D208">_xlfn.TEXTJOIN("", TRUE, IF(ISNUMBER(SEARCH($K$1379:$K$1423, C208)), $K$1379:$K$1423, ""))</f>
        <v>Chobani</v>
      </c>
      <c r="E208" t="str">
        <f t="shared" si="6"/>
        <v>Yogurt</v>
      </c>
      <c r="F208" t="str">
        <f t="shared" si="7"/>
        <v>Dairy</v>
      </c>
      <c r="G208" s="3">
        <v>5.49</v>
      </c>
      <c r="H208" t="s">
        <v>550</v>
      </c>
      <c r="I208" s="2" t="s">
        <v>551</v>
      </c>
    </row>
    <row r="209" spans="1:9" x14ac:dyDescent="0.25">
      <c r="A209" t="s">
        <v>699</v>
      </c>
      <c r="B209" t="s">
        <v>700</v>
      </c>
      <c r="C209" t="s">
        <v>701</v>
      </c>
      <c r="D209" t="str" cm="1">
        <f t="array" ref="D209">_xlfn.TEXTJOIN("", TRUE, IF(ISNUMBER(SEARCH($K$1379:$K$1423, C209)), $K$1379:$K$1423, ""))</f>
        <v>Chobani</v>
      </c>
      <c r="E209" t="str">
        <f t="shared" si="6"/>
        <v>Yogurt</v>
      </c>
      <c r="F209" t="str">
        <f t="shared" si="7"/>
        <v>Dairy</v>
      </c>
      <c r="G209" s="3">
        <v>5.49</v>
      </c>
      <c r="H209" t="s">
        <v>550</v>
      </c>
      <c r="I209" s="2" t="s">
        <v>551</v>
      </c>
    </row>
    <row r="210" spans="1:9" x14ac:dyDescent="0.25">
      <c r="A210" t="s">
        <v>702</v>
      </c>
      <c r="B210" t="s">
        <v>703</v>
      </c>
      <c r="C210" t="s">
        <v>704</v>
      </c>
      <c r="D210" t="str" cm="1">
        <f t="array" ref="D210">_xlfn.TEXTJOIN("", TRUE, IF(ISNUMBER(SEARCH($K$1379:$K$1423, C210)), $K$1379:$K$1423, ""))</f>
        <v>Chobani</v>
      </c>
      <c r="E210" t="str">
        <f t="shared" si="6"/>
        <v>Yogurt</v>
      </c>
      <c r="F210" t="str">
        <f t="shared" si="7"/>
        <v>Dairy</v>
      </c>
      <c r="G210" s="3">
        <v>5.99</v>
      </c>
      <c r="H210" t="s">
        <v>550</v>
      </c>
      <c r="I210" s="2" t="s">
        <v>320</v>
      </c>
    </row>
    <row r="211" spans="1:9" x14ac:dyDescent="0.25">
      <c r="A211" t="s">
        <v>705</v>
      </c>
      <c r="B211" t="s">
        <v>706</v>
      </c>
      <c r="C211" t="s">
        <v>707</v>
      </c>
      <c r="D211" t="str" cm="1">
        <f t="array" ref="D211">_xlfn.TEXTJOIN("", TRUE, IF(ISNUMBER(SEARCH($K$1379:$K$1423, C211)), $K$1379:$K$1423, ""))</f>
        <v>Chobani</v>
      </c>
      <c r="E211" t="str">
        <f t="shared" si="6"/>
        <v>Yogurt</v>
      </c>
      <c r="F211" t="str">
        <f t="shared" si="7"/>
        <v>Dairy</v>
      </c>
      <c r="G211" s="3">
        <v>6.99</v>
      </c>
      <c r="H211" t="s">
        <v>523</v>
      </c>
      <c r="I211" s="2" t="s">
        <v>18</v>
      </c>
    </row>
    <row r="212" spans="1:9" x14ac:dyDescent="0.25">
      <c r="A212" t="s">
        <v>708</v>
      </c>
      <c r="B212" t="s">
        <v>709</v>
      </c>
      <c r="C212" t="s">
        <v>710</v>
      </c>
      <c r="D212" t="str" cm="1">
        <f t="array" ref="D212">_xlfn.TEXTJOIN("", TRUE, IF(ISNUMBER(SEARCH($K$1379:$K$1423, C212)), $K$1379:$K$1423, ""))</f>
        <v>Chobani</v>
      </c>
      <c r="E212" t="str">
        <f t="shared" si="6"/>
        <v>Yogurt</v>
      </c>
      <c r="F212" t="str">
        <f t="shared" si="7"/>
        <v>Dairy</v>
      </c>
      <c r="G212" s="3">
        <v>6.59</v>
      </c>
      <c r="H212" t="s">
        <v>688</v>
      </c>
      <c r="I212" s="2" t="s">
        <v>689</v>
      </c>
    </row>
    <row r="213" spans="1:9" x14ac:dyDescent="0.25">
      <c r="A213" t="s">
        <v>711</v>
      </c>
      <c r="B213" t="s">
        <v>712</v>
      </c>
      <c r="C213" t="s">
        <v>713</v>
      </c>
      <c r="D213" t="str" cm="1">
        <f t="array" ref="D213">_xlfn.TEXTJOIN("", TRUE, IF(ISNUMBER(SEARCH($K$1379:$K$1423, C213)), $K$1379:$K$1423, ""))</f>
        <v>Chobani</v>
      </c>
      <c r="E213" t="str">
        <f t="shared" si="6"/>
        <v>Yogurt</v>
      </c>
      <c r="F213" t="str">
        <f t="shared" si="7"/>
        <v>Dairy</v>
      </c>
      <c r="G213" s="3">
        <v>5.59</v>
      </c>
      <c r="H213" t="s">
        <v>550</v>
      </c>
      <c r="I213" s="2" t="s">
        <v>551</v>
      </c>
    </row>
    <row r="214" spans="1:9" x14ac:dyDescent="0.25">
      <c r="A214" t="s">
        <v>714</v>
      </c>
      <c r="B214" t="s">
        <v>715</v>
      </c>
      <c r="C214" t="s">
        <v>716</v>
      </c>
      <c r="D214" t="str" cm="1">
        <f t="array" ref="D214">_xlfn.TEXTJOIN("", TRUE, IF(ISNUMBER(SEARCH($K$1379:$K$1423, C214)), $K$1379:$K$1423, ""))</f>
        <v>Chobani</v>
      </c>
      <c r="E214" t="str">
        <f t="shared" si="6"/>
        <v>Yogurt</v>
      </c>
      <c r="F214" t="str">
        <f t="shared" si="7"/>
        <v>Dairy</v>
      </c>
      <c r="G214" s="3">
        <v>5.59</v>
      </c>
      <c r="H214" t="s">
        <v>550</v>
      </c>
      <c r="I214" s="2" t="s">
        <v>551</v>
      </c>
    </row>
    <row r="215" spans="1:9" x14ac:dyDescent="0.25">
      <c r="A215" t="s">
        <v>717</v>
      </c>
      <c r="B215" t="s">
        <v>718</v>
      </c>
      <c r="C215" t="s">
        <v>719</v>
      </c>
      <c r="D215" t="str" cm="1">
        <f t="array" ref="D215">_xlfn.TEXTJOIN("", TRUE, IF(ISNUMBER(SEARCH($K$1379:$K$1423, C215)), $K$1379:$K$1423, ""))</f>
        <v>Chobani</v>
      </c>
      <c r="E215" t="str">
        <f t="shared" si="6"/>
        <v>Yogurt</v>
      </c>
      <c r="F215" t="str">
        <f t="shared" si="7"/>
        <v>Dairy</v>
      </c>
      <c r="G215" s="3">
        <v>6.59</v>
      </c>
      <c r="H215" t="s">
        <v>688</v>
      </c>
      <c r="I215" s="2" t="s">
        <v>689</v>
      </c>
    </row>
    <row r="216" spans="1:9" x14ac:dyDescent="0.25">
      <c r="A216" t="s">
        <v>720</v>
      </c>
      <c r="B216" t="s">
        <v>721</v>
      </c>
      <c r="C216" t="s">
        <v>722</v>
      </c>
      <c r="D216" t="str" cm="1">
        <f t="array" ref="D216">_xlfn.TEXTJOIN("", TRUE, IF(ISNUMBER(SEARCH($K$1379:$K$1423, C216)), $K$1379:$K$1423, ""))</f>
        <v>Chobani</v>
      </c>
      <c r="E216" t="str">
        <f t="shared" si="6"/>
        <v>Yogurt</v>
      </c>
      <c r="F216" t="str">
        <f t="shared" si="7"/>
        <v>Dairy</v>
      </c>
      <c r="G216" s="3">
        <v>1.89</v>
      </c>
      <c r="H216" t="s">
        <v>506</v>
      </c>
      <c r="I216" s="2" t="s">
        <v>507</v>
      </c>
    </row>
    <row r="217" spans="1:9" x14ac:dyDescent="0.25">
      <c r="A217" t="s">
        <v>723</v>
      </c>
      <c r="B217" t="s">
        <v>724</v>
      </c>
      <c r="C217" t="s">
        <v>725</v>
      </c>
      <c r="D217" t="str" cm="1">
        <f t="array" ref="D217">_xlfn.TEXTJOIN("", TRUE, IF(ISNUMBER(SEARCH($K$1379:$K$1423, C217)), $K$1379:$K$1423, ""))</f>
        <v>Chobani</v>
      </c>
      <c r="E217" t="str">
        <f t="shared" si="6"/>
        <v>Yogurt</v>
      </c>
      <c r="F217" t="str">
        <f t="shared" si="7"/>
        <v>Dairy</v>
      </c>
      <c r="G217" s="3">
        <v>1.89</v>
      </c>
      <c r="H217" t="s">
        <v>506</v>
      </c>
      <c r="I217" s="2" t="s">
        <v>507</v>
      </c>
    </row>
    <row r="218" spans="1:9" x14ac:dyDescent="0.25">
      <c r="A218" t="s">
        <v>726</v>
      </c>
      <c r="B218" t="s">
        <v>727</v>
      </c>
      <c r="C218" t="s">
        <v>728</v>
      </c>
      <c r="D218" t="str" cm="1">
        <f t="array" ref="D218">_xlfn.TEXTJOIN("", TRUE, IF(ISNUMBER(SEARCH($K$1379:$K$1423, C218)), $K$1379:$K$1423, ""))</f>
        <v>Chobani</v>
      </c>
      <c r="E218" t="str">
        <f t="shared" si="6"/>
        <v>Yogurt</v>
      </c>
      <c r="F218" t="str">
        <f t="shared" si="7"/>
        <v>Dairy</v>
      </c>
      <c r="G218" s="3">
        <v>1.89</v>
      </c>
      <c r="H218" t="s">
        <v>506</v>
      </c>
      <c r="I218" s="2" t="s">
        <v>507</v>
      </c>
    </row>
    <row r="219" spans="1:9" x14ac:dyDescent="0.25">
      <c r="A219" t="s">
        <v>729</v>
      </c>
      <c r="B219" t="s">
        <v>730</v>
      </c>
      <c r="C219" t="s">
        <v>731</v>
      </c>
      <c r="D219" t="str" cm="1">
        <f t="array" ref="D219">_xlfn.TEXTJOIN("", TRUE, IF(ISNUMBER(SEARCH($K$1379:$K$1423, C219)), $K$1379:$K$1423, ""))</f>
        <v>Chobani</v>
      </c>
      <c r="E219" t="str">
        <f t="shared" si="6"/>
        <v>Yogurt</v>
      </c>
      <c r="F219" t="str">
        <f t="shared" si="7"/>
        <v>Dairy</v>
      </c>
      <c r="G219" s="3">
        <v>1.89</v>
      </c>
      <c r="H219" t="s">
        <v>506</v>
      </c>
      <c r="I219" s="2" t="s">
        <v>507</v>
      </c>
    </row>
    <row r="220" spans="1:9" x14ac:dyDescent="0.25">
      <c r="A220" t="s">
        <v>732</v>
      </c>
      <c r="B220" t="s">
        <v>733</v>
      </c>
      <c r="C220" t="s">
        <v>734</v>
      </c>
      <c r="D220" t="str" cm="1">
        <f t="array" ref="D220">_xlfn.TEXTJOIN("", TRUE, IF(ISNUMBER(SEARCH($K$1379:$K$1423, C220)), $K$1379:$K$1423, ""))</f>
        <v>Chobani</v>
      </c>
      <c r="E220" t="str">
        <f t="shared" si="6"/>
        <v>Yogurt</v>
      </c>
      <c r="F220" t="str">
        <f t="shared" si="7"/>
        <v>Dairy</v>
      </c>
      <c r="G220" s="3">
        <v>1.89</v>
      </c>
      <c r="H220" t="s">
        <v>506</v>
      </c>
      <c r="I220" s="2" t="s">
        <v>507</v>
      </c>
    </row>
    <row r="221" spans="1:9" x14ac:dyDescent="0.25">
      <c r="A221" t="s">
        <v>735</v>
      </c>
      <c r="B221" t="s">
        <v>736</v>
      </c>
      <c r="C221" t="s">
        <v>737</v>
      </c>
      <c r="D221" t="str" cm="1">
        <f t="array" ref="D221">_xlfn.TEXTJOIN("", TRUE, IF(ISNUMBER(SEARCH($K$1379:$K$1423, C221)), $K$1379:$K$1423, ""))</f>
        <v>Chobani</v>
      </c>
      <c r="E221" t="str">
        <f t="shared" si="6"/>
        <v>Yogurt</v>
      </c>
      <c r="F221" t="str">
        <f t="shared" si="7"/>
        <v>Dairy</v>
      </c>
      <c r="G221" s="3">
        <v>2.99</v>
      </c>
      <c r="H221" t="s">
        <v>738</v>
      </c>
      <c r="I221" s="2" t="s">
        <v>528</v>
      </c>
    </row>
    <row r="222" spans="1:9" x14ac:dyDescent="0.25">
      <c r="A222" t="s">
        <v>739</v>
      </c>
      <c r="B222" t="s">
        <v>740</v>
      </c>
      <c r="C222" t="s">
        <v>741</v>
      </c>
      <c r="D222" t="str" cm="1">
        <f t="array" ref="D222">_xlfn.TEXTJOIN("", TRUE, IF(ISNUMBER(SEARCH($K$1379:$K$1423, C222)), $K$1379:$K$1423, ""))</f>
        <v>Chobani</v>
      </c>
      <c r="E222" t="str">
        <f t="shared" si="6"/>
        <v>Yogurt</v>
      </c>
      <c r="F222" t="str">
        <f t="shared" si="7"/>
        <v>Dairy</v>
      </c>
      <c r="G222" s="3">
        <v>2.99</v>
      </c>
      <c r="H222" t="s">
        <v>738</v>
      </c>
      <c r="I222" s="2" t="s">
        <v>528</v>
      </c>
    </row>
    <row r="223" spans="1:9" x14ac:dyDescent="0.25">
      <c r="A223" t="s">
        <v>742</v>
      </c>
      <c r="B223" t="s">
        <v>743</v>
      </c>
      <c r="C223" t="s">
        <v>744</v>
      </c>
      <c r="D223" t="str" cm="1">
        <f t="array" ref="D223">_xlfn.TEXTJOIN("", TRUE, IF(ISNUMBER(SEARCH($K$1379:$K$1423, C223)), $K$1379:$K$1423, ""))</f>
        <v>Chobani</v>
      </c>
      <c r="E223" t="str">
        <f t="shared" si="6"/>
        <v>Yogurt</v>
      </c>
      <c r="F223" t="str">
        <f t="shared" si="7"/>
        <v>Dairy</v>
      </c>
      <c r="G223" s="3">
        <v>1.89</v>
      </c>
      <c r="H223" t="s">
        <v>506</v>
      </c>
      <c r="I223" s="2" t="s">
        <v>507</v>
      </c>
    </row>
    <row r="224" spans="1:9" x14ac:dyDescent="0.25">
      <c r="A224" t="s">
        <v>745</v>
      </c>
      <c r="B224" t="s">
        <v>746</v>
      </c>
      <c r="C224" t="s">
        <v>747</v>
      </c>
      <c r="D224" t="str" cm="1">
        <f t="array" ref="D224">_xlfn.TEXTJOIN("", TRUE, IF(ISNUMBER(SEARCH($K$1379:$K$1423, C224)), $K$1379:$K$1423, ""))</f>
        <v>Chobani</v>
      </c>
      <c r="E224" t="str">
        <f t="shared" si="6"/>
        <v>Yogurt</v>
      </c>
      <c r="F224" t="str">
        <f t="shared" si="7"/>
        <v>Dairy</v>
      </c>
      <c r="G224" s="3">
        <v>1.89</v>
      </c>
      <c r="H224" t="s">
        <v>506</v>
      </c>
      <c r="I224" s="2" t="s">
        <v>507</v>
      </c>
    </row>
    <row r="225" spans="1:9" x14ac:dyDescent="0.25">
      <c r="A225" t="s">
        <v>748</v>
      </c>
      <c r="B225" t="s">
        <v>749</v>
      </c>
      <c r="C225" t="s">
        <v>750</v>
      </c>
      <c r="D225" t="str" cm="1">
        <f t="array" ref="D225">_xlfn.TEXTJOIN("", TRUE, IF(ISNUMBER(SEARCH($K$1379:$K$1423, C225)), $K$1379:$K$1423, ""))</f>
        <v>Chobani</v>
      </c>
      <c r="E225" t="str">
        <f t="shared" si="6"/>
        <v>Yogurt</v>
      </c>
      <c r="F225" t="str">
        <f t="shared" si="7"/>
        <v>Dairy</v>
      </c>
      <c r="G225" s="3">
        <v>2.29</v>
      </c>
      <c r="H225" t="s">
        <v>751</v>
      </c>
      <c r="I225" s="2" t="s">
        <v>752</v>
      </c>
    </row>
    <row r="226" spans="1:9" x14ac:dyDescent="0.25">
      <c r="A226" t="s">
        <v>753</v>
      </c>
      <c r="B226" t="s">
        <v>754</v>
      </c>
      <c r="C226" t="s">
        <v>755</v>
      </c>
      <c r="D226" t="str" cm="1">
        <f t="array" ref="D226">_xlfn.TEXTJOIN("", TRUE, IF(ISNUMBER(SEARCH($K$1379:$K$1423, C226)), $K$1379:$K$1423, ""))</f>
        <v>Chobani</v>
      </c>
      <c r="E226" t="str">
        <f t="shared" si="6"/>
        <v>Yogurt</v>
      </c>
      <c r="F226" t="str">
        <f t="shared" si="7"/>
        <v>Dairy</v>
      </c>
      <c r="G226" s="3">
        <v>1.89</v>
      </c>
      <c r="H226" t="s">
        <v>506</v>
      </c>
      <c r="I226" s="2" t="s">
        <v>507</v>
      </c>
    </row>
    <row r="227" spans="1:9" x14ac:dyDescent="0.25">
      <c r="A227" t="s">
        <v>756</v>
      </c>
      <c r="B227" t="s">
        <v>757</v>
      </c>
      <c r="C227" t="s">
        <v>758</v>
      </c>
      <c r="D227" t="str" cm="1">
        <f t="array" ref="D227">_xlfn.TEXTJOIN("", TRUE, IF(ISNUMBER(SEARCH($K$1379:$K$1423, C227)), $K$1379:$K$1423, ""))</f>
        <v>Chobani</v>
      </c>
      <c r="E227" t="str">
        <f t="shared" si="6"/>
        <v>Yogurt</v>
      </c>
      <c r="F227" t="str">
        <f t="shared" si="7"/>
        <v>Dairy</v>
      </c>
      <c r="G227" s="3">
        <v>1.69</v>
      </c>
      <c r="H227" t="s">
        <v>502</v>
      </c>
      <c r="I227" s="2" t="s">
        <v>170</v>
      </c>
    </row>
    <row r="228" spans="1:9" x14ac:dyDescent="0.25">
      <c r="A228" t="s">
        <v>759</v>
      </c>
      <c r="B228" t="s">
        <v>760</v>
      </c>
      <c r="C228" t="s">
        <v>761</v>
      </c>
      <c r="D228" t="str" cm="1">
        <f t="array" ref="D228">_xlfn.TEXTJOIN("", TRUE, IF(ISNUMBER(SEARCH($K$1379:$K$1423, C228)), $K$1379:$K$1423, ""))</f>
        <v>Chobani</v>
      </c>
      <c r="E228" t="str">
        <f t="shared" si="6"/>
        <v>Yogurt</v>
      </c>
      <c r="F228" t="str">
        <f t="shared" si="7"/>
        <v>Dairy</v>
      </c>
      <c r="G228" s="3">
        <v>1.89</v>
      </c>
      <c r="H228" t="s">
        <v>506</v>
      </c>
      <c r="I228" s="2" t="s">
        <v>507</v>
      </c>
    </row>
    <row r="229" spans="1:9" x14ac:dyDescent="0.25">
      <c r="A229" t="s">
        <v>762</v>
      </c>
      <c r="B229" t="s">
        <v>763</v>
      </c>
      <c r="C229" t="s">
        <v>764</v>
      </c>
      <c r="D229" t="str" cm="1">
        <f t="array" ref="D229">_xlfn.TEXTJOIN("", TRUE, IF(ISNUMBER(SEARCH($K$1379:$K$1423, C229)), $K$1379:$K$1423, ""))</f>
        <v>Chobani</v>
      </c>
      <c r="E229" t="str">
        <f t="shared" si="6"/>
        <v>Yogurt</v>
      </c>
      <c r="F229" t="str">
        <f t="shared" si="7"/>
        <v>Dairy</v>
      </c>
      <c r="G229" s="3">
        <v>1.89</v>
      </c>
      <c r="H229" t="s">
        <v>506</v>
      </c>
      <c r="I229" s="2" t="s">
        <v>507</v>
      </c>
    </row>
    <row r="230" spans="1:9" x14ac:dyDescent="0.25">
      <c r="A230" t="s">
        <v>765</v>
      </c>
      <c r="B230" t="s">
        <v>766</v>
      </c>
      <c r="C230" t="s">
        <v>767</v>
      </c>
      <c r="D230" t="str" cm="1">
        <f t="array" ref="D230">_xlfn.TEXTJOIN("", TRUE, IF(ISNUMBER(SEARCH($K$1379:$K$1423, C230)), $K$1379:$K$1423, ""))</f>
        <v>Chobani</v>
      </c>
      <c r="E230" t="str">
        <f t="shared" si="6"/>
        <v>Yogurt</v>
      </c>
      <c r="F230" t="str">
        <f t="shared" si="7"/>
        <v>Dairy</v>
      </c>
      <c r="G230" s="3">
        <v>2.99</v>
      </c>
      <c r="H230" t="s">
        <v>738</v>
      </c>
      <c r="I230" s="2" t="s">
        <v>528</v>
      </c>
    </row>
    <row r="231" spans="1:9" x14ac:dyDescent="0.25">
      <c r="A231" t="s">
        <v>768</v>
      </c>
      <c r="B231" t="s">
        <v>769</v>
      </c>
      <c r="C231" t="s">
        <v>770</v>
      </c>
      <c r="D231" t="str" cm="1">
        <f t="array" ref="D231">_xlfn.TEXTJOIN("", TRUE, IF(ISNUMBER(SEARCH($K$1379:$K$1423, C231)), $K$1379:$K$1423, ""))</f>
        <v>Chobani</v>
      </c>
      <c r="E231" t="str">
        <f t="shared" si="6"/>
        <v>Yogurt</v>
      </c>
      <c r="F231" t="str">
        <f t="shared" si="7"/>
        <v>Dairy</v>
      </c>
      <c r="G231" s="3">
        <v>1.69</v>
      </c>
      <c r="H231" t="s">
        <v>502</v>
      </c>
      <c r="I231" s="2" t="s">
        <v>170</v>
      </c>
    </row>
    <row r="232" spans="1:9" x14ac:dyDescent="0.25">
      <c r="A232" t="s">
        <v>771</v>
      </c>
      <c r="B232" t="s">
        <v>772</v>
      </c>
      <c r="C232" t="s">
        <v>773</v>
      </c>
      <c r="D232" t="str" cm="1">
        <f t="array" ref="D232">_xlfn.TEXTJOIN("", TRUE, IF(ISNUMBER(SEARCH($K$1379:$K$1423, C232)), $K$1379:$K$1423, ""))</f>
        <v>Chobani</v>
      </c>
      <c r="E232" t="str">
        <f t="shared" si="6"/>
        <v>Yogurt</v>
      </c>
      <c r="F232" t="str">
        <f t="shared" si="7"/>
        <v>Dairy</v>
      </c>
      <c r="G232" s="3">
        <v>1.99</v>
      </c>
      <c r="H232" t="s">
        <v>527</v>
      </c>
      <c r="I232" s="2" t="s">
        <v>528</v>
      </c>
    </row>
    <row r="233" spans="1:9" x14ac:dyDescent="0.25">
      <c r="A233" t="s">
        <v>774</v>
      </c>
      <c r="B233" t="s">
        <v>775</v>
      </c>
      <c r="C233" t="s">
        <v>776</v>
      </c>
      <c r="D233" t="str" cm="1">
        <f t="array" ref="D233">_xlfn.TEXTJOIN("", TRUE, IF(ISNUMBER(SEARCH($K$1379:$K$1423, C233)), $K$1379:$K$1423, ""))</f>
        <v>Chobani</v>
      </c>
      <c r="E233" t="str">
        <f t="shared" si="6"/>
        <v>Yogurt</v>
      </c>
      <c r="F233" t="str">
        <f t="shared" si="7"/>
        <v>Dairy</v>
      </c>
      <c r="G233" s="3">
        <v>2.99</v>
      </c>
      <c r="H233" t="s">
        <v>738</v>
      </c>
      <c r="I233" s="2" t="s">
        <v>528</v>
      </c>
    </row>
    <row r="234" spans="1:9" x14ac:dyDescent="0.25">
      <c r="A234" t="s">
        <v>777</v>
      </c>
      <c r="B234" t="s">
        <v>778</v>
      </c>
      <c r="C234" t="s">
        <v>779</v>
      </c>
      <c r="D234" t="str" cm="1">
        <f t="array" ref="D234">_xlfn.TEXTJOIN("", TRUE, IF(ISNUMBER(SEARCH($K$1379:$K$1423, C234)), $K$1379:$K$1423, ""))</f>
        <v>Chobani</v>
      </c>
      <c r="E234" t="str">
        <f t="shared" si="6"/>
        <v>Yogurt</v>
      </c>
      <c r="F234" t="str">
        <f t="shared" si="7"/>
        <v>Dairy</v>
      </c>
      <c r="G234" s="3">
        <v>1.89</v>
      </c>
      <c r="H234" t="s">
        <v>506</v>
      </c>
      <c r="I234" s="2" t="s">
        <v>507</v>
      </c>
    </row>
    <row r="235" spans="1:9" x14ac:dyDescent="0.25">
      <c r="A235" t="s">
        <v>780</v>
      </c>
      <c r="B235" t="s">
        <v>781</v>
      </c>
      <c r="C235" t="s">
        <v>782</v>
      </c>
      <c r="D235" t="str" cm="1">
        <f t="array" ref="D235">_xlfn.TEXTJOIN("", TRUE, IF(ISNUMBER(SEARCH($K$1379:$K$1423, C235)), $K$1379:$K$1423, ""))</f>
        <v>Chobani</v>
      </c>
      <c r="E235" t="str">
        <f t="shared" si="6"/>
        <v>Yogurt</v>
      </c>
      <c r="F235" t="str">
        <f t="shared" si="7"/>
        <v>Dairy</v>
      </c>
      <c r="G235" s="3">
        <v>2.29</v>
      </c>
      <c r="H235" t="s">
        <v>751</v>
      </c>
      <c r="I235" s="2" t="s">
        <v>752</v>
      </c>
    </row>
    <row r="236" spans="1:9" x14ac:dyDescent="0.25">
      <c r="A236" t="s">
        <v>783</v>
      </c>
      <c r="B236" t="s">
        <v>784</v>
      </c>
      <c r="C236" t="s">
        <v>785</v>
      </c>
      <c r="D236" t="str" cm="1">
        <f t="array" ref="D236">_xlfn.TEXTJOIN("", TRUE, IF(ISNUMBER(SEARCH($K$1379:$K$1423, C236)), $K$1379:$K$1423, ""))</f>
        <v>Chobani</v>
      </c>
      <c r="E236" t="str">
        <f t="shared" si="6"/>
        <v>Yogurt</v>
      </c>
      <c r="F236" t="str">
        <f t="shared" si="7"/>
        <v>Dairy</v>
      </c>
      <c r="G236" s="3">
        <v>2.29</v>
      </c>
      <c r="H236" t="s">
        <v>751</v>
      </c>
      <c r="I236" s="2" t="s">
        <v>752</v>
      </c>
    </row>
    <row r="237" spans="1:9" x14ac:dyDescent="0.25">
      <c r="A237" t="s">
        <v>786</v>
      </c>
      <c r="B237" t="s">
        <v>787</v>
      </c>
      <c r="C237" t="s">
        <v>788</v>
      </c>
      <c r="D237" t="str" cm="1">
        <f t="array" ref="D237">_xlfn.TEXTJOIN("", TRUE, IF(ISNUMBER(SEARCH($K$1379:$K$1423, C237)), $K$1379:$K$1423, ""))</f>
        <v>Chobani</v>
      </c>
      <c r="E237" t="str">
        <f t="shared" si="6"/>
        <v>Yogurt</v>
      </c>
      <c r="F237" t="str">
        <f t="shared" si="7"/>
        <v>Dairy</v>
      </c>
      <c r="G237" s="3">
        <v>2.99</v>
      </c>
      <c r="H237" t="s">
        <v>738</v>
      </c>
      <c r="I237" s="2" t="s">
        <v>528</v>
      </c>
    </row>
    <row r="238" spans="1:9" x14ac:dyDescent="0.25">
      <c r="A238" t="s">
        <v>789</v>
      </c>
      <c r="B238" t="s">
        <v>790</v>
      </c>
      <c r="C238" t="s">
        <v>791</v>
      </c>
      <c r="D238" t="str" cm="1">
        <f t="array" ref="D238">_xlfn.TEXTJOIN("", TRUE, IF(ISNUMBER(SEARCH($K$1379:$K$1423, C238)), $K$1379:$K$1423, ""))</f>
        <v>Chobani</v>
      </c>
      <c r="E238" t="str">
        <f t="shared" si="6"/>
        <v>Yogurt</v>
      </c>
      <c r="F238" t="str">
        <f t="shared" si="7"/>
        <v>Dairy</v>
      </c>
      <c r="G238" s="3">
        <v>2.29</v>
      </c>
      <c r="H238" t="s">
        <v>751</v>
      </c>
      <c r="I238" s="2" t="s">
        <v>752</v>
      </c>
    </row>
    <row r="239" spans="1:9" x14ac:dyDescent="0.25">
      <c r="A239" t="s">
        <v>792</v>
      </c>
      <c r="B239" t="s">
        <v>793</v>
      </c>
      <c r="C239" t="s">
        <v>794</v>
      </c>
      <c r="D239" t="str" cm="1">
        <f t="array" ref="D239">_xlfn.TEXTJOIN("", TRUE, IF(ISNUMBER(SEARCH($K$1379:$K$1423, C239)), $K$1379:$K$1423, ""))</f>
        <v>Chobani</v>
      </c>
      <c r="E239" t="str">
        <f t="shared" si="6"/>
        <v>Yogurt</v>
      </c>
      <c r="F239" t="str">
        <f t="shared" si="7"/>
        <v>Dairy</v>
      </c>
      <c r="G239" s="3">
        <v>1.89</v>
      </c>
      <c r="H239" t="s">
        <v>506</v>
      </c>
      <c r="I239" s="2" t="s">
        <v>507</v>
      </c>
    </row>
    <row r="240" spans="1:9" x14ac:dyDescent="0.25">
      <c r="A240" t="s">
        <v>795</v>
      </c>
      <c r="B240" t="s">
        <v>796</v>
      </c>
      <c r="C240" t="s">
        <v>797</v>
      </c>
      <c r="D240" t="str" cm="1">
        <f t="array" ref="D240">_xlfn.TEXTJOIN("", TRUE, IF(ISNUMBER(SEARCH($K$1379:$K$1423, C240)), $K$1379:$K$1423, ""))</f>
        <v>Chobani</v>
      </c>
      <c r="E240" t="str">
        <f t="shared" si="6"/>
        <v>Yogurt</v>
      </c>
      <c r="F240" t="str">
        <f t="shared" si="7"/>
        <v>Dairy</v>
      </c>
      <c r="G240" s="3">
        <v>1.69</v>
      </c>
      <c r="H240" t="s">
        <v>502</v>
      </c>
      <c r="I240" s="2" t="s">
        <v>170</v>
      </c>
    </row>
    <row r="241" spans="1:9" x14ac:dyDescent="0.25">
      <c r="A241" t="s">
        <v>798</v>
      </c>
      <c r="B241" t="s">
        <v>799</v>
      </c>
      <c r="C241" t="s">
        <v>800</v>
      </c>
      <c r="D241" t="str" cm="1">
        <f t="array" ref="D241">_xlfn.TEXTJOIN("", TRUE, IF(ISNUMBER(SEARCH($K$1379:$K$1423, C241)), $K$1379:$K$1423, ""))</f>
        <v>Chobani</v>
      </c>
      <c r="E241" t="str">
        <f t="shared" si="6"/>
        <v>Yogurt</v>
      </c>
      <c r="F241" t="str">
        <f t="shared" si="7"/>
        <v>Dairy</v>
      </c>
      <c r="G241" s="3">
        <v>1.89</v>
      </c>
      <c r="H241" t="s">
        <v>502</v>
      </c>
      <c r="I241" s="2" t="s">
        <v>99</v>
      </c>
    </row>
    <row r="242" spans="1:9" x14ac:dyDescent="0.25">
      <c r="A242" t="s">
        <v>801</v>
      </c>
      <c r="B242" t="s">
        <v>802</v>
      </c>
      <c r="C242" t="s">
        <v>803</v>
      </c>
      <c r="D242" t="str" cm="1">
        <f t="array" ref="D242">_xlfn.TEXTJOIN("", TRUE, IF(ISNUMBER(SEARCH($K$1379:$K$1423, C242)), $K$1379:$K$1423, ""))</f>
        <v>Chobani</v>
      </c>
      <c r="E242" t="str">
        <f t="shared" si="6"/>
        <v>Yogurt</v>
      </c>
      <c r="F242" t="str">
        <f t="shared" si="7"/>
        <v>Dairy</v>
      </c>
      <c r="G242" s="3">
        <v>2.29</v>
      </c>
      <c r="H242" t="s">
        <v>751</v>
      </c>
      <c r="I242" s="2" t="s">
        <v>752</v>
      </c>
    </row>
    <row r="243" spans="1:9" x14ac:dyDescent="0.25">
      <c r="A243" t="s">
        <v>804</v>
      </c>
      <c r="B243" t="s">
        <v>805</v>
      </c>
      <c r="C243" t="s">
        <v>806</v>
      </c>
      <c r="D243" t="str" cm="1">
        <f t="array" ref="D243">_xlfn.TEXTJOIN("", TRUE, IF(ISNUMBER(SEARCH($K$1379:$K$1423, C243)), $K$1379:$K$1423, ""))</f>
        <v>Chobani</v>
      </c>
      <c r="E243" t="str">
        <f t="shared" si="6"/>
        <v>Yogurt</v>
      </c>
      <c r="F243" t="str">
        <f t="shared" si="7"/>
        <v>Dairy</v>
      </c>
      <c r="G243" s="3">
        <v>1.89</v>
      </c>
      <c r="H243" t="s">
        <v>502</v>
      </c>
      <c r="I243" s="2" t="s">
        <v>99</v>
      </c>
    </row>
    <row r="244" spans="1:9" x14ac:dyDescent="0.25">
      <c r="A244" t="s">
        <v>807</v>
      </c>
      <c r="B244" t="s">
        <v>808</v>
      </c>
      <c r="C244" t="s">
        <v>809</v>
      </c>
      <c r="D244" t="str" cm="1">
        <f t="array" ref="D244">_xlfn.TEXTJOIN("", TRUE, IF(ISNUMBER(SEARCH($K$1379:$K$1423, C244)), $K$1379:$K$1423, ""))</f>
        <v>Chobani</v>
      </c>
      <c r="E244" t="str">
        <f t="shared" si="6"/>
        <v>Yogurt</v>
      </c>
      <c r="F244" t="str">
        <f t="shared" si="7"/>
        <v>Dairy</v>
      </c>
      <c r="G244" s="3">
        <v>6.59</v>
      </c>
      <c r="H244" t="s">
        <v>688</v>
      </c>
      <c r="I244" s="2" t="s">
        <v>689</v>
      </c>
    </row>
    <row r="245" spans="1:9" x14ac:dyDescent="0.25">
      <c r="A245" t="s">
        <v>810</v>
      </c>
      <c r="B245" t="s">
        <v>811</v>
      </c>
      <c r="C245" t="s">
        <v>812</v>
      </c>
      <c r="D245" t="str" cm="1">
        <f t="array" ref="D245">_xlfn.TEXTJOIN("", TRUE, IF(ISNUMBER(SEARCH($K$1379:$K$1423, C245)), $K$1379:$K$1423, ""))</f>
        <v>Chobani</v>
      </c>
      <c r="E245" t="str">
        <f t="shared" si="6"/>
        <v>Yogurt</v>
      </c>
      <c r="F245" t="str">
        <f t="shared" si="7"/>
        <v>Dairy</v>
      </c>
      <c r="G245" s="3">
        <v>2.29</v>
      </c>
      <c r="H245" t="s">
        <v>751</v>
      </c>
      <c r="I245" s="2" t="s">
        <v>752</v>
      </c>
    </row>
    <row r="246" spans="1:9" x14ac:dyDescent="0.25">
      <c r="A246" t="s">
        <v>813</v>
      </c>
      <c r="B246" t="s">
        <v>814</v>
      </c>
      <c r="C246" t="s">
        <v>815</v>
      </c>
      <c r="D246" t="str" cm="1">
        <f t="array" ref="D246">_xlfn.TEXTJOIN("", TRUE, IF(ISNUMBER(SEARCH($K$1379:$K$1423, C246)), $K$1379:$K$1423, ""))</f>
        <v>Chobani</v>
      </c>
      <c r="E246" t="str">
        <f t="shared" si="6"/>
        <v>Yogurt</v>
      </c>
      <c r="F246" t="str">
        <f t="shared" si="7"/>
        <v>Dairy</v>
      </c>
      <c r="G246" s="3">
        <v>1.89</v>
      </c>
      <c r="H246" t="s">
        <v>502</v>
      </c>
      <c r="I246" s="2" t="s">
        <v>99</v>
      </c>
    </row>
    <row r="247" spans="1:9" x14ac:dyDescent="0.25">
      <c r="A247" t="s">
        <v>816</v>
      </c>
      <c r="B247" t="s">
        <v>817</v>
      </c>
      <c r="C247" t="s">
        <v>818</v>
      </c>
      <c r="D247" t="str" cm="1">
        <f t="array" ref="D247">_xlfn.TEXTJOIN("", TRUE, IF(ISNUMBER(SEARCH($K$1379:$K$1423, C247)), $K$1379:$K$1423, ""))</f>
        <v>Chobani</v>
      </c>
      <c r="E247" t="str">
        <f t="shared" si="6"/>
        <v>Yogurt</v>
      </c>
      <c r="F247" t="str">
        <f t="shared" si="7"/>
        <v>Dairy</v>
      </c>
      <c r="G247" s="3">
        <v>6.59</v>
      </c>
      <c r="H247" t="s">
        <v>688</v>
      </c>
      <c r="I247" s="2" t="s">
        <v>689</v>
      </c>
    </row>
    <row r="248" spans="1:9" x14ac:dyDescent="0.25">
      <c r="A248" t="s">
        <v>819</v>
      </c>
      <c r="B248" t="s">
        <v>820</v>
      </c>
      <c r="C248" t="s">
        <v>821</v>
      </c>
      <c r="D248" t="str" cm="1">
        <f t="array" ref="D248">_xlfn.TEXTJOIN("", TRUE, IF(ISNUMBER(SEARCH($K$1379:$K$1423, C248)), $K$1379:$K$1423, ""))</f>
        <v>Chobani</v>
      </c>
      <c r="E248" t="str">
        <f t="shared" si="6"/>
        <v>Yogurt</v>
      </c>
      <c r="F248" t="str">
        <f t="shared" si="7"/>
        <v>Dairy</v>
      </c>
      <c r="G248" s="3">
        <v>2.29</v>
      </c>
      <c r="H248" t="s">
        <v>751</v>
      </c>
      <c r="I248" s="2" t="s">
        <v>752</v>
      </c>
    </row>
    <row r="249" spans="1:9" x14ac:dyDescent="0.25">
      <c r="A249" t="s">
        <v>822</v>
      </c>
      <c r="B249" t="s">
        <v>823</v>
      </c>
      <c r="C249" t="s">
        <v>824</v>
      </c>
      <c r="D249" t="str" cm="1">
        <f t="array" ref="D249">_xlfn.TEXTJOIN("", TRUE, IF(ISNUMBER(SEARCH($K$1379:$K$1423, C249)), $K$1379:$K$1423, ""))</f>
        <v>Chobani</v>
      </c>
      <c r="E249" t="str">
        <f t="shared" si="6"/>
        <v>Yogurt</v>
      </c>
      <c r="F249" t="str">
        <f t="shared" si="7"/>
        <v>Dairy</v>
      </c>
      <c r="G249" s="3">
        <v>6.59</v>
      </c>
      <c r="H249" t="s">
        <v>688</v>
      </c>
      <c r="I249" s="2" t="s">
        <v>689</v>
      </c>
    </row>
    <row r="250" spans="1:9" x14ac:dyDescent="0.25">
      <c r="A250" t="s">
        <v>825</v>
      </c>
      <c r="B250" t="s">
        <v>826</v>
      </c>
      <c r="C250" t="s">
        <v>827</v>
      </c>
      <c r="D250" t="str" cm="1">
        <f t="array" ref="D250">_xlfn.TEXTJOIN("", TRUE, IF(ISNUMBER(SEARCH($K$1379:$K$1423, C250)), $K$1379:$K$1423, ""))</f>
        <v>Chobani</v>
      </c>
      <c r="E250" t="str">
        <f t="shared" si="6"/>
        <v>Yogurt</v>
      </c>
      <c r="F250" t="str">
        <f t="shared" si="7"/>
        <v>Dairy</v>
      </c>
      <c r="G250" s="3">
        <v>6.99</v>
      </c>
      <c r="H250" t="s">
        <v>751</v>
      </c>
      <c r="I250" s="2" t="s">
        <v>149</v>
      </c>
    </row>
    <row r="251" spans="1:9" x14ac:dyDescent="0.25">
      <c r="A251" t="s">
        <v>828</v>
      </c>
      <c r="B251" t="s">
        <v>829</v>
      </c>
      <c r="C251" t="s">
        <v>830</v>
      </c>
      <c r="D251" t="str" cm="1">
        <f t="array" ref="D251">_xlfn.TEXTJOIN("", TRUE, IF(ISNUMBER(SEARCH($K$1379:$K$1423, C251)), $K$1379:$K$1423, ""))</f>
        <v>Chobani</v>
      </c>
      <c r="E251" t="str">
        <f t="shared" si="6"/>
        <v>Yogurt</v>
      </c>
      <c r="F251" t="str">
        <f t="shared" si="7"/>
        <v>Dairy</v>
      </c>
      <c r="G251" s="3">
        <v>6.99</v>
      </c>
      <c r="H251" t="s">
        <v>751</v>
      </c>
      <c r="I251" s="2" t="s">
        <v>149</v>
      </c>
    </row>
    <row r="252" spans="1:9" x14ac:dyDescent="0.25">
      <c r="A252" t="s">
        <v>831</v>
      </c>
      <c r="B252" t="s">
        <v>832</v>
      </c>
      <c r="C252" t="s">
        <v>833</v>
      </c>
      <c r="D252" t="str" cm="1">
        <f t="array" ref="D252">_xlfn.TEXTJOIN("", TRUE, IF(ISNUMBER(SEARCH($K$1379:$K$1423, C252)), $K$1379:$K$1423, ""))</f>
        <v>Chobani</v>
      </c>
      <c r="E252" t="str">
        <f t="shared" si="6"/>
        <v>Yogurt</v>
      </c>
      <c r="F252" t="str">
        <f t="shared" si="7"/>
        <v>Dairy</v>
      </c>
      <c r="G252" s="3">
        <v>2.99</v>
      </c>
      <c r="H252" t="s">
        <v>738</v>
      </c>
      <c r="I252" s="2" t="s">
        <v>528</v>
      </c>
    </row>
    <row r="253" spans="1:9" x14ac:dyDescent="0.25">
      <c r="A253" t="s">
        <v>834</v>
      </c>
      <c r="B253" t="s">
        <v>835</v>
      </c>
      <c r="C253" t="s">
        <v>836</v>
      </c>
      <c r="D253" t="str" cm="1">
        <f t="array" ref="D253">_xlfn.TEXTJOIN("", TRUE, IF(ISNUMBER(SEARCH($K$1379:$K$1423, C253)), $K$1379:$K$1423, ""))</f>
        <v>Chobani</v>
      </c>
      <c r="E253" t="str">
        <f t="shared" si="6"/>
        <v>Yogurt</v>
      </c>
      <c r="F253" t="str">
        <f t="shared" si="7"/>
        <v>Dairy</v>
      </c>
      <c r="G253" s="3">
        <v>3.79</v>
      </c>
      <c r="H253" t="s">
        <v>837</v>
      </c>
      <c r="I253" s="2" t="s">
        <v>79</v>
      </c>
    </row>
    <row r="254" spans="1:9" x14ac:dyDescent="0.25">
      <c r="A254" t="s">
        <v>838</v>
      </c>
      <c r="B254" t="s">
        <v>839</v>
      </c>
      <c r="C254" t="s">
        <v>840</v>
      </c>
      <c r="D254" t="str" cm="1">
        <f t="array" ref="D254">_xlfn.TEXTJOIN("", TRUE, IF(ISNUMBER(SEARCH($K$1379:$K$1423, C254)), $K$1379:$K$1423, ""))</f>
        <v>Chobani</v>
      </c>
      <c r="E254" t="str">
        <f t="shared" si="6"/>
        <v>Yogurt</v>
      </c>
      <c r="F254" t="str">
        <f t="shared" si="7"/>
        <v>Dairy</v>
      </c>
      <c r="G254" s="3">
        <v>6.59</v>
      </c>
      <c r="H254" t="s">
        <v>688</v>
      </c>
      <c r="I254" s="2" t="s">
        <v>689</v>
      </c>
    </row>
    <row r="255" spans="1:9" x14ac:dyDescent="0.25">
      <c r="A255" t="s">
        <v>841</v>
      </c>
      <c r="B255" t="s">
        <v>842</v>
      </c>
      <c r="C255" t="s">
        <v>812</v>
      </c>
      <c r="D255" t="str" cm="1">
        <f t="array" ref="D255">_xlfn.TEXTJOIN("", TRUE, IF(ISNUMBER(SEARCH($K$1379:$K$1423, C255)), $K$1379:$K$1423, ""))</f>
        <v>Chobani</v>
      </c>
      <c r="E255" t="str">
        <f t="shared" si="6"/>
        <v>Yogurt</v>
      </c>
      <c r="F255" t="str">
        <f t="shared" si="7"/>
        <v>Dairy</v>
      </c>
      <c r="G255" s="3">
        <v>3.79</v>
      </c>
      <c r="H255" t="s">
        <v>837</v>
      </c>
      <c r="I255" s="2" t="s">
        <v>79</v>
      </c>
    </row>
    <row r="256" spans="1:9" x14ac:dyDescent="0.25">
      <c r="A256" t="s">
        <v>843</v>
      </c>
      <c r="B256" t="s">
        <v>844</v>
      </c>
      <c r="C256" t="s">
        <v>845</v>
      </c>
      <c r="D256" t="str" cm="1">
        <f t="array" ref="D256">_xlfn.TEXTJOIN("", TRUE, IF(ISNUMBER(SEARCH($K$1379:$K$1423, C256)), $K$1379:$K$1423, ""))</f>
        <v>Chobani</v>
      </c>
      <c r="E256" t="str">
        <f t="shared" si="6"/>
        <v>Yogurt</v>
      </c>
      <c r="F256" t="str">
        <f t="shared" si="7"/>
        <v>Dairy</v>
      </c>
      <c r="G256" s="3">
        <v>6.99</v>
      </c>
      <c r="H256" t="s">
        <v>751</v>
      </c>
      <c r="I256" s="2" t="s">
        <v>149</v>
      </c>
    </row>
    <row r="257" spans="1:9" x14ac:dyDescent="0.25">
      <c r="A257" t="s">
        <v>846</v>
      </c>
      <c r="B257" t="s">
        <v>847</v>
      </c>
      <c r="C257" t="s">
        <v>848</v>
      </c>
      <c r="D257" t="str" cm="1">
        <f t="array" ref="D257">_xlfn.TEXTJOIN("", TRUE, IF(ISNUMBER(SEARCH($K$1379:$K$1423, C257)), $K$1379:$K$1423, ""))</f>
        <v>Chobani</v>
      </c>
      <c r="E257" t="str">
        <f t="shared" si="6"/>
        <v>Yogurt</v>
      </c>
      <c r="F257" t="str">
        <f t="shared" si="7"/>
        <v>Dairy</v>
      </c>
      <c r="G257" s="3">
        <v>6.59</v>
      </c>
      <c r="H257" t="s">
        <v>688</v>
      </c>
      <c r="I257" s="2" t="s">
        <v>689</v>
      </c>
    </row>
    <row r="258" spans="1:9" x14ac:dyDescent="0.25">
      <c r="A258" t="s">
        <v>849</v>
      </c>
      <c r="B258" t="s">
        <v>850</v>
      </c>
      <c r="C258" t="s">
        <v>851</v>
      </c>
      <c r="D258" t="str" cm="1">
        <f t="array" ref="D258">_xlfn.TEXTJOIN("", TRUE, IF(ISNUMBER(SEARCH($K$1379:$K$1423, C258)), $K$1379:$K$1423, ""))</f>
        <v>Chobani</v>
      </c>
      <c r="E258" t="str">
        <f t="shared" ref="E258:E321" si="8">IF(OR(D258="Mission",D258="Nature's Own",D258="Sara Lee"),"Bread",
IF(OR(D258="Del Monte",D258="Dole",D258="Mott's"),"Canned Fruit",
IF(OR(D258="Goya",D258="Hunt's",D258="Birds Eye"),"Canned Vegetables",
IF(OR(D258="fairlife",D258="Horizon Organic",D258="Lactaid",D258="Ben &amp; Jerry's"),"Milk",
IF(OR(D258="BelGioioso",D258="Kraft",D258="Philadelphia"),"Cheese",
IF(OR(D258="Chobani",D258="Oikos",D258="Dannon Light + Fit"),"Yogurt",
IF(OR(D258="Barilla",D258="Annie's",D258="Rao's Homemade"),"Pasta",
IF(OR(D258="Hershey's",D258="Lay's",D258="Totino's",D258="Cheerios",D258="Jif",D258="Skippy",D258="Nature Valley",D258="OREO",D258="DiGiorno",D258="Eggo"),"Prepared Food",
IF(OR(D258="Ben's Original",D258="Lundberg",D258="Quaker"),"Rice",
IF(OR(D258="Bush's",D258="Hillshire Farm",D258="Oscar Mayer",D258="SPAM"),"Protein",
IF(OR(D258="Starbucks",D258="Sparkling Ice",D258="Coca-Cola",D258="San Pellegrino",D258="Gatorade",D258="Arizona"),"Beverages",
"Other")))))))))))</f>
        <v>Yogurt</v>
      </c>
      <c r="F258" t="str">
        <f t="shared" ref="F258:F321" si="9">IF(OR(E258="Bread",E258="Rice",E258="Pasta"), "Grain",
IF(OR(E258="Milk",E258="Cheese",E258="Yogurt"), "Dairy",
IF(OR(E258="Canned Fruit",E258="Canned Vegetables"), "Fruit &amp; Vegetables",
IF(E258="Prepared Food", "Prepared Food",
IF(E258="Protein", "Protein",
IF(E258="Beverages", "Beverages",
"Other"))))))</f>
        <v>Dairy</v>
      </c>
      <c r="G258" s="3">
        <v>5.49</v>
      </c>
      <c r="H258" t="s">
        <v>550</v>
      </c>
      <c r="I258" s="2" t="s">
        <v>551</v>
      </c>
    </row>
    <row r="259" spans="1:9" x14ac:dyDescent="0.25">
      <c r="A259" t="s">
        <v>852</v>
      </c>
      <c r="B259" t="s">
        <v>853</v>
      </c>
      <c r="C259" t="s">
        <v>854</v>
      </c>
      <c r="D259" t="str" cm="1">
        <f t="array" ref="D259">_xlfn.TEXTJOIN("", TRUE, IF(ISNUMBER(SEARCH($K$1379:$K$1423, C259)), $K$1379:$K$1423, ""))</f>
        <v>Chobani</v>
      </c>
      <c r="E259" t="str">
        <f t="shared" si="8"/>
        <v>Yogurt</v>
      </c>
      <c r="F259" t="str">
        <f t="shared" si="9"/>
        <v>Dairy</v>
      </c>
      <c r="G259" s="3">
        <v>2.29</v>
      </c>
      <c r="H259" t="s">
        <v>751</v>
      </c>
      <c r="I259" s="2" t="s">
        <v>752</v>
      </c>
    </row>
    <row r="260" spans="1:9" x14ac:dyDescent="0.25">
      <c r="A260" t="s">
        <v>855</v>
      </c>
      <c r="B260" t="s">
        <v>856</v>
      </c>
      <c r="C260" t="s">
        <v>857</v>
      </c>
      <c r="D260" t="str" cm="1">
        <f t="array" ref="D260">_xlfn.TEXTJOIN("", TRUE, IF(ISNUMBER(SEARCH($K$1379:$K$1423, C260)), $K$1379:$K$1423, ""))</f>
        <v>Chobani</v>
      </c>
      <c r="E260" t="str">
        <f t="shared" si="8"/>
        <v>Yogurt</v>
      </c>
      <c r="F260" t="str">
        <f t="shared" si="9"/>
        <v>Dairy</v>
      </c>
      <c r="G260" s="3">
        <v>1.69</v>
      </c>
      <c r="H260" t="s">
        <v>502</v>
      </c>
      <c r="I260" s="2" t="s">
        <v>858</v>
      </c>
    </row>
    <row r="261" spans="1:9" x14ac:dyDescent="0.25">
      <c r="A261" t="s">
        <v>859</v>
      </c>
      <c r="B261" t="s">
        <v>860</v>
      </c>
      <c r="C261" t="s">
        <v>861</v>
      </c>
      <c r="D261" t="str" cm="1">
        <f t="array" ref="D261">_xlfn.TEXTJOIN("", TRUE, IF(ISNUMBER(SEARCH($K$1379:$K$1423, C261)), $K$1379:$K$1423, ""))</f>
        <v>Del Monte</v>
      </c>
      <c r="E261" t="str">
        <f t="shared" si="8"/>
        <v>Canned Fruit</v>
      </c>
      <c r="F261" t="str">
        <f t="shared" si="9"/>
        <v>Fruit &amp; Vegetables</v>
      </c>
      <c r="G261" s="3">
        <v>2.99</v>
      </c>
      <c r="H261" t="s">
        <v>863</v>
      </c>
      <c r="I261" s="2" t="s">
        <v>490</v>
      </c>
    </row>
    <row r="262" spans="1:9" x14ac:dyDescent="0.25">
      <c r="A262" t="s">
        <v>864</v>
      </c>
      <c r="B262" t="s">
        <v>865</v>
      </c>
      <c r="C262" t="s">
        <v>866</v>
      </c>
      <c r="D262" t="str" cm="1">
        <f t="array" ref="D262">_xlfn.TEXTJOIN("", TRUE, IF(ISNUMBER(SEARCH($K$1379:$K$1423, C262)), $K$1379:$K$1423, ""))</f>
        <v>Del Monte</v>
      </c>
      <c r="E262" t="str">
        <f t="shared" si="8"/>
        <v>Canned Fruit</v>
      </c>
      <c r="F262" t="str">
        <f t="shared" si="9"/>
        <v>Fruit &amp; Vegetables</v>
      </c>
      <c r="G262" s="3">
        <v>2.99</v>
      </c>
      <c r="H262" t="s">
        <v>867</v>
      </c>
      <c r="I262" s="2" t="s">
        <v>868</v>
      </c>
    </row>
    <row r="263" spans="1:9" x14ac:dyDescent="0.25">
      <c r="A263" t="s">
        <v>869</v>
      </c>
      <c r="B263" t="s">
        <v>870</v>
      </c>
      <c r="C263" t="s">
        <v>871</v>
      </c>
      <c r="D263" t="str" cm="1">
        <f t="array" ref="D263">_xlfn.TEXTJOIN("", TRUE, IF(ISNUMBER(SEARCH($K$1379:$K$1423, C263)), $K$1379:$K$1423, ""))</f>
        <v>Del Monte</v>
      </c>
      <c r="E263" t="str">
        <f t="shared" si="8"/>
        <v>Canned Fruit</v>
      </c>
      <c r="F263" t="str">
        <f t="shared" si="9"/>
        <v>Fruit &amp; Vegetables</v>
      </c>
      <c r="G263" s="3">
        <v>2.99</v>
      </c>
      <c r="H263" t="s">
        <v>872</v>
      </c>
      <c r="I263" s="2" t="s">
        <v>490</v>
      </c>
    </row>
    <row r="264" spans="1:9" x14ac:dyDescent="0.25">
      <c r="A264" t="s">
        <v>873</v>
      </c>
      <c r="B264" t="s">
        <v>874</v>
      </c>
      <c r="C264" t="s">
        <v>875</v>
      </c>
      <c r="D264" t="str" cm="1">
        <f t="array" ref="D264">_xlfn.TEXTJOIN("", TRUE, IF(ISNUMBER(SEARCH($K$1379:$K$1423, C264)), $K$1379:$K$1423, ""))</f>
        <v>Del Monte</v>
      </c>
      <c r="E264" t="str">
        <f t="shared" si="8"/>
        <v>Canned Fruit</v>
      </c>
      <c r="F264" t="str">
        <f t="shared" si="9"/>
        <v>Fruit &amp; Vegetables</v>
      </c>
      <c r="G264" s="3">
        <v>2.99</v>
      </c>
      <c r="H264" t="s">
        <v>863</v>
      </c>
      <c r="I264" s="2" t="s">
        <v>490</v>
      </c>
    </row>
    <row r="265" spans="1:9" x14ac:dyDescent="0.25">
      <c r="A265" t="s">
        <v>876</v>
      </c>
      <c r="B265" t="s">
        <v>877</v>
      </c>
      <c r="C265" t="s">
        <v>871</v>
      </c>
      <c r="D265" t="str" cm="1">
        <f t="array" ref="D265">_xlfn.TEXTJOIN("", TRUE, IF(ISNUMBER(SEARCH($K$1379:$K$1423, C265)), $K$1379:$K$1423, ""))</f>
        <v>Del Monte</v>
      </c>
      <c r="E265" t="str">
        <f t="shared" si="8"/>
        <v>Canned Fruit</v>
      </c>
      <c r="F265" t="str">
        <f t="shared" si="9"/>
        <v>Fruit &amp; Vegetables</v>
      </c>
      <c r="G265" s="3">
        <v>4.29</v>
      </c>
      <c r="H265" t="s">
        <v>878</v>
      </c>
      <c r="I265" s="2" t="s">
        <v>468</v>
      </c>
    </row>
    <row r="266" spans="1:9" x14ac:dyDescent="0.25">
      <c r="A266" t="s">
        <v>879</v>
      </c>
      <c r="B266" t="s">
        <v>880</v>
      </c>
      <c r="C266" t="s">
        <v>881</v>
      </c>
      <c r="D266" t="str" cm="1">
        <f t="array" ref="D266">_xlfn.TEXTJOIN("", TRUE, IF(ISNUMBER(SEARCH($K$1379:$K$1423, C266)), $K$1379:$K$1423, ""))</f>
        <v>Del Monte</v>
      </c>
      <c r="E266" t="str">
        <f t="shared" si="8"/>
        <v>Canned Fruit</v>
      </c>
      <c r="F266" t="str">
        <f t="shared" si="9"/>
        <v>Fruit &amp; Vegetables</v>
      </c>
      <c r="G266" s="3">
        <v>2.99</v>
      </c>
      <c r="H266" t="s">
        <v>872</v>
      </c>
      <c r="I266" s="2" t="s">
        <v>490</v>
      </c>
    </row>
    <row r="267" spans="1:9" x14ac:dyDescent="0.25">
      <c r="A267" t="s">
        <v>882</v>
      </c>
      <c r="B267" t="s">
        <v>883</v>
      </c>
      <c r="C267" t="s">
        <v>875</v>
      </c>
      <c r="D267" t="str" cm="1">
        <f t="array" ref="D267">_xlfn.TEXTJOIN("", TRUE, IF(ISNUMBER(SEARCH($K$1379:$K$1423, C267)), $K$1379:$K$1423, ""))</f>
        <v>Del Monte</v>
      </c>
      <c r="E267" t="str">
        <f t="shared" si="8"/>
        <v>Canned Fruit</v>
      </c>
      <c r="F267" t="str">
        <f t="shared" si="9"/>
        <v>Fruit &amp; Vegetables</v>
      </c>
      <c r="G267" s="3">
        <v>4.29</v>
      </c>
      <c r="H267" t="s">
        <v>878</v>
      </c>
      <c r="I267" s="2" t="s">
        <v>468</v>
      </c>
    </row>
    <row r="268" spans="1:9" x14ac:dyDescent="0.25">
      <c r="A268" t="s">
        <v>884</v>
      </c>
      <c r="B268" t="s">
        <v>885</v>
      </c>
      <c r="C268" t="s">
        <v>886</v>
      </c>
      <c r="D268" t="str" cm="1">
        <f t="array" ref="D268">_xlfn.TEXTJOIN("", TRUE, IF(ISNUMBER(SEARCH($K$1379:$K$1423, C268)), $K$1379:$K$1423, ""))</f>
        <v>Del Monte</v>
      </c>
      <c r="E268" t="str">
        <f t="shared" si="8"/>
        <v>Canned Fruit</v>
      </c>
      <c r="F268" t="str">
        <f t="shared" si="9"/>
        <v>Fruit &amp; Vegetables</v>
      </c>
      <c r="G268" s="3">
        <v>2.99</v>
      </c>
      <c r="H268" t="s">
        <v>872</v>
      </c>
      <c r="I268" s="2" t="s">
        <v>490</v>
      </c>
    </row>
    <row r="269" spans="1:9" x14ac:dyDescent="0.25">
      <c r="A269" t="s">
        <v>887</v>
      </c>
      <c r="B269" t="s">
        <v>888</v>
      </c>
      <c r="C269" t="s">
        <v>889</v>
      </c>
      <c r="D269" t="str" cm="1">
        <f t="array" ref="D269">_xlfn.TEXTJOIN("", TRUE, IF(ISNUMBER(SEARCH($K$1379:$K$1423, C269)), $K$1379:$K$1423, ""))</f>
        <v>Del Monte</v>
      </c>
      <c r="E269" t="str">
        <f t="shared" si="8"/>
        <v>Canned Fruit</v>
      </c>
      <c r="F269" t="str">
        <f t="shared" si="9"/>
        <v>Fruit &amp; Vegetables</v>
      </c>
      <c r="G269" s="3">
        <v>2.99</v>
      </c>
      <c r="H269" t="s">
        <v>890</v>
      </c>
      <c r="I269" s="2" t="s">
        <v>490</v>
      </c>
    </row>
    <row r="270" spans="1:9" x14ac:dyDescent="0.25">
      <c r="A270" t="s">
        <v>891</v>
      </c>
      <c r="B270" t="s">
        <v>892</v>
      </c>
      <c r="C270" t="s">
        <v>893</v>
      </c>
      <c r="D270" t="str" cm="1">
        <f t="array" ref="D270">_xlfn.TEXTJOIN("", TRUE, IF(ISNUMBER(SEARCH($K$1379:$K$1423, C270)), $K$1379:$K$1423, ""))</f>
        <v>Del Monte</v>
      </c>
      <c r="E270" t="str">
        <f t="shared" si="8"/>
        <v>Canned Fruit</v>
      </c>
      <c r="F270" t="str">
        <f t="shared" si="9"/>
        <v>Fruit &amp; Vegetables</v>
      </c>
      <c r="G270" s="3">
        <v>2.99</v>
      </c>
      <c r="H270" t="s">
        <v>223</v>
      </c>
      <c r="I270" s="2" t="s">
        <v>170</v>
      </c>
    </row>
    <row r="271" spans="1:9" x14ac:dyDescent="0.25">
      <c r="A271" t="s">
        <v>894</v>
      </c>
      <c r="B271" t="s">
        <v>895</v>
      </c>
      <c r="C271" t="s">
        <v>896</v>
      </c>
      <c r="D271" t="str" cm="1">
        <f t="array" ref="D271">_xlfn.TEXTJOIN("", TRUE, IF(ISNUMBER(SEARCH($K$1379:$K$1423, C271)), $K$1379:$K$1423, ""))</f>
        <v>Del Monte</v>
      </c>
      <c r="E271" t="str">
        <f t="shared" si="8"/>
        <v>Canned Fruit</v>
      </c>
      <c r="F271" t="str">
        <f t="shared" si="9"/>
        <v>Fruit &amp; Vegetables</v>
      </c>
      <c r="G271" s="3">
        <v>2.99</v>
      </c>
      <c r="H271" t="s">
        <v>897</v>
      </c>
      <c r="I271" s="2" t="s">
        <v>490</v>
      </c>
    </row>
    <row r="272" spans="1:9" x14ac:dyDescent="0.25">
      <c r="A272" t="s">
        <v>898</v>
      </c>
      <c r="B272" t="s">
        <v>899</v>
      </c>
      <c r="C272" t="s">
        <v>900</v>
      </c>
      <c r="D272" t="str" cm="1">
        <f t="array" ref="D272">_xlfn.TEXTJOIN("", TRUE, IF(ISNUMBER(SEARCH($K$1379:$K$1423, C272)), $K$1379:$K$1423, ""))</f>
        <v>Del Monte</v>
      </c>
      <c r="E272" t="str">
        <f t="shared" si="8"/>
        <v>Canned Fruit</v>
      </c>
      <c r="F272" t="str">
        <f t="shared" si="9"/>
        <v>Fruit &amp; Vegetables</v>
      </c>
      <c r="G272" s="3">
        <v>7.99</v>
      </c>
      <c r="H272" t="s">
        <v>901</v>
      </c>
      <c r="I272" s="2" t="s">
        <v>83</v>
      </c>
    </row>
    <row r="273" spans="1:10" x14ac:dyDescent="0.25">
      <c r="A273" t="s">
        <v>902</v>
      </c>
      <c r="B273" t="s">
        <v>903</v>
      </c>
      <c r="C273" t="s">
        <v>904</v>
      </c>
      <c r="D273" t="str" cm="1">
        <f t="array" ref="D273">_xlfn.TEXTJOIN("", TRUE, IF(ISNUMBER(SEARCH($K$1379:$K$1423, C273)), $K$1379:$K$1423, ""))</f>
        <v>Del Monte</v>
      </c>
      <c r="E273" t="str">
        <f t="shared" si="8"/>
        <v>Canned Fruit</v>
      </c>
      <c r="F273" t="str">
        <f t="shared" si="9"/>
        <v>Fruit &amp; Vegetables</v>
      </c>
      <c r="G273" s="3">
        <v>7.99</v>
      </c>
      <c r="H273" t="s">
        <v>905</v>
      </c>
      <c r="I273" s="2" t="s">
        <v>13</v>
      </c>
    </row>
    <row r="274" spans="1:10" x14ac:dyDescent="0.25">
      <c r="A274" t="s">
        <v>906</v>
      </c>
      <c r="B274" t="s">
        <v>907</v>
      </c>
      <c r="C274" t="s">
        <v>908</v>
      </c>
      <c r="D274" t="str" cm="1">
        <f t="array" ref="D274">_xlfn.TEXTJOIN("", TRUE, IF(ISNUMBER(SEARCH($K$1379:$K$1423, C274)), $K$1379:$K$1423, ""))</f>
        <v>Del Monte</v>
      </c>
      <c r="E274" t="str">
        <f t="shared" si="8"/>
        <v>Canned Fruit</v>
      </c>
      <c r="F274" t="str">
        <f t="shared" si="9"/>
        <v>Fruit &amp; Vegetables</v>
      </c>
      <c r="G274" s="3">
        <v>7.99</v>
      </c>
      <c r="H274" t="s">
        <v>909</v>
      </c>
      <c r="I274" s="2" t="s">
        <v>83</v>
      </c>
      <c r="J274" s="1"/>
    </row>
    <row r="275" spans="1:10" x14ac:dyDescent="0.25">
      <c r="A275" t="s">
        <v>910</v>
      </c>
      <c r="B275" t="s">
        <v>911</v>
      </c>
      <c r="C275" t="s">
        <v>912</v>
      </c>
      <c r="D275" t="str" cm="1">
        <f t="array" ref="D275">_xlfn.TEXTJOIN("", TRUE, IF(ISNUMBER(SEARCH($K$1379:$K$1423, C275)), $K$1379:$K$1423, ""))</f>
        <v>Del Monte</v>
      </c>
      <c r="E275" t="str">
        <f t="shared" si="8"/>
        <v>Canned Fruit</v>
      </c>
      <c r="F275" t="str">
        <f t="shared" si="9"/>
        <v>Fruit &amp; Vegetables</v>
      </c>
      <c r="G275" s="3">
        <v>3.99</v>
      </c>
      <c r="H275" t="s">
        <v>688</v>
      </c>
      <c r="I275" s="2" t="s">
        <v>18</v>
      </c>
      <c r="J275" s="1"/>
    </row>
    <row r="276" spans="1:10" x14ac:dyDescent="0.25">
      <c r="A276" t="s">
        <v>913</v>
      </c>
      <c r="B276" t="s">
        <v>914</v>
      </c>
      <c r="C276" t="s">
        <v>915</v>
      </c>
      <c r="D276" t="str" cm="1">
        <f t="array" ref="D276">_xlfn.TEXTJOIN("", TRUE, IF(ISNUMBER(SEARCH($K$1379:$K$1423, C276)), $K$1379:$K$1423, ""))</f>
        <v>Dole</v>
      </c>
      <c r="E276" t="str">
        <f t="shared" si="8"/>
        <v>Canned Fruit</v>
      </c>
      <c r="F276" t="str">
        <f t="shared" si="9"/>
        <v>Fruit &amp; Vegetables</v>
      </c>
      <c r="G276" s="3">
        <v>2.19</v>
      </c>
      <c r="H276" t="s">
        <v>917</v>
      </c>
      <c r="I276" s="2" t="s">
        <v>918</v>
      </c>
      <c r="J276" s="1"/>
    </row>
    <row r="277" spans="1:10" x14ac:dyDescent="0.25">
      <c r="A277" t="s">
        <v>919</v>
      </c>
      <c r="B277" t="s">
        <v>920</v>
      </c>
      <c r="C277" t="s">
        <v>921</v>
      </c>
      <c r="D277" t="str" cm="1">
        <f t="array" ref="D277">_xlfn.TEXTJOIN("", TRUE, IF(ISNUMBER(SEARCH($K$1379:$K$1423, C277)), $K$1379:$K$1423, ""))</f>
        <v>Dole</v>
      </c>
      <c r="E277" t="str">
        <f t="shared" si="8"/>
        <v>Canned Fruit</v>
      </c>
      <c r="F277" t="str">
        <f t="shared" si="9"/>
        <v>Fruit &amp; Vegetables</v>
      </c>
      <c r="G277" s="3">
        <v>2.19</v>
      </c>
      <c r="H277" t="s">
        <v>917</v>
      </c>
      <c r="I277" s="2" t="s">
        <v>918</v>
      </c>
    </row>
    <row r="278" spans="1:10" x14ac:dyDescent="0.25">
      <c r="A278" t="s">
        <v>922</v>
      </c>
      <c r="B278" t="s">
        <v>923</v>
      </c>
      <c r="C278" t="s">
        <v>924</v>
      </c>
      <c r="D278" t="str" cm="1">
        <f t="array" ref="D278">_xlfn.TEXTJOIN("", TRUE, IF(ISNUMBER(SEARCH($K$1379:$K$1423, C278)), $K$1379:$K$1423, ""))</f>
        <v>Dole</v>
      </c>
      <c r="E278" t="str">
        <f t="shared" si="8"/>
        <v>Canned Fruit</v>
      </c>
      <c r="F278" t="str">
        <f t="shared" si="9"/>
        <v>Fruit &amp; Vegetables</v>
      </c>
      <c r="G278" s="3">
        <v>2.19</v>
      </c>
      <c r="H278" t="s">
        <v>917</v>
      </c>
      <c r="I278" s="2" t="s">
        <v>918</v>
      </c>
    </row>
    <row r="279" spans="1:10" x14ac:dyDescent="0.25">
      <c r="A279" t="s">
        <v>925</v>
      </c>
      <c r="B279" t="s">
        <v>926</v>
      </c>
      <c r="C279" t="s">
        <v>927</v>
      </c>
      <c r="D279" t="str" cm="1">
        <f t="array" ref="D279">_xlfn.TEXTJOIN("", TRUE, IF(ISNUMBER(SEARCH($K$1379:$K$1423, C279)), $K$1379:$K$1423, ""))</f>
        <v>Dole</v>
      </c>
      <c r="E279" t="str">
        <f t="shared" si="8"/>
        <v>Canned Fruit</v>
      </c>
      <c r="F279" t="str">
        <f t="shared" si="9"/>
        <v>Fruit &amp; Vegetables</v>
      </c>
      <c r="G279" s="3">
        <v>2.19</v>
      </c>
      <c r="H279" t="s">
        <v>917</v>
      </c>
      <c r="I279" s="2" t="s">
        <v>918</v>
      </c>
      <c r="J279" s="1"/>
    </row>
    <row r="280" spans="1:10" x14ac:dyDescent="0.25">
      <c r="A280" t="s">
        <v>928</v>
      </c>
      <c r="B280" t="s">
        <v>929</v>
      </c>
      <c r="C280" t="s">
        <v>930</v>
      </c>
      <c r="D280" t="str" cm="1">
        <f t="array" ref="D280">_xlfn.TEXTJOIN("", TRUE, IF(ISNUMBER(SEARCH($K$1379:$K$1423, C280)), $K$1379:$K$1423, ""))</f>
        <v>Dole</v>
      </c>
      <c r="E280" t="str">
        <f t="shared" si="8"/>
        <v>Canned Fruit</v>
      </c>
      <c r="F280" t="str">
        <f t="shared" si="9"/>
        <v>Fruit &amp; Vegetables</v>
      </c>
      <c r="G280" s="3">
        <v>2.29</v>
      </c>
      <c r="H280" t="s">
        <v>872</v>
      </c>
      <c r="I280" s="2" t="s">
        <v>131</v>
      </c>
      <c r="J280" s="1"/>
    </row>
    <row r="281" spans="1:10" x14ac:dyDescent="0.25">
      <c r="A281" t="s">
        <v>931</v>
      </c>
      <c r="B281" t="s">
        <v>932</v>
      </c>
      <c r="C281" t="s">
        <v>933</v>
      </c>
      <c r="D281" t="str" cm="1">
        <f t="array" ref="D281">_xlfn.TEXTJOIN("", TRUE, IF(ISNUMBER(SEARCH($K$1379:$K$1423, C281)), $K$1379:$K$1423, ""))</f>
        <v>Dole</v>
      </c>
      <c r="E281" t="str">
        <f t="shared" si="8"/>
        <v>Canned Fruit</v>
      </c>
      <c r="F281" t="str">
        <f t="shared" si="9"/>
        <v>Fruit &amp; Vegetables</v>
      </c>
      <c r="G281" s="3">
        <v>2.19</v>
      </c>
      <c r="H281" t="s">
        <v>917</v>
      </c>
      <c r="I281" s="2" t="s">
        <v>918</v>
      </c>
    </row>
    <row r="282" spans="1:10" x14ac:dyDescent="0.25">
      <c r="A282" t="s">
        <v>934</v>
      </c>
      <c r="B282" t="s">
        <v>935</v>
      </c>
      <c r="C282" t="s">
        <v>936</v>
      </c>
      <c r="D282" t="str" cm="1">
        <f t="array" ref="D282">_xlfn.TEXTJOIN("", TRUE, IF(ISNUMBER(SEARCH($K$1379:$K$1423, C282)), $K$1379:$K$1423, ""))</f>
        <v>Dole</v>
      </c>
      <c r="E282" t="str">
        <f t="shared" si="8"/>
        <v>Canned Fruit</v>
      </c>
      <c r="F282" t="str">
        <f t="shared" si="9"/>
        <v>Fruit &amp; Vegetables</v>
      </c>
      <c r="G282" s="3">
        <v>2.19</v>
      </c>
      <c r="H282" t="s">
        <v>917</v>
      </c>
      <c r="I282" s="2" t="s">
        <v>918</v>
      </c>
    </row>
    <row r="283" spans="1:10" x14ac:dyDescent="0.25">
      <c r="A283" t="s">
        <v>937</v>
      </c>
      <c r="B283" t="s">
        <v>938</v>
      </c>
      <c r="C283" t="s">
        <v>939</v>
      </c>
      <c r="D283" t="str" cm="1">
        <f t="array" ref="D283">_xlfn.TEXTJOIN("", TRUE, IF(ISNUMBER(SEARCH($K$1379:$K$1423, C283)), $K$1379:$K$1423, ""))</f>
        <v>Dole</v>
      </c>
      <c r="E283" t="str">
        <f t="shared" si="8"/>
        <v>Canned Fruit</v>
      </c>
      <c r="F283" t="str">
        <f t="shared" si="9"/>
        <v>Fruit &amp; Vegetables</v>
      </c>
      <c r="G283" s="3">
        <v>2.19</v>
      </c>
      <c r="H283" t="s">
        <v>917</v>
      </c>
      <c r="I283" s="2" t="s">
        <v>918</v>
      </c>
      <c r="J283" s="1"/>
    </row>
    <row r="284" spans="1:10" x14ac:dyDescent="0.25">
      <c r="A284" t="s">
        <v>940</v>
      </c>
      <c r="B284" t="s">
        <v>941</v>
      </c>
      <c r="C284" t="s">
        <v>942</v>
      </c>
      <c r="D284" t="str" cm="1">
        <f t="array" ref="D284">_xlfn.TEXTJOIN("", TRUE, IF(ISNUMBER(SEARCH($K$1379:$K$1423, C284)), $K$1379:$K$1423, ""))</f>
        <v>Dole</v>
      </c>
      <c r="E284" t="str">
        <f t="shared" si="8"/>
        <v>Canned Fruit</v>
      </c>
      <c r="F284" t="str">
        <f t="shared" si="9"/>
        <v>Fruit &amp; Vegetables</v>
      </c>
      <c r="G284" s="3">
        <v>2.29</v>
      </c>
      <c r="H284" t="s">
        <v>872</v>
      </c>
      <c r="I284" s="2" t="s">
        <v>131</v>
      </c>
    </row>
    <row r="285" spans="1:10" x14ac:dyDescent="0.25">
      <c r="A285" t="s">
        <v>943</v>
      </c>
      <c r="B285" t="s">
        <v>944</v>
      </c>
      <c r="C285" t="s">
        <v>945</v>
      </c>
      <c r="D285" t="str" cm="1">
        <f t="array" ref="D285">_xlfn.TEXTJOIN("", TRUE, IF(ISNUMBER(SEARCH($K$1379:$K$1423, C285)), $K$1379:$K$1423, ""))</f>
        <v>Dole</v>
      </c>
      <c r="E285" t="str">
        <f t="shared" si="8"/>
        <v>Canned Fruit</v>
      </c>
      <c r="F285" t="str">
        <f t="shared" si="9"/>
        <v>Fruit &amp; Vegetables</v>
      </c>
      <c r="G285" s="3">
        <v>3.33</v>
      </c>
      <c r="H285" t="s">
        <v>223</v>
      </c>
      <c r="I285" s="2" t="s">
        <v>868</v>
      </c>
    </row>
    <row r="286" spans="1:10" x14ac:dyDescent="0.25">
      <c r="A286" t="s">
        <v>946</v>
      </c>
      <c r="B286" t="s">
        <v>947</v>
      </c>
      <c r="C286" t="s">
        <v>948</v>
      </c>
      <c r="D286" t="str" cm="1">
        <f t="array" ref="D286">_xlfn.TEXTJOIN("", TRUE, IF(ISNUMBER(SEARCH($K$1379:$K$1423, C286)), $K$1379:$K$1423, ""))</f>
        <v>Dole</v>
      </c>
      <c r="E286" t="str">
        <f t="shared" si="8"/>
        <v>Canned Fruit</v>
      </c>
      <c r="F286" t="str">
        <f t="shared" si="9"/>
        <v>Fruit &amp; Vegetables</v>
      </c>
      <c r="G286" s="3">
        <v>3.33</v>
      </c>
      <c r="H286" t="s">
        <v>223</v>
      </c>
      <c r="I286" s="2" t="s">
        <v>868</v>
      </c>
      <c r="J286" s="1"/>
    </row>
    <row r="287" spans="1:10" x14ac:dyDescent="0.25">
      <c r="A287" t="s">
        <v>949</v>
      </c>
      <c r="B287" t="s">
        <v>950</v>
      </c>
      <c r="C287" t="s">
        <v>951</v>
      </c>
      <c r="D287" t="str" cm="1">
        <f t="array" ref="D287">_xlfn.TEXTJOIN("", TRUE, IF(ISNUMBER(SEARCH($K$1379:$K$1423, C287)), $K$1379:$K$1423, ""))</f>
        <v>Dole</v>
      </c>
      <c r="E287" t="str">
        <f t="shared" si="8"/>
        <v>Canned Fruit</v>
      </c>
      <c r="F287" t="str">
        <f t="shared" si="9"/>
        <v>Fruit &amp; Vegetables</v>
      </c>
      <c r="G287" s="3">
        <v>3.33</v>
      </c>
      <c r="H287" t="s">
        <v>952</v>
      </c>
      <c r="I287" s="2" t="s">
        <v>170</v>
      </c>
      <c r="J287" s="1"/>
    </row>
    <row r="288" spans="1:10" x14ac:dyDescent="0.25">
      <c r="A288" t="s">
        <v>953</v>
      </c>
      <c r="B288" t="s">
        <v>954</v>
      </c>
      <c r="C288" t="s">
        <v>955</v>
      </c>
      <c r="D288" t="str" cm="1">
        <f t="array" ref="D288">_xlfn.TEXTJOIN("", TRUE, IF(ISNUMBER(SEARCH($K$1379:$K$1423, C288)), $K$1379:$K$1423, ""))</f>
        <v>Dole</v>
      </c>
      <c r="E288" t="str">
        <f t="shared" si="8"/>
        <v>Canned Fruit</v>
      </c>
      <c r="F288" t="str">
        <f t="shared" si="9"/>
        <v>Fruit &amp; Vegetables</v>
      </c>
      <c r="G288" s="3">
        <v>8.69</v>
      </c>
      <c r="H288" t="s">
        <v>901</v>
      </c>
      <c r="I288" s="2" t="s">
        <v>13</v>
      </c>
      <c r="J288" s="1"/>
    </row>
    <row r="289" spans="1:12" x14ac:dyDescent="0.25">
      <c r="A289" t="s">
        <v>956</v>
      </c>
      <c r="B289" t="s">
        <v>957</v>
      </c>
      <c r="C289" t="s">
        <v>958</v>
      </c>
      <c r="D289" t="str" cm="1">
        <f t="array" ref="D289">_xlfn.TEXTJOIN("", TRUE, IF(ISNUMBER(SEARCH($K$1379:$K$1423, C289)), $K$1379:$K$1423, ""))</f>
        <v>fairlife</v>
      </c>
      <c r="E289" t="str">
        <f t="shared" si="8"/>
        <v>Milk</v>
      </c>
      <c r="F289" t="str">
        <f t="shared" si="9"/>
        <v>Dairy</v>
      </c>
      <c r="G289" s="3">
        <v>5.79</v>
      </c>
      <c r="H289" t="s">
        <v>960</v>
      </c>
      <c r="I289" s="2" t="s">
        <v>436</v>
      </c>
      <c r="J289" s="1"/>
    </row>
    <row r="290" spans="1:12" x14ac:dyDescent="0.25">
      <c r="A290" t="s">
        <v>961</v>
      </c>
      <c r="B290" t="s">
        <v>962</v>
      </c>
      <c r="C290" t="s">
        <v>963</v>
      </c>
      <c r="D290" t="str" cm="1">
        <f t="array" ref="D290">_xlfn.TEXTJOIN("", TRUE, IF(ISNUMBER(SEARCH($K$1379:$K$1423, C290)), $K$1379:$K$1423, ""))</f>
        <v>fairlife</v>
      </c>
      <c r="E290" t="str">
        <f t="shared" si="8"/>
        <v>Milk</v>
      </c>
      <c r="F290" t="str">
        <f t="shared" si="9"/>
        <v>Dairy</v>
      </c>
      <c r="G290" s="3">
        <v>5.79</v>
      </c>
      <c r="H290" t="s">
        <v>960</v>
      </c>
      <c r="I290" s="2" t="s">
        <v>436</v>
      </c>
      <c r="J290" s="1"/>
    </row>
    <row r="291" spans="1:12" x14ac:dyDescent="0.25">
      <c r="A291" t="s">
        <v>964</v>
      </c>
      <c r="B291" t="s">
        <v>965</v>
      </c>
      <c r="C291" t="s">
        <v>966</v>
      </c>
      <c r="D291" t="str" cm="1">
        <f t="array" ref="D291">_xlfn.TEXTJOIN("", TRUE, IF(ISNUMBER(SEARCH($K$1379:$K$1423, C291)), $K$1379:$K$1423, ""))</f>
        <v>fairlife</v>
      </c>
      <c r="E291" t="str">
        <f t="shared" si="8"/>
        <v>Milk</v>
      </c>
      <c r="F291" t="str">
        <f t="shared" si="9"/>
        <v>Dairy</v>
      </c>
      <c r="G291" s="3">
        <v>5.79</v>
      </c>
      <c r="H291" t="s">
        <v>960</v>
      </c>
      <c r="I291" s="2" t="s">
        <v>436</v>
      </c>
      <c r="J291" s="1"/>
    </row>
    <row r="292" spans="1:12" x14ac:dyDescent="0.25">
      <c r="A292" t="s">
        <v>967</v>
      </c>
      <c r="B292" t="s">
        <v>968</v>
      </c>
      <c r="C292" t="s">
        <v>969</v>
      </c>
      <c r="D292" t="str" cm="1">
        <f t="array" ref="D292">_xlfn.TEXTJOIN("", TRUE, IF(ISNUMBER(SEARCH($K$1379:$K$1423, C292)), $K$1379:$K$1423, ""))</f>
        <v>fairlife</v>
      </c>
      <c r="E292" t="str">
        <f t="shared" si="8"/>
        <v>Milk</v>
      </c>
      <c r="F292" t="str">
        <f t="shared" si="9"/>
        <v>Dairy</v>
      </c>
      <c r="G292" s="3">
        <v>5.79</v>
      </c>
      <c r="H292" t="s">
        <v>960</v>
      </c>
      <c r="I292" s="2" t="s">
        <v>436</v>
      </c>
      <c r="J292" s="1"/>
    </row>
    <row r="293" spans="1:12" x14ac:dyDescent="0.25">
      <c r="A293" t="s">
        <v>970</v>
      </c>
      <c r="B293" t="s">
        <v>971</v>
      </c>
      <c r="C293" t="s">
        <v>972</v>
      </c>
      <c r="D293" t="str" cm="1">
        <f t="array" ref="D293">_xlfn.TEXTJOIN("", TRUE, IF(ISNUMBER(SEARCH($K$1379:$K$1423, C293)), $K$1379:$K$1423, ""))</f>
        <v>Horizon Organic</v>
      </c>
      <c r="E293" t="str">
        <f t="shared" si="8"/>
        <v>Milk</v>
      </c>
      <c r="F293" t="str">
        <f t="shared" si="9"/>
        <v>Dairy</v>
      </c>
      <c r="G293" s="3">
        <v>6.39</v>
      </c>
      <c r="H293" t="s">
        <v>973</v>
      </c>
      <c r="I293" s="2" t="s">
        <v>918</v>
      </c>
      <c r="J293" s="1"/>
    </row>
    <row r="294" spans="1:12" x14ac:dyDescent="0.25">
      <c r="A294" t="s">
        <v>974</v>
      </c>
      <c r="B294" t="s">
        <v>975</v>
      </c>
      <c r="C294" t="s">
        <v>976</v>
      </c>
      <c r="D294" t="str" cm="1">
        <f t="array" ref="D294">_xlfn.TEXTJOIN("", TRUE, IF(ISNUMBER(SEARCH($K$1379:$K$1423, C294)), $K$1379:$K$1423, ""))</f>
        <v>Horizon Organic</v>
      </c>
      <c r="E294" t="str">
        <f t="shared" si="8"/>
        <v>Milk</v>
      </c>
      <c r="F294" t="str">
        <f t="shared" si="9"/>
        <v>Dairy</v>
      </c>
      <c r="G294" s="3">
        <v>6.99</v>
      </c>
      <c r="H294" t="s">
        <v>977</v>
      </c>
      <c r="I294" s="2" t="s">
        <v>32</v>
      </c>
      <c r="J294" s="1"/>
    </row>
    <row r="295" spans="1:12" x14ac:dyDescent="0.25">
      <c r="A295" t="s">
        <v>978</v>
      </c>
      <c r="B295" t="s">
        <v>979</v>
      </c>
      <c r="C295" t="s">
        <v>980</v>
      </c>
      <c r="D295" t="str" cm="1">
        <f t="array" ref="D295">_xlfn.TEXTJOIN("", TRUE, IF(ISNUMBER(SEARCH($K$1379:$K$1423, C295)), $K$1379:$K$1423, ""))</f>
        <v>Horizon Organic</v>
      </c>
      <c r="E295" t="str">
        <f t="shared" si="8"/>
        <v>Milk</v>
      </c>
      <c r="F295" t="str">
        <f t="shared" si="9"/>
        <v>Dairy</v>
      </c>
      <c r="G295" s="3">
        <v>7.39</v>
      </c>
      <c r="H295" t="s">
        <v>973</v>
      </c>
      <c r="I295" s="2" t="s">
        <v>32</v>
      </c>
    </row>
    <row r="296" spans="1:12" x14ac:dyDescent="0.25">
      <c r="A296" t="s">
        <v>981</v>
      </c>
      <c r="B296" t="s">
        <v>982</v>
      </c>
      <c r="C296" t="s">
        <v>983</v>
      </c>
      <c r="D296" t="str" cm="1">
        <f t="array" ref="D296">_xlfn.TEXTJOIN("", TRUE, IF(ISNUMBER(SEARCH($K$1379:$K$1423, C296)), $K$1379:$K$1423, ""))</f>
        <v>Horizon Organic</v>
      </c>
      <c r="E296" t="str">
        <f t="shared" si="8"/>
        <v>Milk</v>
      </c>
      <c r="F296" t="str">
        <f t="shared" si="9"/>
        <v>Dairy</v>
      </c>
      <c r="G296" s="3">
        <v>6.39</v>
      </c>
      <c r="H296" t="s">
        <v>973</v>
      </c>
      <c r="I296" s="2" t="s">
        <v>918</v>
      </c>
    </row>
    <row r="297" spans="1:12" x14ac:dyDescent="0.25">
      <c r="A297" t="s">
        <v>984</v>
      </c>
      <c r="B297" t="s">
        <v>985</v>
      </c>
      <c r="C297" t="s">
        <v>986</v>
      </c>
      <c r="D297" t="str" cm="1">
        <f t="array" ref="D297">_xlfn.TEXTJOIN("", TRUE, IF(ISNUMBER(SEARCH($K$1379:$K$1423, C297)), $K$1379:$K$1423, ""))</f>
        <v>Horizon Organic</v>
      </c>
      <c r="E297" t="str">
        <f t="shared" si="8"/>
        <v>Milk</v>
      </c>
      <c r="F297" t="str">
        <f t="shared" si="9"/>
        <v>Dairy</v>
      </c>
      <c r="G297" s="3">
        <v>7.39</v>
      </c>
      <c r="H297" t="s">
        <v>973</v>
      </c>
      <c r="I297" s="2" t="s">
        <v>32</v>
      </c>
      <c r="L297" s="1"/>
    </row>
    <row r="298" spans="1:12" x14ac:dyDescent="0.25">
      <c r="A298" t="s">
        <v>987</v>
      </c>
      <c r="B298" t="s">
        <v>988</v>
      </c>
      <c r="C298" t="s">
        <v>989</v>
      </c>
      <c r="D298" t="str" cm="1">
        <f t="array" ref="D298">_xlfn.TEXTJOIN("", TRUE, IF(ISNUMBER(SEARCH($K$1379:$K$1423, C298)), $K$1379:$K$1423, ""))</f>
        <v>Horizon Organic</v>
      </c>
      <c r="E298" t="str">
        <f t="shared" si="8"/>
        <v>Milk</v>
      </c>
      <c r="F298" t="str">
        <f t="shared" si="9"/>
        <v>Dairy</v>
      </c>
      <c r="G298" s="3">
        <v>6.39</v>
      </c>
      <c r="H298" t="s">
        <v>973</v>
      </c>
      <c r="I298" s="2" t="s">
        <v>918</v>
      </c>
    </row>
    <row r="299" spans="1:12" x14ac:dyDescent="0.25">
      <c r="A299" t="s">
        <v>990</v>
      </c>
      <c r="B299" t="s">
        <v>991</v>
      </c>
      <c r="C299" t="s">
        <v>972</v>
      </c>
      <c r="D299" t="str" cm="1">
        <f t="array" ref="D299">_xlfn.TEXTJOIN("", TRUE, IF(ISNUMBER(SEARCH($K$1379:$K$1423, C299)), $K$1379:$K$1423, ""))</f>
        <v>Horizon Organic</v>
      </c>
      <c r="E299" t="str">
        <f t="shared" si="8"/>
        <v>Milk</v>
      </c>
      <c r="F299" t="str">
        <f t="shared" si="9"/>
        <v>Dairy</v>
      </c>
      <c r="G299" s="3">
        <v>9.99</v>
      </c>
      <c r="H299" t="s">
        <v>992</v>
      </c>
      <c r="I299" s="2" t="s">
        <v>993</v>
      </c>
    </row>
    <row r="300" spans="1:12" x14ac:dyDescent="0.25">
      <c r="A300" t="s">
        <v>994</v>
      </c>
      <c r="B300" t="s">
        <v>995</v>
      </c>
      <c r="C300" t="s">
        <v>996</v>
      </c>
      <c r="D300" t="str" cm="1">
        <f t="array" ref="D300">_xlfn.TEXTJOIN("", TRUE, IF(ISNUMBER(SEARCH($K$1379:$K$1423, C300)), $K$1379:$K$1423, ""))</f>
        <v>Horizon Organic</v>
      </c>
      <c r="E300" t="str">
        <f t="shared" si="8"/>
        <v>Milk</v>
      </c>
      <c r="F300" t="str">
        <f t="shared" si="9"/>
        <v>Dairy</v>
      </c>
      <c r="G300" s="3">
        <v>6.39</v>
      </c>
      <c r="H300" t="s">
        <v>973</v>
      </c>
      <c r="I300" s="2" t="s">
        <v>918</v>
      </c>
    </row>
    <row r="301" spans="1:12" x14ac:dyDescent="0.25">
      <c r="A301" t="s">
        <v>997</v>
      </c>
      <c r="B301" t="s">
        <v>998</v>
      </c>
      <c r="C301" t="s">
        <v>999</v>
      </c>
      <c r="D301" t="str" cm="1">
        <f t="array" ref="D301">_xlfn.TEXTJOIN("", TRUE, IF(ISNUMBER(SEARCH($K$1379:$K$1423, C301)), $K$1379:$K$1423, ""))</f>
        <v>Horizon Organic</v>
      </c>
      <c r="E301" t="str">
        <f t="shared" si="8"/>
        <v>Milk</v>
      </c>
      <c r="F301" t="str">
        <f t="shared" si="9"/>
        <v>Dairy</v>
      </c>
      <c r="G301" s="3">
        <v>15.99</v>
      </c>
      <c r="H301" t="s">
        <v>1000</v>
      </c>
      <c r="I301" s="2" t="s">
        <v>83</v>
      </c>
    </row>
    <row r="302" spans="1:12" x14ac:dyDescent="0.25">
      <c r="A302" t="s">
        <v>1001</v>
      </c>
      <c r="B302" t="s">
        <v>1002</v>
      </c>
      <c r="C302" t="s">
        <v>1003</v>
      </c>
      <c r="D302" t="str" cm="1">
        <f t="array" ref="D302">_xlfn.TEXTJOIN("", TRUE, IF(ISNUMBER(SEARCH($K$1379:$K$1423, C302)), $K$1379:$K$1423, ""))</f>
        <v>Horizon Organic</v>
      </c>
      <c r="E302" t="str">
        <f t="shared" si="8"/>
        <v>Milk</v>
      </c>
      <c r="F302" t="str">
        <f t="shared" si="9"/>
        <v>Dairy</v>
      </c>
      <c r="G302" s="3">
        <v>9.49</v>
      </c>
      <c r="H302" t="s">
        <v>1000</v>
      </c>
      <c r="I302" s="2" t="s">
        <v>490</v>
      </c>
    </row>
    <row r="303" spans="1:12" x14ac:dyDescent="0.25">
      <c r="A303" t="s">
        <v>1004</v>
      </c>
      <c r="B303" t="s">
        <v>1005</v>
      </c>
      <c r="C303" t="s">
        <v>1006</v>
      </c>
      <c r="D303" t="str" cm="1">
        <f t="array" ref="D303">_xlfn.TEXTJOIN("", TRUE, IF(ISNUMBER(SEARCH($K$1379:$K$1423, C303)), $K$1379:$K$1423, ""))</f>
        <v>Horizon Organic</v>
      </c>
      <c r="E303" t="str">
        <f t="shared" si="8"/>
        <v>Milk</v>
      </c>
      <c r="F303" t="str">
        <f t="shared" si="9"/>
        <v>Dairy</v>
      </c>
      <c r="G303" s="3">
        <v>15.99</v>
      </c>
      <c r="H303" t="s">
        <v>1007</v>
      </c>
      <c r="I303" s="2" t="s">
        <v>83</v>
      </c>
    </row>
    <row r="304" spans="1:12" x14ac:dyDescent="0.25">
      <c r="A304" t="s">
        <v>1008</v>
      </c>
      <c r="B304" t="s">
        <v>1009</v>
      </c>
      <c r="C304" t="s">
        <v>1010</v>
      </c>
      <c r="D304" t="str" cm="1">
        <f t="array" ref="D304">_xlfn.TEXTJOIN("", TRUE, IF(ISNUMBER(SEARCH($K$1379:$K$1423, C304)), $K$1379:$K$1423, ""))</f>
        <v>Horizon Organic</v>
      </c>
      <c r="E304" t="str">
        <f t="shared" si="8"/>
        <v>Milk</v>
      </c>
      <c r="F304" t="str">
        <f t="shared" si="9"/>
        <v>Dairy</v>
      </c>
      <c r="G304" s="3">
        <v>9.49</v>
      </c>
      <c r="H304" t="s">
        <v>1007</v>
      </c>
      <c r="I304" s="2" t="s">
        <v>490</v>
      </c>
    </row>
    <row r="305" spans="1:12" x14ac:dyDescent="0.25">
      <c r="A305" t="s">
        <v>1011</v>
      </c>
      <c r="B305" t="s">
        <v>1012</v>
      </c>
      <c r="C305" t="s">
        <v>1013</v>
      </c>
      <c r="D305" t="str" cm="1">
        <f t="array" ref="D305">_xlfn.TEXTJOIN("", TRUE, IF(ISNUMBER(SEARCH($K$1379:$K$1423, C305)), $K$1379:$K$1423, ""))</f>
        <v>Horizon Organic</v>
      </c>
      <c r="E305" t="str">
        <f t="shared" si="8"/>
        <v>Milk</v>
      </c>
      <c r="F305" t="str">
        <f t="shared" si="9"/>
        <v>Dairy</v>
      </c>
      <c r="G305" s="3">
        <v>15.99</v>
      </c>
      <c r="H305" t="s">
        <v>1007</v>
      </c>
      <c r="I305" s="2" t="s">
        <v>83</v>
      </c>
    </row>
    <row r="306" spans="1:12" x14ac:dyDescent="0.25">
      <c r="A306" t="s">
        <v>1014</v>
      </c>
      <c r="B306" t="s">
        <v>1015</v>
      </c>
      <c r="C306" t="s">
        <v>1016</v>
      </c>
      <c r="D306" t="str" cm="1">
        <f t="array" ref="D306">_xlfn.TEXTJOIN("", TRUE, IF(ISNUMBER(SEARCH($K$1379:$K$1423, C306)), $K$1379:$K$1423, ""))</f>
        <v>Horizon Organic</v>
      </c>
      <c r="E306" t="str">
        <f t="shared" si="8"/>
        <v>Milk</v>
      </c>
      <c r="F306" t="str">
        <f t="shared" si="9"/>
        <v>Dairy</v>
      </c>
      <c r="G306" s="3">
        <v>9.49</v>
      </c>
      <c r="H306" t="s">
        <v>1007</v>
      </c>
      <c r="I306" s="2" t="s">
        <v>490</v>
      </c>
    </row>
    <row r="307" spans="1:12" x14ac:dyDescent="0.25">
      <c r="A307" t="s">
        <v>1017</v>
      </c>
      <c r="B307" t="s">
        <v>1018</v>
      </c>
      <c r="C307" t="s">
        <v>1019</v>
      </c>
      <c r="D307" t="str" cm="1">
        <f t="array" ref="D307">_xlfn.TEXTJOIN("", TRUE, IF(ISNUMBER(SEARCH($K$1379:$K$1423, C307)), $K$1379:$K$1423, ""))</f>
        <v>Horizon Organic</v>
      </c>
      <c r="E307" t="str">
        <f t="shared" si="8"/>
        <v>Milk</v>
      </c>
      <c r="F307" t="str">
        <f t="shared" si="9"/>
        <v>Dairy</v>
      </c>
      <c r="G307" s="3">
        <v>9.49</v>
      </c>
      <c r="H307" t="s">
        <v>1000</v>
      </c>
      <c r="I307" s="2" t="s">
        <v>490</v>
      </c>
      <c r="L307" s="1"/>
    </row>
    <row r="308" spans="1:12" x14ac:dyDescent="0.25">
      <c r="A308" t="s">
        <v>1020</v>
      </c>
      <c r="B308" t="s">
        <v>1021</v>
      </c>
      <c r="C308" t="s">
        <v>1022</v>
      </c>
      <c r="D308" t="str" cm="1">
        <f t="array" ref="D308">_xlfn.TEXTJOIN("", TRUE, IF(ISNUMBER(SEARCH($K$1379:$K$1423, C308)), $K$1379:$K$1423, ""))</f>
        <v>Horizon Organic</v>
      </c>
      <c r="E308" t="str">
        <f t="shared" si="8"/>
        <v>Milk</v>
      </c>
      <c r="F308" t="str">
        <f t="shared" si="9"/>
        <v>Dairy</v>
      </c>
      <c r="G308" s="3">
        <v>15.99</v>
      </c>
      <c r="H308" t="s">
        <v>1007</v>
      </c>
      <c r="I308" s="2" t="s">
        <v>83</v>
      </c>
    </row>
    <row r="309" spans="1:12" x14ac:dyDescent="0.25">
      <c r="A309" t="s">
        <v>1023</v>
      </c>
      <c r="B309" t="s">
        <v>1024</v>
      </c>
      <c r="C309" t="s">
        <v>1025</v>
      </c>
      <c r="D309" t="str" cm="1">
        <f t="array" ref="D309">_xlfn.TEXTJOIN("", TRUE, IF(ISNUMBER(SEARCH($K$1379:$K$1423, C309)), $K$1379:$K$1423, ""))</f>
        <v>Hunt's</v>
      </c>
      <c r="E309" t="str">
        <f t="shared" si="8"/>
        <v>Canned Vegetables</v>
      </c>
      <c r="F309" t="str">
        <f t="shared" si="9"/>
        <v>Fruit &amp; Vegetables</v>
      </c>
      <c r="G309" s="3">
        <v>1.59</v>
      </c>
      <c r="H309" t="s">
        <v>863</v>
      </c>
      <c r="I309" s="2" t="s">
        <v>436</v>
      </c>
    </row>
    <row r="310" spans="1:12" x14ac:dyDescent="0.25">
      <c r="A310" t="s">
        <v>1027</v>
      </c>
      <c r="B310" t="s">
        <v>1028</v>
      </c>
      <c r="C310" t="s">
        <v>1025</v>
      </c>
      <c r="D310" t="str" cm="1">
        <f t="array" ref="D310">_xlfn.TEXTJOIN("", TRUE, IF(ISNUMBER(SEARCH($K$1379:$K$1423, C310)), $K$1379:$K$1423, ""))</f>
        <v>Hunt's</v>
      </c>
      <c r="E310" t="str">
        <f t="shared" si="8"/>
        <v>Canned Vegetables</v>
      </c>
      <c r="F310" t="str">
        <f t="shared" si="9"/>
        <v>Fruit &amp; Vegetables</v>
      </c>
      <c r="G310" s="3">
        <v>2.79</v>
      </c>
      <c r="H310" t="s">
        <v>878</v>
      </c>
      <c r="I310" s="2" t="s">
        <v>1029</v>
      </c>
    </row>
    <row r="311" spans="1:12" x14ac:dyDescent="0.25">
      <c r="A311" t="s">
        <v>1030</v>
      </c>
      <c r="B311" t="s">
        <v>1031</v>
      </c>
      <c r="C311" t="s">
        <v>1032</v>
      </c>
      <c r="D311" t="str" cm="1">
        <f t="array" ref="D311">_xlfn.TEXTJOIN("", TRUE, IF(ISNUMBER(SEARCH($K$1379:$K$1423, C311)), $K$1379:$K$1423, ""))</f>
        <v>Hunt's</v>
      </c>
      <c r="E311" t="str">
        <f t="shared" si="8"/>
        <v>Canned Vegetables</v>
      </c>
      <c r="F311" t="str">
        <f t="shared" si="9"/>
        <v>Fruit &amp; Vegetables</v>
      </c>
      <c r="G311" s="3">
        <v>1.39</v>
      </c>
      <c r="H311" t="s">
        <v>1033</v>
      </c>
      <c r="I311" s="2" t="s">
        <v>1034</v>
      </c>
    </row>
    <row r="312" spans="1:12" x14ac:dyDescent="0.25">
      <c r="A312" t="s">
        <v>1035</v>
      </c>
      <c r="B312" t="s">
        <v>1036</v>
      </c>
      <c r="C312" t="s">
        <v>1025</v>
      </c>
      <c r="D312" t="str" cm="1">
        <f t="array" ref="D312">_xlfn.TEXTJOIN("", TRUE, IF(ISNUMBER(SEARCH($K$1379:$K$1423, C312)), $K$1379:$K$1423, ""))</f>
        <v>Hunt's</v>
      </c>
      <c r="E312" t="str">
        <f t="shared" si="8"/>
        <v>Canned Vegetables</v>
      </c>
      <c r="F312" t="str">
        <f t="shared" si="9"/>
        <v>Fruit &amp; Vegetables</v>
      </c>
      <c r="G312" s="3">
        <v>1.0900000000000001</v>
      </c>
      <c r="H312" t="s">
        <v>1037</v>
      </c>
      <c r="I312" s="2" t="s">
        <v>446</v>
      </c>
    </row>
    <row r="313" spans="1:12" x14ac:dyDescent="0.25">
      <c r="A313" t="s">
        <v>1038</v>
      </c>
      <c r="B313" t="s">
        <v>1039</v>
      </c>
      <c r="C313" t="s">
        <v>1032</v>
      </c>
      <c r="D313" t="str" cm="1">
        <f t="array" ref="D313">_xlfn.TEXTJOIN("", TRUE, IF(ISNUMBER(SEARCH($K$1379:$K$1423, C313)), $K$1379:$K$1423, ""))</f>
        <v>Hunt's</v>
      </c>
      <c r="E313" t="str">
        <f t="shared" si="8"/>
        <v>Canned Vegetables</v>
      </c>
      <c r="F313" t="str">
        <f t="shared" si="9"/>
        <v>Fruit &amp; Vegetables</v>
      </c>
      <c r="G313" s="3">
        <v>2.19</v>
      </c>
      <c r="H313" t="s">
        <v>1040</v>
      </c>
      <c r="I313" s="2" t="s">
        <v>13</v>
      </c>
    </row>
    <row r="314" spans="1:12" x14ac:dyDescent="0.25">
      <c r="A314" t="s">
        <v>1041</v>
      </c>
      <c r="B314" t="s">
        <v>1042</v>
      </c>
      <c r="C314" t="s">
        <v>1043</v>
      </c>
      <c r="D314" t="str" cm="1">
        <f t="array" ref="D314">_xlfn.TEXTJOIN("", TRUE, IF(ISNUMBER(SEARCH($K$1379:$K$1423, C314)), $K$1379:$K$1423, ""))</f>
        <v>Hunt's</v>
      </c>
      <c r="E314" t="str">
        <f t="shared" si="8"/>
        <v>Canned Vegetables</v>
      </c>
      <c r="F314" t="str">
        <f t="shared" si="9"/>
        <v>Fruit &amp; Vegetables</v>
      </c>
      <c r="G314" s="3">
        <v>1.0900000000000001</v>
      </c>
      <c r="H314" t="s">
        <v>1037</v>
      </c>
      <c r="I314" s="2" t="s">
        <v>446</v>
      </c>
    </row>
    <row r="315" spans="1:12" x14ac:dyDescent="0.25">
      <c r="A315" t="s">
        <v>1044</v>
      </c>
      <c r="B315" t="s">
        <v>1045</v>
      </c>
      <c r="C315" t="s">
        <v>1046</v>
      </c>
      <c r="D315" t="str" cm="1">
        <f t="array" ref="D315">_xlfn.TEXTJOIN("", TRUE, IF(ISNUMBER(SEARCH($K$1379:$K$1423, C315)), $K$1379:$K$1423, ""))</f>
        <v>Hunt's</v>
      </c>
      <c r="E315" t="str">
        <f t="shared" si="8"/>
        <v>Canned Vegetables</v>
      </c>
      <c r="F315" t="str">
        <f t="shared" si="9"/>
        <v>Fruit &amp; Vegetables</v>
      </c>
      <c r="G315" s="3">
        <v>1.59</v>
      </c>
      <c r="H315" t="s">
        <v>863</v>
      </c>
      <c r="I315" s="2" t="s">
        <v>436</v>
      </c>
    </row>
    <row r="316" spans="1:12" x14ac:dyDescent="0.25">
      <c r="A316" t="s">
        <v>1047</v>
      </c>
      <c r="B316" t="s">
        <v>1048</v>
      </c>
      <c r="C316" t="s">
        <v>1046</v>
      </c>
      <c r="D316" t="str" cm="1">
        <f t="array" ref="D316">_xlfn.TEXTJOIN("", TRUE, IF(ISNUMBER(SEARCH($K$1379:$K$1423, C316)), $K$1379:$K$1423, ""))</f>
        <v>Hunt's</v>
      </c>
      <c r="E316" t="str">
        <f t="shared" si="8"/>
        <v>Canned Vegetables</v>
      </c>
      <c r="F316" t="str">
        <f t="shared" si="9"/>
        <v>Fruit &amp; Vegetables</v>
      </c>
      <c r="G316" s="3">
        <v>1.0900000000000001</v>
      </c>
      <c r="H316" t="s">
        <v>1037</v>
      </c>
      <c r="I316" s="2" t="s">
        <v>446</v>
      </c>
      <c r="L316" s="1"/>
    </row>
    <row r="317" spans="1:12" x14ac:dyDescent="0.25">
      <c r="A317" t="s">
        <v>1049</v>
      </c>
      <c r="B317" t="s">
        <v>1050</v>
      </c>
      <c r="C317" t="s">
        <v>1051</v>
      </c>
      <c r="D317" t="str" cm="1">
        <f t="array" ref="D317">_xlfn.TEXTJOIN("", TRUE, IF(ISNUMBER(SEARCH($K$1379:$K$1423, C317)), $K$1379:$K$1423, ""))</f>
        <v>Hunt's</v>
      </c>
      <c r="E317" t="str">
        <f t="shared" si="8"/>
        <v>Canned Vegetables</v>
      </c>
      <c r="F317" t="str">
        <f t="shared" si="9"/>
        <v>Fruit &amp; Vegetables</v>
      </c>
      <c r="G317" s="3">
        <v>1.39</v>
      </c>
      <c r="H317" t="s">
        <v>1033</v>
      </c>
      <c r="I317" s="2" t="s">
        <v>1034</v>
      </c>
      <c r="L317" s="1"/>
    </row>
    <row r="318" spans="1:12" x14ac:dyDescent="0.25">
      <c r="A318" t="s">
        <v>1052</v>
      </c>
      <c r="B318" t="s">
        <v>1053</v>
      </c>
      <c r="C318" t="s">
        <v>1032</v>
      </c>
      <c r="D318" t="str" cm="1">
        <f t="array" ref="D318">_xlfn.TEXTJOIN("", TRUE, IF(ISNUMBER(SEARCH($K$1379:$K$1423, C318)), $K$1379:$K$1423, ""))</f>
        <v>Hunt's</v>
      </c>
      <c r="E318" t="str">
        <f t="shared" si="8"/>
        <v>Canned Vegetables</v>
      </c>
      <c r="F318" t="str">
        <f t="shared" si="9"/>
        <v>Fruit &amp; Vegetables</v>
      </c>
      <c r="G318" s="3">
        <v>3.19</v>
      </c>
      <c r="H318" t="s">
        <v>1054</v>
      </c>
      <c r="I318" s="2" t="s">
        <v>13</v>
      </c>
    </row>
    <row r="319" spans="1:12" x14ac:dyDescent="0.25">
      <c r="A319" t="s">
        <v>1055</v>
      </c>
      <c r="B319" t="s">
        <v>1056</v>
      </c>
      <c r="C319" t="s">
        <v>1057</v>
      </c>
      <c r="D319" t="str" cm="1">
        <f t="array" ref="D319">_xlfn.TEXTJOIN("", TRUE, IF(ISNUMBER(SEARCH($K$1379:$K$1423, C319)), $K$1379:$K$1423, ""))</f>
        <v>Hunt's</v>
      </c>
      <c r="E319" t="str">
        <f t="shared" si="8"/>
        <v>Canned Vegetables</v>
      </c>
      <c r="F319" t="str">
        <f t="shared" si="9"/>
        <v>Fruit &amp; Vegetables</v>
      </c>
      <c r="G319" s="3">
        <v>1.39</v>
      </c>
      <c r="H319" t="s">
        <v>1033</v>
      </c>
      <c r="I319" s="2" t="s">
        <v>1034</v>
      </c>
    </row>
    <row r="320" spans="1:12" x14ac:dyDescent="0.25">
      <c r="A320" t="s">
        <v>1058</v>
      </c>
      <c r="B320" t="s">
        <v>1059</v>
      </c>
      <c r="C320" t="s">
        <v>1060</v>
      </c>
      <c r="D320" t="str" cm="1">
        <f t="array" ref="D320">_xlfn.TEXTJOIN("", TRUE, IF(ISNUMBER(SEARCH($K$1379:$K$1423, C320)), $K$1379:$K$1423, ""))</f>
        <v>Hunt's</v>
      </c>
      <c r="E320" t="str">
        <f t="shared" si="8"/>
        <v>Canned Vegetables</v>
      </c>
      <c r="F320" t="str">
        <f t="shared" si="9"/>
        <v>Fruit &amp; Vegetables</v>
      </c>
      <c r="G320" s="3">
        <v>2.79</v>
      </c>
      <c r="H320" t="s">
        <v>878</v>
      </c>
      <c r="I320" s="2" t="s">
        <v>1029</v>
      </c>
      <c r="L320" s="1"/>
    </row>
    <row r="321" spans="1:10" x14ac:dyDescent="0.25">
      <c r="A321" t="s">
        <v>1061</v>
      </c>
      <c r="B321" t="s">
        <v>1062</v>
      </c>
      <c r="C321" t="s">
        <v>1063</v>
      </c>
      <c r="D321" t="str" cm="1">
        <f t="array" ref="D321">_xlfn.TEXTJOIN("", TRUE, IF(ISNUMBER(SEARCH($K$1379:$K$1423, C321)), $K$1379:$K$1423, ""))</f>
        <v>Hunt's</v>
      </c>
      <c r="E321" t="str">
        <f t="shared" si="8"/>
        <v>Canned Vegetables</v>
      </c>
      <c r="F321" t="str">
        <f t="shared" si="9"/>
        <v>Fruit &amp; Vegetables</v>
      </c>
      <c r="G321" s="3">
        <v>2.09</v>
      </c>
      <c r="H321" t="s">
        <v>867</v>
      </c>
      <c r="I321" s="2" t="s">
        <v>446</v>
      </c>
      <c r="J321" s="1"/>
    </row>
    <row r="322" spans="1:10" x14ac:dyDescent="0.25">
      <c r="A322" t="s">
        <v>1064</v>
      </c>
      <c r="B322" t="s">
        <v>1065</v>
      </c>
      <c r="C322" t="s">
        <v>1066</v>
      </c>
      <c r="D322" t="str" cm="1">
        <f t="array" ref="D322">_xlfn.TEXTJOIN("", TRUE, IF(ISNUMBER(SEARCH($K$1379:$K$1423, C322)), $K$1379:$K$1423, ""))</f>
        <v>Hunt's</v>
      </c>
      <c r="E322" t="str">
        <f t="shared" ref="E322:E385" si="10">IF(OR(D322="Mission",D322="Nature's Own",D322="Sara Lee"),"Bread",
IF(OR(D322="Del Monte",D322="Dole",D322="Mott's"),"Canned Fruit",
IF(OR(D322="Goya",D322="Hunt's",D322="Birds Eye"),"Canned Vegetables",
IF(OR(D322="fairlife",D322="Horizon Organic",D322="Lactaid",D322="Ben &amp; Jerry's"),"Milk",
IF(OR(D322="BelGioioso",D322="Kraft",D322="Philadelphia"),"Cheese",
IF(OR(D322="Chobani",D322="Oikos",D322="Dannon Light + Fit"),"Yogurt",
IF(OR(D322="Barilla",D322="Annie's",D322="Rao's Homemade"),"Pasta",
IF(OR(D322="Hershey's",D322="Lay's",D322="Totino's",D322="Cheerios",D322="Jif",D322="Skippy",D322="Nature Valley",D322="OREO",D322="DiGiorno",D322="Eggo"),"Prepared Food",
IF(OR(D322="Ben's Original",D322="Lundberg",D322="Quaker"),"Rice",
IF(OR(D322="Bush's",D322="Hillshire Farm",D322="Oscar Mayer",D322="SPAM"),"Protein",
IF(OR(D322="Starbucks",D322="Sparkling Ice",D322="Coca-Cola",D322="San Pellegrino",D322="Gatorade",D322="Arizona"),"Beverages",
"Other")))))))))))</f>
        <v>Canned Vegetables</v>
      </c>
      <c r="F322" t="str">
        <f t="shared" ref="F322:F385" si="11">IF(OR(E322="Bread",E322="Rice",E322="Pasta"), "Grain",
IF(OR(E322="Milk",E322="Cheese",E322="Yogurt"), "Dairy",
IF(OR(E322="Canned Fruit",E322="Canned Vegetables"), "Fruit &amp; Vegetables",
IF(E322="Prepared Food", "Prepared Food",
IF(E322="Protein", "Protein",
IF(E322="Beverages", "Beverages",
"Other"))))))</f>
        <v>Fruit &amp; Vegetables</v>
      </c>
      <c r="G322" s="3">
        <v>2.09</v>
      </c>
      <c r="H322" t="s">
        <v>867</v>
      </c>
      <c r="I322" s="2" t="s">
        <v>446</v>
      </c>
      <c r="J322" s="1"/>
    </row>
    <row r="323" spans="1:10" x14ac:dyDescent="0.25">
      <c r="A323" t="s">
        <v>1067</v>
      </c>
      <c r="B323" t="s">
        <v>1068</v>
      </c>
      <c r="C323" t="s">
        <v>1069</v>
      </c>
      <c r="D323" t="str" cm="1">
        <f t="array" ref="D323">_xlfn.TEXTJOIN("", TRUE, IF(ISNUMBER(SEARCH($K$1379:$K$1423, C323)), $K$1379:$K$1423, ""))</f>
        <v>Hunt's</v>
      </c>
      <c r="E323" t="str">
        <f t="shared" si="10"/>
        <v>Canned Vegetables</v>
      </c>
      <c r="F323" t="str">
        <f t="shared" si="11"/>
        <v>Fruit &amp; Vegetables</v>
      </c>
      <c r="G323" s="3">
        <v>2.09</v>
      </c>
      <c r="H323" t="s">
        <v>867</v>
      </c>
      <c r="I323" s="2" t="s">
        <v>446</v>
      </c>
      <c r="J323" s="1"/>
    </row>
    <row r="324" spans="1:10" x14ac:dyDescent="0.25">
      <c r="A324" t="s">
        <v>1070</v>
      </c>
      <c r="B324" t="s">
        <v>1071</v>
      </c>
      <c r="C324" t="s">
        <v>1072</v>
      </c>
      <c r="D324" t="str" cm="1">
        <f t="array" ref="D324">_xlfn.TEXTJOIN("", TRUE, IF(ISNUMBER(SEARCH($K$1379:$K$1423, C324)), $K$1379:$K$1423, ""))</f>
        <v>Hunt's</v>
      </c>
      <c r="E324" t="str">
        <f t="shared" si="10"/>
        <v>Canned Vegetables</v>
      </c>
      <c r="F324" t="str">
        <f t="shared" si="11"/>
        <v>Fruit &amp; Vegetables</v>
      </c>
      <c r="G324" s="3">
        <v>2.09</v>
      </c>
      <c r="H324" t="s">
        <v>863</v>
      </c>
      <c r="I324" s="2" t="s">
        <v>446</v>
      </c>
      <c r="J324" s="1"/>
    </row>
    <row r="325" spans="1:10" x14ac:dyDescent="0.25">
      <c r="A325" t="s">
        <v>1073</v>
      </c>
      <c r="B325" t="s">
        <v>1074</v>
      </c>
      <c r="C325" t="s">
        <v>1075</v>
      </c>
      <c r="D325" t="str" cm="1">
        <f t="array" ref="D325">_xlfn.TEXTJOIN("", TRUE, IF(ISNUMBER(SEARCH($K$1379:$K$1423, C325)), $K$1379:$K$1423, ""))</f>
        <v>Hunt's</v>
      </c>
      <c r="E325" t="str">
        <f t="shared" si="10"/>
        <v>Canned Vegetables</v>
      </c>
      <c r="F325" t="str">
        <f t="shared" si="11"/>
        <v>Fruit &amp; Vegetables</v>
      </c>
      <c r="G325" s="3">
        <v>2.09</v>
      </c>
      <c r="H325" t="s">
        <v>867</v>
      </c>
      <c r="I325" s="2" t="s">
        <v>446</v>
      </c>
      <c r="J325" s="1"/>
    </row>
    <row r="326" spans="1:10" x14ac:dyDescent="0.25">
      <c r="A326" t="s">
        <v>1076</v>
      </c>
      <c r="B326" t="s">
        <v>1077</v>
      </c>
      <c r="C326" t="s">
        <v>1078</v>
      </c>
      <c r="D326" t="str" cm="1">
        <f t="array" ref="D326">_xlfn.TEXTJOIN("", TRUE, IF(ISNUMBER(SEARCH($K$1379:$K$1423, C326)), $K$1379:$K$1423, ""))</f>
        <v>Hunt's</v>
      </c>
      <c r="E326" t="str">
        <f t="shared" si="10"/>
        <v>Canned Vegetables</v>
      </c>
      <c r="F326" t="str">
        <f t="shared" si="11"/>
        <v>Fruit &amp; Vegetables</v>
      </c>
      <c r="G326" s="3">
        <v>2.09</v>
      </c>
      <c r="H326" t="s">
        <v>867</v>
      </c>
      <c r="I326" s="2" t="s">
        <v>446</v>
      </c>
      <c r="J326" s="1"/>
    </row>
    <row r="327" spans="1:10" x14ac:dyDescent="0.25">
      <c r="A327" t="s">
        <v>1079</v>
      </c>
      <c r="B327" t="s">
        <v>1080</v>
      </c>
      <c r="C327" t="s">
        <v>1081</v>
      </c>
      <c r="D327" t="str" cm="1">
        <f t="array" ref="D327">_xlfn.TEXTJOIN("", TRUE, IF(ISNUMBER(SEARCH($K$1379:$K$1423, C327)), $K$1379:$K$1423, ""))</f>
        <v>Hunt's</v>
      </c>
      <c r="E327" t="str">
        <f t="shared" si="10"/>
        <v>Canned Vegetables</v>
      </c>
      <c r="F327" t="str">
        <f t="shared" si="11"/>
        <v>Fruit &amp; Vegetables</v>
      </c>
      <c r="G327" s="3">
        <v>2.09</v>
      </c>
      <c r="H327" t="s">
        <v>867</v>
      </c>
      <c r="I327" s="2" t="s">
        <v>446</v>
      </c>
      <c r="J327" s="1"/>
    </row>
    <row r="328" spans="1:10" x14ac:dyDescent="0.25">
      <c r="A328" t="s">
        <v>1082</v>
      </c>
      <c r="B328" t="s">
        <v>1083</v>
      </c>
      <c r="C328" t="s">
        <v>1084</v>
      </c>
      <c r="D328" t="str" cm="1">
        <f t="array" ref="D328">_xlfn.TEXTJOIN("", TRUE, IF(ISNUMBER(SEARCH($K$1379:$K$1423, C328)), $K$1379:$K$1423, ""))</f>
        <v>Hunt's</v>
      </c>
      <c r="E328" t="str">
        <f t="shared" si="10"/>
        <v>Canned Vegetables</v>
      </c>
      <c r="F328" t="str">
        <f t="shared" si="11"/>
        <v>Fruit &amp; Vegetables</v>
      </c>
      <c r="G328" s="3">
        <v>2.09</v>
      </c>
      <c r="H328" t="s">
        <v>867</v>
      </c>
      <c r="I328" s="2" t="s">
        <v>446</v>
      </c>
      <c r="J328" s="1"/>
    </row>
    <row r="329" spans="1:10" x14ac:dyDescent="0.25">
      <c r="A329" t="s">
        <v>1085</v>
      </c>
      <c r="B329" t="s">
        <v>1086</v>
      </c>
      <c r="C329" t="s">
        <v>1072</v>
      </c>
      <c r="D329" t="str" cm="1">
        <f t="array" ref="D329">_xlfn.TEXTJOIN("", TRUE, IF(ISNUMBER(SEARCH($K$1379:$K$1423, C329)), $K$1379:$K$1423, ""))</f>
        <v>Hunt's</v>
      </c>
      <c r="E329" t="str">
        <f t="shared" si="10"/>
        <v>Canned Vegetables</v>
      </c>
      <c r="F329" t="str">
        <f t="shared" si="11"/>
        <v>Fruit &amp; Vegetables</v>
      </c>
      <c r="G329" s="3">
        <v>2.79</v>
      </c>
      <c r="H329" t="s">
        <v>428</v>
      </c>
      <c r="I329" s="2" t="s">
        <v>1029</v>
      </c>
      <c r="J329" s="1"/>
    </row>
    <row r="330" spans="1:10" x14ac:dyDescent="0.25">
      <c r="A330" t="s">
        <v>1087</v>
      </c>
      <c r="B330" t="s">
        <v>1088</v>
      </c>
      <c r="C330" t="s">
        <v>1063</v>
      </c>
      <c r="D330" t="str" cm="1">
        <f t="array" ref="D330">_xlfn.TEXTJOIN("", TRUE, IF(ISNUMBER(SEARCH($K$1379:$K$1423, C330)), $K$1379:$K$1423, ""))</f>
        <v>Hunt's</v>
      </c>
      <c r="E330" t="str">
        <f t="shared" si="10"/>
        <v>Canned Vegetables</v>
      </c>
      <c r="F330" t="str">
        <f t="shared" si="11"/>
        <v>Fruit &amp; Vegetables</v>
      </c>
      <c r="G330" s="3">
        <v>2.79</v>
      </c>
      <c r="H330" t="s">
        <v>428</v>
      </c>
      <c r="I330" s="2" t="s">
        <v>1029</v>
      </c>
    </row>
    <row r="331" spans="1:10" x14ac:dyDescent="0.25">
      <c r="A331" t="s">
        <v>1089</v>
      </c>
      <c r="B331" t="s">
        <v>1090</v>
      </c>
      <c r="C331" t="s">
        <v>1091</v>
      </c>
      <c r="D331" t="str" cm="1">
        <f t="array" ref="D331">_xlfn.TEXTJOIN("", TRUE, IF(ISNUMBER(SEARCH($K$1379:$K$1423, C331)), $K$1379:$K$1423, ""))</f>
        <v>Hunt's</v>
      </c>
      <c r="E331" t="str">
        <f t="shared" si="10"/>
        <v>Canned Vegetables</v>
      </c>
      <c r="F331" t="str">
        <f t="shared" si="11"/>
        <v>Fruit &amp; Vegetables</v>
      </c>
      <c r="G331" s="3">
        <v>2.09</v>
      </c>
      <c r="H331" t="s">
        <v>867</v>
      </c>
      <c r="I331" s="2" t="s">
        <v>446</v>
      </c>
    </row>
    <row r="332" spans="1:10" x14ac:dyDescent="0.25">
      <c r="A332" t="s">
        <v>1092</v>
      </c>
      <c r="B332" t="s">
        <v>1093</v>
      </c>
      <c r="C332" t="s">
        <v>1094</v>
      </c>
      <c r="D332" t="str" cm="1">
        <f t="array" ref="D332">_xlfn.TEXTJOIN("", TRUE, IF(ISNUMBER(SEARCH($K$1379:$K$1423, C332)), $K$1379:$K$1423, ""))</f>
        <v>Hunt's</v>
      </c>
      <c r="E332" t="str">
        <f t="shared" si="10"/>
        <v>Canned Vegetables</v>
      </c>
      <c r="F332" t="str">
        <f t="shared" si="11"/>
        <v>Fruit &amp; Vegetables</v>
      </c>
      <c r="G332" s="3">
        <v>2.09</v>
      </c>
      <c r="H332" t="s">
        <v>867</v>
      </c>
      <c r="I332" s="2" t="s">
        <v>446</v>
      </c>
    </row>
    <row r="333" spans="1:10" x14ac:dyDescent="0.25">
      <c r="A333" t="s">
        <v>1095</v>
      </c>
      <c r="B333" t="s">
        <v>1096</v>
      </c>
      <c r="C333" t="s">
        <v>1097</v>
      </c>
      <c r="D333" t="str" cm="1">
        <f t="array" ref="D333">_xlfn.TEXTJOIN("", TRUE, IF(ISNUMBER(SEARCH($K$1379:$K$1423, C333)), $K$1379:$K$1423, ""))</f>
        <v>Hunt's</v>
      </c>
      <c r="E333" t="str">
        <f t="shared" si="10"/>
        <v>Canned Vegetables</v>
      </c>
      <c r="F333" t="str">
        <f t="shared" si="11"/>
        <v>Fruit &amp; Vegetables</v>
      </c>
      <c r="G333" s="3">
        <v>2.79</v>
      </c>
      <c r="H333" t="s">
        <v>428</v>
      </c>
      <c r="I333" s="2" t="s">
        <v>1029</v>
      </c>
    </row>
    <row r="334" spans="1:10" x14ac:dyDescent="0.25">
      <c r="A334" t="s">
        <v>1098</v>
      </c>
      <c r="B334" t="s">
        <v>1099</v>
      </c>
      <c r="C334" t="s">
        <v>1100</v>
      </c>
      <c r="D334" t="str" cm="1">
        <f t="array" ref="D334">_xlfn.TEXTJOIN("", TRUE, IF(ISNUMBER(SEARCH($K$1379:$K$1423, C334)), $K$1379:$K$1423, ""))</f>
        <v>Jif</v>
      </c>
      <c r="E334" t="str">
        <f t="shared" si="10"/>
        <v>Prepared Food</v>
      </c>
      <c r="F334" t="str">
        <f t="shared" si="11"/>
        <v>Prepared Food</v>
      </c>
      <c r="G334" s="3">
        <v>3.49</v>
      </c>
      <c r="H334" t="s">
        <v>1102</v>
      </c>
      <c r="I334" s="2" t="s">
        <v>18</v>
      </c>
    </row>
    <row r="335" spans="1:10" x14ac:dyDescent="0.25">
      <c r="A335" t="s">
        <v>1103</v>
      </c>
      <c r="B335" t="s">
        <v>1104</v>
      </c>
      <c r="C335" t="s">
        <v>1100</v>
      </c>
      <c r="D335" t="str" cm="1">
        <f t="array" ref="D335">_xlfn.TEXTJOIN("", TRUE, IF(ISNUMBER(SEARCH($K$1379:$K$1423, C335)), $K$1379:$K$1423, ""))</f>
        <v>Jif</v>
      </c>
      <c r="E335" t="str">
        <f t="shared" si="10"/>
        <v>Prepared Food</v>
      </c>
      <c r="F335" t="str">
        <f t="shared" si="11"/>
        <v>Prepared Food</v>
      </c>
      <c r="G335" s="3">
        <v>5.49</v>
      </c>
      <c r="H335" t="s">
        <v>1105</v>
      </c>
      <c r="I335" s="2" t="s">
        <v>490</v>
      </c>
    </row>
    <row r="336" spans="1:10" x14ac:dyDescent="0.25">
      <c r="A336" t="s">
        <v>1106</v>
      </c>
      <c r="B336" t="s">
        <v>1107</v>
      </c>
      <c r="C336" t="s">
        <v>1108</v>
      </c>
      <c r="D336" t="str" cm="1">
        <f t="array" ref="D336">_xlfn.TEXTJOIN("", TRUE, IF(ISNUMBER(SEARCH($K$1379:$K$1423, C336)), $K$1379:$K$1423, ""))</f>
        <v>Jif</v>
      </c>
      <c r="E336" t="str">
        <f t="shared" si="10"/>
        <v>Prepared Food</v>
      </c>
      <c r="F336" t="str">
        <f t="shared" si="11"/>
        <v>Prepared Food</v>
      </c>
      <c r="G336" s="3">
        <v>3.49</v>
      </c>
      <c r="H336" t="s">
        <v>1102</v>
      </c>
      <c r="I336" s="2" t="s">
        <v>18</v>
      </c>
    </row>
    <row r="337" spans="1:9" x14ac:dyDescent="0.25">
      <c r="A337" t="s">
        <v>1109</v>
      </c>
      <c r="B337" t="s">
        <v>1110</v>
      </c>
      <c r="C337" t="s">
        <v>1111</v>
      </c>
      <c r="D337" t="str" cm="1">
        <f t="array" ref="D337">_xlfn.TEXTJOIN("", TRUE, IF(ISNUMBER(SEARCH($K$1379:$K$1423, C337)), $K$1379:$K$1423, ""))</f>
        <v>Jif</v>
      </c>
      <c r="E337" t="str">
        <f t="shared" si="10"/>
        <v>Prepared Food</v>
      </c>
      <c r="F337" t="str">
        <f t="shared" si="11"/>
        <v>Prepared Food</v>
      </c>
      <c r="G337" s="3">
        <v>5.49</v>
      </c>
      <c r="H337" t="s">
        <v>1105</v>
      </c>
      <c r="I337" s="2" t="s">
        <v>490</v>
      </c>
    </row>
    <row r="338" spans="1:9" x14ac:dyDescent="0.25">
      <c r="A338" t="s">
        <v>1112</v>
      </c>
      <c r="B338" t="s">
        <v>1113</v>
      </c>
      <c r="C338" t="s">
        <v>1100</v>
      </c>
      <c r="D338" t="str" cm="1">
        <f t="array" ref="D338">_xlfn.TEXTJOIN("", TRUE, IF(ISNUMBER(SEARCH($K$1379:$K$1423, C338)), $K$1379:$K$1423, ""))</f>
        <v>Jif</v>
      </c>
      <c r="E338" t="str">
        <f t="shared" si="10"/>
        <v>Prepared Food</v>
      </c>
      <c r="F338" t="str">
        <f t="shared" si="11"/>
        <v>Prepared Food</v>
      </c>
      <c r="G338" s="3">
        <v>7.49</v>
      </c>
      <c r="H338" t="s">
        <v>1114</v>
      </c>
      <c r="I338" s="2" t="s">
        <v>170</v>
      </c>
    </row>
    <row r="339" spans="1:9" x14ac:dyDescent="0.25">
      <c r="A339" t="s">
        <v>1115</v>
      </c>
      <c r="B339" t="s">
        <v>1116</v>
      </c>
      <c r="C339" t="s">
        <v>1117</v>
      </c>
      <c r="D339" t="str" cm="1">
        <f t="array" ref="D339">_xlfn.TEXTJOIN("", TRUE, IF(ISNUMBER(SEARCH($K$1379:$K$1423, C339)), $K$1379:$K$1423, ""))</f>
        <v>Jif</v>
      </c>
      <c r="E339" t="str">
        <f t="shared" si="10"/>
        <v>Prepared Food</v>
      </c>
      <c r="F339" t="str">
        <f t="shared" si="11"/>
        <v>Prepared Food</v>
      </c>
      <c r="G339" s="3">
        <v>3.59</v>
      </c>
      <c r="H339" t="s">
        <v>177</v>
      </c>
      <c r="I339" s="2" t="s">
        <v>1118</v>
      </c>
    </row>
    <row r="340" spans="1:9" x14ac:dyDescent="0.25">
      <c r="A340" t="s">
        <v>1119</v>
      </c>
      <c r="B340" t="s">
        <v>1120</v>
      </c>
      <c r="C340" t="s">
        <v>1121</v>
      </c>
      <c r="D340" t="str" cm="1">
        <f t="array" ref="D340">_xlfn.TEXTJOIN("", TRUE, IF(ISNUMBER(SEARCH($K$1379:$K$1423, C340)), $K$1379:$K$1423, ""))</f>
        <v>Jif</v>
      </c>
      <c r="E340" t="str">
        <f t="shared" si="10"/>
        <v>Prepared Food</v>
      </c>
      <c r="F340" t="str">
        <f t="shared" si="11"/>
        <v>Prepared Food</v>
      </c>
      <c r="G340" s="3">
        <v>3.49</v>
      </c>
      <c r="H340" t="s">
        <v>1102</v>
      </c>
      <c r="I340" s="2" t="s">
        <v>18</v>
      </c>
    </row>
    <row r="341" spans="1:9" x14ac:dyDescent="0.25">
      <c r="A341" t="s">
        <v>1122</v>
      </c>
      <c r="B341" t="s">
        <v>1123</v>
      </c>
      <c r="C341" t="s">
        <v>1124</v>
      </c>
      <c r="D341" t="str" cm="1">
        <f t="array" ref="D341">_xlfn.TEXTJOIN("", TRUE, IF(ISNUMBER(SEARCH($K$1379:$K$1423, C341)), $K$1379:$K$1423, ""))</f>
        <v>Jif</v>
      </c>
      <c r="E341" t="str">
        <f t="shared" si="10"/>
        <v>Prepared Food</v>
      </c>
      <c r="F341" t="str">
        <f t="shared" si="11"/>
        <v>Prepared Food</v>
      </c>
      <c r="G341" s="3">
        <v>3.49</v>
      </c>
      <c r="H341" t="s">
        <v>1102</v>
      </c>
      <c r="I341" s="2" t="s">
        <v>18</v>
      </c>
    </row>
    <row r="342" spans="1:9" x14ac:dyDescent="0.25">
      <c r="A342" t="s">
        <v>1125</v>
      </c>
      <c r="B342" t="s">
        <v>1126</v>
      </c>
      <c r="C342" t="s">
        <v>1127</v>
      </c>
      <c r="D342" t="str" cm="1">
        <f t="array" ref="D342">_xlfn.TEXTJOIN("", TRUE, IF(ISNUMBER(SEARCH($K$1379:$K$1423, C342)), $K$1379:$K$1423, ""))</f>
        <v>Jif</v>
      </c>
      <c r="E342" t="str">
        <f t="shared" si="10"/>
        <v>Prepared Food</v>
      </c>
      <c r="F342" t="str">
        <f t="shared" si="11"/>
        <v>Prepared Food</v>
      </c>
      <c r="G342" s="3">
        <v>3.59</v>
      </c>
      <c r="H342" t="s">
        <v>177</v>
      </c>
      <c r="I342" s="2" t="s">
        <v>1118</v>
      </c>
    </row>
    <row r="343" spans="1:9" x14ac:dyDescent="0.25">
      <c r="A343" t="s">
        <v>1128</v>
      </c>
      <c r="B343" t="s">
        <v>1129</v>
      </c>
      <c r="C343" t="s">
        <v>1111</v>
      </c>
      <c r="D343" t="str" cm="1">
        <f t="array" ref="D343">_xlfn.TEXTJOIN("", TRUE, IF(ISNUMBER(SEARCH($K$1379:$K$1423, C343)), $K$1379:$K$1423, ""))</f>
        <v>Jif</v>
      </c>
      <c r="E343" t="str">
        <f t="shared" si="10"/>
        <v>Prepared Food</v>
      </c>
      <c r="F343" t="str">
        <f t="shared" si="11"/>
        <v>Prepared Food</v>
      </c>
      <c r="G343" s="3">
        <v>7.49</v>
      </c>
      <c r="H343" t="s">
        <v>1114</v>
      </c>
      <c r="I343" s="2" t="s">
        <v>170</v>
      </c>
    </row>
    <row r="344" spans="1:9" x14ac:dyDescent="0.25">
      <c r="A344" t="s">
        <v>1130</v>
      </c>
      <c r="B344" t="s">
        <v>1131</v>
      </c>
      <c r="C344" t="s">
        <v>1132</v>
      </c>
      <c r="D344" t="str" cm="1">
        <f t="array" ref="D344">_xlfn.TEXTJOIN("", TRUE, IF(ISNUMBER(SEARCH($K$1379:$K$1423, C344)), $K$1379:$K$1423, ""))</f>
        <v>Jif</v>
      </c>
      <c r="E344" t="str">
        <f t="shared" si="10"/>
        <v>Prepared Food</v>
      </c>
      <c r="F344" t="str">
        <f t="shared" si="11"/>
        <v>Prepared Food</v>
      </c>
      <c r="G344" s="3">
        <v>13.49</v>
      </c>
      <c r="H344" t="s">
        <v>1133</v>
      </c>
      <c r="I344" s="2" t="s">
        <v>83</v>
      </c>
    </row>
    <row r="345" spans="1:9" x14ac:dyDescent="0.25">
      <c r="A345" t="s">
        <v>1134</v>
      </c>
      <c r="B345" t="s">
        <v>1135</v>
      </c>
      <c r="C345" t="s">
        <v>1100</v>
      </c>
      <c r="D345" t="str" cm="1">
        <f t="array" ref="D345">_xlfn.TEXTJOIN("", TRUE, IF(ISNUMBER(SEARCH($K$1379:$K$1423, C345)), $K$1379:$K$1423, ""))</f>
        <v>Jif</v>
      </c>
      <c r="E345" t="str">
        <f t="shared" si="10"/>
        <v>Prepared Food</v>
      </c>
      <c r="F345" t="str">
        <f t="shared" si="11"/>
        <v>Prepared Food</v>
      </c>
      <c r="G345" s="3">
        <v>3.49</v>
      </c>
      <c r="H345" t="s">
        <v>1136</v>
      </c>
      <c r="I345" s="2" t="s">
        <v>1034</v>
      </c>
    </row>
    <row r="346" spans="1:9" x14ac:dyDescent="0.25">
      <c r="A346" t="s">
        <v>1137</v>
      </c>
      <c r="B346" t="s">
        <v>1138</v>
      </c>
      <c r="C346" t="s">
        <v>1139</v>
      </c>
      <c r="D346" t="str" cm="1">
        <f t="array" ref="D346">_xlfn.TEXTJOIN("", TRUE, IF(ISNUMBER(SEARCH($K$1379:$K$1423, C346)), $K$1379:$K$1423, ""))</f>
        <v>Jif</v>
      </c>
      <c r="E346" t="str">
        <f t="shared" si="10"/>
        <v>Prepared Food</v>
      </c>
      <c r="F346" t="str">
        <f t="shared" si="11"/>
        <v>Prepared Food</v>
      </c>
      <c r="G346" s="3">
        <v>13.49</v>
      </c>
      <c r="H346" t="s">
        <v>1133</v>
      </c>
      <c r="I346" s="2" t="s">
        <v>83</v>
      </c>
    </row>
    <row r="347" spans="1:9" x14ac:dyDescent="0.25">
      <c r="A347" t="s">
        <v>1140</v>
      </c>
      <c r="B347" t="s">
        <v>1141</v>
      </c>
      <c r="C347" t="s">
        <v>1142</v>
      </c>
      <c r="D347" t="str" cm="1">
        <f t="array" ref="D347">_xlfn.TEXTJOIN("", TRUE, IF(ISNUMBER(SEARCH($K$1379:$K$1423, C347)), $K$1379:$K$1423, ""))</f>
        <v>Jif</v>
      </c>
      <c r="E347" t="str">
        <f t="shared" si="10"/>
        <v>Prepared Food</v>
      </c>
      <c r="F347" t="str">
        <f t="shared" si="11"/>
        <v>Prepared Food</v>
      </c>
      <c r="G347" s="3">
        <v>3.59</v>
      </c>
      <c r="H347" t="s">
        <v>1143</v>
      </c>
      <c r="I347" s="2" t="s">
        <v>1144</v>
      </c>
    </row>
    <row r="348" spans="1:9" x14ac:dyDescent="0.25">
      <c r="A348" t="s">
        <v>1145</v>
      </c>
      <c r="B348" t="s">
        <v>1146</v>
      </c>
      <c r="C348" t="s">
        <v>1121</v>
      </c>
      <c r="D348" t="str" cm="1">
        <f t="array" ref="D348">_xlfn.TEXTJOIN("", TRUE, IF(ISNUMBER(SEARCH($K$1379:$K$1423, C348)), $K$1379:$K$1423, ""))</f>
        <v>Jif</v>
      </c>
      <c r="E348" t="str">
        <f t="shared" si="10"/>
        <v>Prepared Food</v>
      </c>
      <c r="F348" t="str">
        <f t="shared" si="11"/>
        <v>Prepared Food</v>
      </c>
      <c r="G348" s="3">
        <v>7.49</v>
      </c>
      <c r="H348" t="s">
        <v>1114</v>
      </c>
      <c r="I348" s="2" t="s">
        <v>170</v>
      </c>
    </row>
    <row r="349" spans="1:9" x14ac:dyDescent="0.25">
      <c r="A349" t="s">
        <v>1147</v>
      </c>
      <c r="B349" t="s">
        <v>1148</v>
      </c>
      <c r="C349" t="s">
        <v>1149</v>
      </c>
      <c r="D349" t="str" cm="1">
        <f t="array" ref="D349">_xlfn.TEXTJOIN("", TRUE, IF(ISNUMBER(SEARCH($K$1379:$K$1423, C349)), $K$1379:$K$1423, ""))</f>
        <v>Jif</v>
      </c>
      <c r="E349" t="str">
        <f t="shared" si="10"/>
        <v>Prepared Food</v>
      </c>
      <c r="F349" t="str">
        <f t="shared" si="11"/>
        <v>Prepared Food</v>
      </c>
      <c r="G349" s="3">
        <v>3.49</v>
      </c>
      <c r="H349" t="s">
        <v>1102</v>
      </c>
      <c r="I349" s="2" t="s">
        <v>18</v>
      </c>
    </row>
    <row r="350" spans="1:9" x14ac:dyDescent="0.25">
      <c r="A350" t="s">
        <v>1150</v>
      </c>
      <c r="B350" t="s">
        <v>1151</v>
      </c>
      <c r="C350" t="s">
        <v>1152</v>
      </c>
      <c r="D350" t="str" cm="1">
        <f t="array" ref="D350">_xlfn.TEXTJOIN("", TRUE, IF(ISNUMBER(SEARCH($K$1379:$K$1423, C350)), $K$1379:$K$1423, ""))</f>
        <v>Jif</v>
      </c>
      <c r="E350" t="str">
        <f t="shared" si="10"/>
        <v>Prepared Food</v>
      </c>
      <c r="F350" t="str">
        <f t="shared" si="11"/>
        <v>Prepared Food</v>
      </c>
      <c r="G350" s="3">
        <v>4.1900000000000004</v>
      </c>
      <c r="H350" t="s">
        <v>1153</v>
      </c>
      <c r="I350" s="2" t="s">
        <v>858</v>
      </c>
    </row>
    <row r="351" spans="1:9" x14ac:dyDescent="0.25">
      <c r="A351" t="s">
        <v>1154</v>
      </c>
      <c r="B351" t="s">
        <v>1155</v>
      </c>
      <c r="C351" t="s">
        <v>1100</v>
      </c>
      <c r="D351" t="str" cm="1">
        <f t="array" ref="D351">_xlfn.TEXTJOIN("", TRUE, IF(ISNUMBER(SEARCH($K$1379:$K$1423, C351)), $K$1379:$K$1423, ""))</f>
        <v>Jif</v>
      </c>
      <c r="E351" t="str">
        <f t="shared" si="10"/>
        <v>Prepared Food</v>
      </c>
      <c r="F351" t="str">
        <f t="shared" si="11"/>
        <v>Prepared Food</v>
      </c>
      <c r="G351" s="3">
        <v>5.49</v>
      </c>
      <c r="H351" t="s">
        <v>1156</v>
      </c>
      <c r="I351" s="2" t="s">
        <v>490</v>
      </c>
    </row>
    <row r="352" spans="1:9" x14ac:dyDescent="0.25">
      <c r="A352" t="s">
        <v>1157</v>
      </c>
      <c r="B352" t="s">
        <v>1158</v>
      </c>
      <c r="C352" t="s">
        <v>1159</v>
      </c>
      <c r="D352" t="str" cm="1">
        <f t="array" ref="D352">_xlfn.TEXTJOIN("", TRUE, IF(ISNUMBER(SEARCH($K$1379:$K$1423, C352)), $K$1379:$K$1423, ""))</f>
        <v>Jif</v>
      </c>
      <c r="E352" t="str">
        <f t="shared" si="10"/>
        <v>Prepared Food</v>
      </c>
      <c r="F352" t="str">
        <f t="shared" si="11"/>
        <v>Prepared Food</v>
      </c>
      <c r="G352" s="3">
        <v>7.49</v>
      </c>
      <c r="H352" t="s">
        <v>1114</v>
      </c>
      <c r="I352" s="2" t="s">
        <v>170</v>
      </c>
    </row>
    <row r="353" spans="1:9" x14ac:dyDescent="0.25">
      <c r="A353" t="s">
        <v>1160</v>
      </c>
      <c r="B353" t="s">
        <v>1161</v>
      </c>
      <c r="C353" t="s">
        <v>1121</v>
      </c>
      <c r="D353" t="str" cm="1">
        <f t="array" ref="D353">_xlfn.TEXTJOIN("", TRUE, IF(ISNUMBER(SEARCH($K$1379:$K$1423, C353)), $K$1379:$K$1423, ""))</f>
        <v>Jif</v>
      </c>
      <c r="E353" t="str">
        <f t="shared" si="10"/>
        <v>Prepared Food</v>
      </c>
      <c r="F353" t="str">
        <f t="shared" si="11"/>
        <v>Prepared Food</v>
      </c>
      <c r="G353" s="3">
        <v>5.49</v>
      </c>
      <c r="H353" t="s">
        <v>1105</v>
      </c>
      <c r="I353" s="2" t="s">
        <v>490</v>
      </c>
    </row>
    <row r="354" spans="1:9" x14ac:dyDescent="0.25">
      <c r="A354" t="s">
        <v>1162</v>
      </c>
      <c r="B354" t="s">
        <v>1163</v>
      </c>
      <c r="C354" t="s">
        <v>1164</v>
      </c>
      <c r="D354" t="str" cm="1">
        <f t="array" ref="D354">_xlfn.TEXTJOIN("", TRUE, IF(ISNUMBER(SEARCH($K$1379:$K$1423, C354)), $K$1379:$K$1423, ""))</f>
        <v>Jif</v>
      </c>
      <c r="E354" t="str">
        <f t="shared" si="10"/>
        <v>Prepared Food</v>
      </c>
      <c r="F354" t="str">
        <f t="shared" si="11"/>
        <v>Prepared Food</v>
      </c>
      <c r="G354" s="3">
        <v>3.99</v>
      </c>
      <c r="H354" t="s">
        <v>1136</v>
      </c>
      <c r="I354" s="2" t="s">
        <v>551</v>
      </c>
    </row>
    <row r="355" spans="1:9" x14ac:dyDescent="0.25">
      <c r="A355" t="s">
        <v>1165</v>
      </c>
      <c r="B355" t="s">
        <v>1166</v>
      </c>
      <c r="C355" t="s">
        <v>1167</v>
      </c>
      <c r="D355" t="str" cm="1">
        <f t="array" ref="D355">_xlfn.TEXTJOIN("", TRUE, IF(ISNUMBER(SEARCH($K$1379:$K$1423, C355)), $K$1379:$K$1423, ""))</f>
        <v>Jif</v>
      </c>
      <c r="E355" t="str">
        <f t="shared" si="10"/>
        <v>Prepared Food</v>
      </c>
      <c r="F355" t="str">
        <f t="shared" si="11"/>
        <v>Prepared Food</v>
      </c>
      <c r="G355" s="3">
        <v>3.59</v>
      </c>
      <c r="H355" t="s">
        <v>177</v>
      </c>
      <c r="I355" s="2" t="s">
        <v>1118</v>
      </c>
    </row>
    <row r="356" spans="1:9" x14ac:dyDescent="0.25">
      <c r="A356" t="s">
        <v>1168</v>
      </c>
      <c r="B356" t="s">
        <v>1169</v>
      </c>
      <c r="C356" t="s">
        <v>1170</v>
      </c>
      <c r="D356" t="str" cm="1">
        <f t="array" ref="D356">_xlfn.TEXTJOIN("", TRUE, IF(ISNUMBER(SEARCH($K$1379:$K$1423, C356)), $K$1379:$K$1423, ""))</f>
        <v>Jif</v>
      </c>
      <c r="E356" t="str">
        <f t="shared" si="10"/>
        <v>Prepared Food</v>
      </c>
      <c r="F356" t="str">
        <f t="shared" si="11"/>
        <v>Prepared Food</v>
      </c>
      <c r="G356" s="3">
        <v>7.49</v>
      </c>
      <c r="H356" t="s">
        <v>1114</v>
      </c>
      <c r="I356" s="2" t="s">
        <v>170</v>
      </c>
    </row>
    <row r="357" spans="1:9" x14ac:dyDescent="0.25">
      <c r="A357" t="s">
        <v>1171</v>
      </c>
      <c r="B357" t="s">
        <v>1172</v>
      </c>
      <c r="C357" t="s">
        <v>1173</v>
      </c>
      <c r="D357" t="str" cm="1">
        <f t="array" ref="D357">_xlfn.TEXTJOIN("", TRUE, IF(ISNUMBER(SEARCH($K$1379:$K$1423, C357)), $K$1379:$K$1423, ""))</f>
        <v>Jif</v>
      </c>
      <c r="E357" t="str">
        <f t="shared" si="10"/>
        <v>Prepared Food</v>
      </c>
      <c r="F357" t="str">
        <f t="shared" si="11"/>
        <v>Prepared Food</v>
      </c>
      <c r="G357" s="3">
        <v>7.49</v>
      </c>
      <c r="H357" t="s">
        <v>1174</v>
      </c>
      <c r="I357" s="2" t="s">
        <v>18</v>
      </c>
    </row>
    <row r="358" spans="1:9" x14ac:dyDescent="0.25">
      <c r="A358" t="s">
        <v>1175</v>
      </c>
      <c r="B358" t="s">
        <v>1176</v>
      </c>
      <c r="C358" t="s">
        <v>1177</v>
      </c>
      <c r="D358" t="str" cm="1">
        <f t="array" ref="D358">_xlfn.TEXTJOIN("", TRUE, IF(ISNUMBER(SEARCH($K$1379:$K$1423, C358)), $K$1379:$K$1423, ""))</f>
        <v>Kraft</v>
      </c>
      <c r="E358" t="str">
        <f t="shared" si="10"/>
        <v>Cheese</v>
      </c>
      <c r="F358" t="str">
        <f t="shared" si="11"/>
        <v>Dairy</v>
      </c>
      <c r="G358" s="3">
        <v>3.19</v>
      </c>
      <c r="H358" t="s">
        <v>1179</v>
      </c>
      <c r="I358" s="2" t="s">
        <v>1180</v>
      </c>
    </row>
    <row r="359" spans="1:9" x14ac:dyDescent="0.25">
      <c r="A359" t="s">
        <v>1181</v>
      </c>
      <c r="B359" t="s">
        <v>1182</v>
      </c>
      <c r="C359" t="s">
        <v>1183</v>
      </c>
      <c r="D359" t="str" cm="1">
        <f t="array" ref="D359">_xlfn.TEXTJOIN("", TRUE, IF(ISNUMBER(SEARCH($K$1379:$K$1423, C359)), $K$1379:$K$1423, ""))</f>
        <v>Kraft</v>
      </c>
      <c r="E359" t="str">
        <f t="shared" si="10"/>
        <v>Cheese</v>
      </c>
      <c r="F359" t="str">
        <f t="shared" si="11"/>
        <v>Dairy</v>
      </c>
      <c r="G359" s="3">
        <v>3.19</v>
      </c>
      <c r="H359" t="s">
        <v>211</v>
      </c>
      <c r="I359" s="2" t="s">
        <v>1180</v>
      </c>
    </row>
    <row r="360" spans="1:9" x14ac:dyDescent="0.25">
      <c r="A360" t="s">
        <v>1184</v>
      </c>
      <c r="B360" t="s">
        <v>1185</v>
      </c>
      <c r="C360" t="s">
        <v>1186</v>
      </c>
      <c r="D360" t="str" cm="1">
        <f t="array" ref="D360">_xlfn.TEXTJOIN("", TRUE, IF(ISNUMBER(SEARCH($K$1379:$K$1423, C360)), $K$1379:$K$1423, ""))</f>
        <v>Kraft</v>
      </c>
      <c r="E360" t="str">
        <f t="shared" si="10"/>
        <v>Cheese</v>
      </c>
      <c r="F360" t="str">
        <f t="shared" si="11"/>
        <v>Dairy</v>
      </c>
      <c r="G360" s="3">
        <v>3.19</v>
      </c>
      <c r="H360" t="s">
        <v>1179</v>
      </c>
      <c r="I360" s="2" t="s">
        <v>1180</v>
      </c>
    </row>
    <row r="361" spans="1:9" x14ac:dyDescent="0.25">
      <c r="A361" t="s">
        <v>1187</v>
      </c>
      <c r="B361" t="s">
        <v>1188</v>
      </c>
      <c r="C361" t="s">
        <v>1189</v>
      </c>
      <c r="D361" t="str" cm="1">
        <f t="array" ref="D361">_xlfn.TEXTJOIN("", TRUE, IF(ISNUMBER(SEARCH($K$1379:$K$1423, C361)), $K$1379:$K$1423, ""))</f>
        <v>Kraft</v>
      </c>
      <c r="E361" t="str">
        <f t="shared" si="10"/>
        <v>Cheese</v>
      </c>
      <c r="F361" t="str">
        <f t="shared" si="11"/>
        <v>Dairy</v>
      </c>
      <c r="G361" s="3">
        <v>3.19</v>
      </c>
      <c r="H361" t="s">
        <v>1179</v>
      </c>
      <c r="I361" s="2" t="s">
        <v>1180</v>
      </c>
    </row>
    <row r="362" spans="1:9" x14ac:dyDescent="0.25">
      <c r="A362" t="s">
        <v>1190</v>
      </c>
      <c r="B362" t="s">
        <v>1191</v>
      </c>
      <c r="C362" t="s">
        <v>1192</v>
      </c>
      <c r="D362" t="str" cm="1">
        <f t="array" ref="D362">_xlfn.TEXTJOIN("", TRUE, IF(ISNUMBER(SEARCH($K$1379:$K$1423, C362)), $K$1379:$K$1423, ""))</f>
        <v>Kraft</v>
      </c>
      <c r="E362" t="str">
        <f t="shared" si="10"/>
        <v>Cheese</v>
      </c>
      <c r="F362" t="str">
        <f t="shared" si="11"/>
        <v>Dairy</v>
      </c>
      <c r="G362" s="3">
        <v>3.19</v>
      </c>
      <c r="H362" t="s">
        <v>1179</v>
      </c>
      <c r="I362" s="2" t="s">
        <v>1180</v>
      </c>
    </row>
    <row r="363" spans="1:9" x14ac:dyDescent="0.25">
      <c r="A363" t="s">
        <v>1193</v>
      </c>
      <c r="B363" t="s">
        <v>1194</v>
      </c>
      <c r="C363" t="s">
        <v>1195</v>
      </c>
      <c r="D363" t="str" cm="1">
        <f t="array" ref="D363">_xlfn.TEXTJOIN("", TRUE, IF(ISNUMBER(SEARCH($K$1379:$K$1423, C363)), $K$1379:$K$1423, ""))</f>
        <v>Kraft</v>
      </c>
      <c r="E363" t="str">
        <f t="shared" si="10"/>
        <v>Cheese</v>
      </c>
      <c r="F363" t="str">
        <f t="shared" si="11"/>
        <v>Dairy</v>
      </c>
      <c r="G363" s="3">
        <v>4.99</v>
      </c>
      <c r="H363" t="s">
        <v>1037</v>
      </c>
      <c r="I363" s="2" t="s">
        <v>216</v>
      </c>
    </row>
    <row r="364" spans="1:9" x14ac:dyDescent="0.25">
      <c r="A364" t="s">
        <v>1196</v>
      </c>
      <c r="B364" t="s">
        <v>1197</v>
      </c>
      <c r="C364" t="s">
        <v>1198</v>
      </c>
      <c r="D364" t="str" cm="1">
        <f t="array" ref="D364">_xlfn.TEXTJOIN("", TRUE, IF(ISNUMBER(SEARCH($K$1379:$K$1423, C364)), $K$1379:$K$1423, ""))</f>
        <v>Kraft</v>
      </c>
      <c r="E364" t="str">
        <f t="shared" si="10"/>
        <v>Cheese</v>
      </c>
      <c r="F364" t="str">
        <f t="shared" si="11"/>
        <v>Dairy</v>
      </c>
      <c r="G364" s="3">
        <v>3.19</v>
      </c>
      <c r="H364" t="s">
        <v>1199</v>
      </c>
      <c r="I364" s="2" t="s">
        <v>1200</v>
      </c>
    </row>
    <row r="365" spans="1:9" x14ac:dyDescent="0.25">
      <c r="A365" t="s">
        <v>1201</v>
      </c>
      <c r="B365" t="s">
        <v>1202</v>
      </c>
      <c r="C365" t="s">
        <v>1203</v>
      </c>
      <c r="D365" t="str" cm="1">
        <f t="array" ref="D365">_xlfn.TEXTJOIN("", TRUE, IF(ISNUMBER(SEARCH($K$1379:$K$1423, C365)), $K$1379:$K$1423, ""))</f>
        <v>Kraft</v>
      </c>
      <c r="E365" t="str">
        <f t="shared" si="10"/>
        <v>Cheese</v>
      </c>
      <c r="F365" t="str">
        <f t="shared" si="11"/>
        <v>Dairy</v>
      </c>
      <c r="G365" s="3">
        <v>3.19</v>
      </c>
      <c r="H365" t="s">
        <v>1179</v>
      </c>
      <c r="I365" s="2" t="s">
        <v>1180</v>
      </c>
    </row>
    <row r="366" spans="1:9" x14ac:dyDescent="0.25">
      <c r="A366" t="s">
        <v>1204</v>
      </c>
      <c r="B366" t="s">
        <v>1205</v>
      </c>
      <c r="C366" t="s">
        <v>1206</v>
      </c>
      <c r="D366" t="str" cm="1">
        <f t="array" ref="D366">_xlfn.TEXTJOIN("", TRUE, IF(ISNUMBER(SEARCH($K$1379:$K$1423, C366)), $K$1379:$K$1423, ""))</f>
        <v>Kraft</v>
      </c>
      <c r="E366" t="str">
        <f t="shared" si="10"/>
        <v>Cheese</v>
      </c>
      <c r="F366" t="str">
        <f t="shared" si="11"/>
        <v>Dairy</v>
      </c>
      <c r="G366" s="3">
        <v>3.19</v>
      </c>
      <c r="H366" t="s">
        <v>1179</v>
      </c>
      <c r="I366" s="2" t="s">
        <v>1180</v>
      </c>
    </row>
    <row r="367" spans="1:9" x14ac:dyDescent="0.25">
      <c r="A367" t="s">
        <v>1207</v>
      </c>
      <c r="B367" t="s">
        <v>1208</v>
      </c>
      <c r="C367" t="s">
        <v>1209</v>
      </c>
      <c r="D367" t="str" cm="1">
        <f t="array" ref="D367">_xlfn.TEXTJOIN("", TRUE, IF(ISNUMBER(SEARCH($K$1379:$K$1423, C367)), $K$1379:$K$1423, ""))</f>
        <v>Kraft</v>
      </c>
      <c r="E367" t="str">
        <f t="shared" si="10"/>
        <v>Cheese</v>
      </c>
      <c r="F367" t="str">
        <f t="shared" si="11"/>
        <v>Dairy</v>
      </c>
      <c r="G367" s="3">
        <v>3.19</v>
      </c>
      <c r="H367" t="s">
        <v>1210</v>
      </c>
      <c r="I367" s="2" t="s">
        <v>1211</v>
      </c>
    </row>
    <row r="368" spans="1:9" x14ac:dyDescent="0.25">
      <c r="A368" t="s">
        <v>1212</v>
      </c>
      <c r="B368" t="s">
        <v>1213</v>
      </c>
      <c r="C368" t="s">
        <v>1214</v>
      </c>
      <c r="D368" t="str" cm="1">
        <f t="array" ref="D368">_xlfn.TEXTJOIN("", TRUE, IF(ISNUMBER(SEARCH($K$1379:$K$1423, C368)), $K$1379:$K$1423, ""))</f>
        <v>Kraft</v>
      </c>
      <c r="E368" t="str">
        <f t="shared" si="10"/>
        <v>Cheese</v>
      </c>
      <c r="F368" t="str">
        <f t="shared" si="11"/>
        <v>Dairy</v>
      </c>
      <c r="G368" s="3">
        <v>3.19</v>
      </c>
      <c r="H368" t="s">
        <v>1179</v>
      </c>
      <c r="I368" s="2" t="s">
        <v>1180</v>
      </c>
    </row>
    <row r="369" spans="1:10" x14ac:dyDescent="0.25">
      <c r="A369" t="s">
        <v>1215</v>
      </c>
      <c r="B369" t="s">
        <v>1216</v>
      </c>
      <c r="C369" t="s">
        <v>1217</v>
      </c>
      <c r="D369" t="str" cm="1">
        <f t="array" ref="D369">_xlfn.TEXTJOIN("", TRUE, IF(ISNUMBER(SEARCH($K$1379:$K$1423, C369)), $K$1379:$K$1423, ""))</f>
        <v>Kraft</v>
      </c>
      <c r="E369" t="str">
        <f t="shared" si="10"/>
        <v>Cheese</v>
      </c>
      <c r="F369" t="str">
        <f t="shared" si="11"/>
        <v>Dairy</v>
      </c>
      <c r="G369" s="3">
        <v>3.19</v>
      </c>
      <c r="H369" t="s">
        <v>1179</v>
      </c>
      <c r="I369" s="2" t="s">
        <v>1180</v>
      </c>
    </row>
    <row r="370" spans="1:10" x14ac:dyDescent="0.25">
      <c r="A370" t="s">
        <v>1218</v>
      </c>
      <c r="B370" t="s">
        <v>1219</v>
      </c>
      <c r="C370" t="s">
        <v>1220</v>
      </c>
      <c r="D370" t="str" cm="1">
        <f t="array" ref="D370">_xlfn.TEXTJOIN("", TRUE, IF(ISNUMBER(SEARCH($K$1379:$K$1423, C370)), $K$1379:$K$1423, ""))</f>
        <v>Kraft</v>
      </c>
      <c r="E370" t="str">
        <f t="shared" si="10"/>
        <v>Cheese</v>
      </c>
      <c r="F370" t="str">
        <f t="shared" si="11"/>
        <v>Dairy</v>
      </c>
      <c r="G370" s="3">
        <v>3.19</v>
      </c>
      <c r="H370" t="s">
        <v>1210</v>
      </c>
      <c r="I370" s="2" t="s">
        <v>1211</v>
      </c>
    </row>
    <row r="371" spans="1:10" x14ac:dyDescent="0.25">
      <c r="A371" t="s">
        <v>1221</v>
      </c>
      <c r="B371" t="s">
        <v>1222</v>
      </c>
      <c r="C371" t="s">
        <v>1223</v>
      </c>
      <c r="D371" t="str" cm="1">
        <f t="array" ref="D371">_xlfn.TEXTJOIN("", TRUE, IF(ISNUMBER(SEARCH($K$1379:$K$1423, C371)), $K$1379:$K$1423, ""))</f>
        <v>Kraft</v>
      </c>
      <c r="E371" t="str">
        <f t="shared" si="10"/>
        <v>Cheese</v>
      </c>
      <c r="F371" t="str">
        <f t="shared" si="11"/>
        <v>Dairy</v>
      </c>
      <c r="G371" s="3">
        <v>3.19</v>
      </c>
      <c r="H371" t="s">
        <v>1179</v>
      </c>
      <c r="I371" s="2" t="s">
        <v>1180</v>
      </c>
    </row>
    <row r="372" spans="1:10" x14ac:dyDescent="0.25">
      <c r="A372" t="s">
        <v>1224</v>
      </c>
      <c r="B372" t="s">
        <v>1225</v>
      </c>
      <c r="C372" t="s">
        <v>1226</v>
      </c>
      <c r="D372" t="str" cm="1">
        <f t="array" ref="D372">_xlfn.TEXTJOIN("", TRUE, IF(ISNUMBER(SEARCH($K$1379:$K$1423, C372)), $K$1379:$K$1423, ""))</f>
        <v>Kraft</v>
      </c>
      <c r="E372" t="str">
        <f t="shared" si="10"/>
        <v>Cheese</v>
      </c>
      <c r="F372" t="str">
        <f t="shared" si="11"/>
        <v>Dairy</v>
      </c>
      <c r="G372" s="3">
        <v>3.19</v>
      </c>
      <c r="H372" t="s">
        <v>211</v>
      </c>
      <c r="I372" s="2" t="s">
        <v>1180</v>
      </c>
    </row>
    <row r="373" spans="1:10" x14ac:dyDescent="0.25">
      <c r="A373" t="s">
        <v>1227</v>
      </c>
      <c r="B373" t="s">
        <v>1228</v>
      </c>
      <c r="C373" t="s">
        <v>1229</v>
      </c>
      <c r="D373" t="str" cm="1">
        <f t="array" ref="D373">_xlfn.TEXTJOIN("", TRUE, IF(ISNUMBER(SEARCH($K$1379:$K$1423, C373)), $K$1379:$K$1423, ""))</f>
        <v>Kraft</v>
      </c>
      <c r="E373" t="str">
        <f t="shared" si="10"/>
        <v>Cheese</v>
      </c>
      <c r="F373" t="str">
        <f t="shared" si="11"/>
        <v>Dairy</v>
      </c>
      <c r="G373" s="3">
        <v>5.99</v>
      </c>
      <c r="H373" t="s">
        <v>223</v>
      </c>
      <c r="I373" s="2" t="s">
        <v>1230</v>
      </c>
    </row>
    <row r="374" spans="1:10" x14ac:dyDescent="0.25">
      <c r="A374" t="s">
        <v>1231</v>
      </c>
      <c r="B374" t="s">
        <v>1232</v>
      </c>
      <c r="C374" t="s">
        <v>1233</v>
      </c>
      <c r="D374" t="str" cm="1">
        <f t="array" ref="D374">_xlfn.TEXTJOIN("", TRUE, IF(ISNUMBER(SEARCH($K$1379:$K$1423, C374)), $K$1379:$K$1423, ""))</f>
        <v>Kraft</v>
      </c>
      <c r="E374" t="str">
        <f t="shared" si="10"/>
        <v>Cheese</v>
      </c>
      <c r="F374" t="str">
        <f t="shared" si="11"/>
        <v>Dairy</v>
      </c>
      <c r="G374" s="3">
        <v>4.6900000000000004</v>
      </c>
      <c r="H374" t="s">
        <v>1234</v>
      </c>
      <c r="I374" s="2" t="s">
        <v>1235</v>
      </c>
    </row>
    <row r="375" spans="1:10" x14ac:dyDescent="0.25">
      <c r="A375" t="s">
        <v>1236</v>
      </c>
      <c r="B375" t="s">
        <v>1237</v>
      </c>
      <c r="C375" t="s">
        <v>1238</v>
      </c>
      <c r="D375" t="str" cm="1">
        <f t="array" ref="D375">_xlfn.TEXTJOIN("", TRUE, IF(ISNUMBER(SEARCH($K$1379:$K$1423, C375)), $K$1379:$K$1423, ""))</f>
        <v>Kraft</v>
      </c>
      <c r="E375" t="str">
        <f t="shared" si="10"/>
        <v>Cheese</v>
      </c>
      <c r="F375" t="str">
        <f t="shared" si="11"/>
        <v>Dairy</v>
      </c>
      <c r="G375" s="3">
        <v>3.19</v>
      </c>
      <c r="H375" t="s">
        <v>211</v>
      </c>
      <c r="I375" s="2" t="s">
        <v>1180</v>
      </c>
    </row>
    <row r="376" spans="1:10" x14ac:dyDescent="0.25">
      <c r="A376" t="s">
        <v>1239</v>
      </c>
      <c r="B376" t="s">
        <v>1240</v>
      </c>
      <c r="C376" t="s">
        <v>1241</v>
      </c>
      <c r="D376" t="str" cm="1">
        <f t="array" ref="D376">_xlfn.TEXTJOIN("", TRUE, IF(ISNUMBER(SEARCH($K$1379:$K$1423, C376)), $K$1379:$K$1423, ""))</f>
        <v>Kraft</v>
      </c>
      <c r="E376" t="str">
        <f t="shared" si="10"/>
        <v>Cheese</v>
      </c>
      <c r="F376" t="str">
        <f t="shared" si="11"/>
        <v>Dairy</v>
      </c>
      <c r="G376" s="3">
        <v>7.49</v>
      </c>
      <c r="H376" t="s">
        <v>223</v>
      </c>
      <c r="I376" s="2" t="s">
        <v>224</v>
      </c>
    </row>
    <row r="377" spans="1:10" x14ac:dyDescent="0.25">
      <c r="A377" t="s">
        <v>1242</v>
      </c>
      <c r="B377" t="s">
        <v>1243</v>
      </c>
      <c r="C377" t="s">
        <v>1244</v>
      </c>
      <c r="D377" t="str" cm="1">
        <f t="array" ref="D377">_xlfn.TEXTJOIN("", TRUE, IF(ISNUMBER(SEARCH($K$1379:$K$1423, C377)), $K$1379:$K$1423, ""))</f>
        <v>Kraft</v>
      </c>
      <c r="E377" t="str">
        <f t="shared" si="10"/>
        <v>Cheese</v>
      </c>
      <c r="F377" t="str">
        <f t="shared" si="11"/>
        <v>Dairy</v>
      </c>
      <c r="G377" s="3">
        <v>5.99</v>
      </c>
      <c r="H377" t="s">
        <v>223</v>
      </c>
      <c r="I377" s="2" t="s">
        <v>1230</v>
      </c>
    </row>
    <row r="378" spans="1:10" x14ac:dyDescent="0.25">
      <c r="A378" t="s">
        <v>1245</v>
      </c>
      <c r="B378" t="s">
        <v>1246</v>
      </c>
      <c r="C378" t="s">
        <v>1195</v>
      </c>
      <c r="D378" t="str" cm="1">
        <f t="array" ref="D378">_xlfn.TEXTJOIN("", TRUE, IF(ISNUMBER(SEARCH($K$1379:$K$1423, C378)), $K$1379:$K$1423, ""))</f>
        <v>Kraft</v>
      </c>
      <c r="E378" t="str">
        <f t="shared" si="10"/>
        <v>Cheese</v>
      </c>
      <c r="F378" t="str">
        <f t="shared" si="11"/>
        <v>Dairy</v>
      </c>
      <c r="G378" s="3">
        <v>8.99</v>
      </c>
      <c r="H378" t="s">
        <v>1247</v>
      </c>
      <c r="I378" s="2" t="s">
        <v>1248</v>
      </c>
    </row>
    <row r="379" spans="1:10" x14ac:dyDescent="0.25">
      <c r="A379" t="s">
        <v>1249</v>
      </c>
      <c r="B379" t="s">
        <v>1250</v>
      </c>
      <c r="C379" t="s">
        <v>1251</v>
      </c>
      <c r="D379" t="str" cm="1">
        <f t="array" ref="D379">_xlfn.TEXTJOIN("", TRUE, IF(ISNUMBER(SEARCH($K$1379:$K$1423, C379)), $K$1379:$K$1423, ""))</f>
        <v>Kraft</v>
      </c>
      <c r="E379" t="str">
        <f t="shared" si="10"/>
        <v>Cheese</v>
      </c>
      <c r="F379" t="str">
        <f t="shared" si="11"/>
        <v>Dairy</v>
      </c>
      <c r="G379" s="3">
        <v>7.49</v>
      </c>
      <c r="H379" t="s">
        <v>223</v>
      </c>
      <c r="I379" s="2" t="s">
        <v>224</v>
      </c>
    </row>
    <row r="380" spans="1:10" x14ac:dyDescent="0.25">
      <c r="A380" t="s">
        <v>1252</v>
      </c>
      <c r="B380" t="s">
        <v>1253</v>
      </c>
      <c r="C380" t="s">
        <v>1254</v>
      </c>
      <c r="D380" t="str" cm="1">
        <f t="array" ref="D380">_xlfn.TEXTJOIN("", TRUE, IF(ISNUMBER(SEARCH($K$1379:$K$1423, C380)), $K$1379:$K$1423, ""))</f>
        <v>Kraft</v>
      </c>
      <c r="E380" t="str">
        <f t="shared" si="10"/>
        <v>Cheese</v>
      </c>
      <c r="F380" t="str">
        <f t="shared" si="11"/>
        <v>Dairy</v>
      </c>
      <c r="G380" s="3">
        <v>4.99</v>
      </c>
      <c r="H380" t="s">
        <v>1037</v>
      </c>
      <c r="I380" s="2" t="s">
        <v>216</v>
      </c>
    </row>
    <row r="381" spans="1:10" x14ac:dyDescent="0.25">
      <c r="A381" t="s">
        <v>1255</v>
      </c>
      <c r="B381" t="s">
        <v>1256</v>
      </c>
      <c r="C381" t="s">
        <v>1257</v>
      </c>
      <c r="D381" t="str" cm="1">
        <f t="array" ref="D381">_xlfn.TEXTJOIN("", TRUE, IF(ISNUMBER(SEARCH($K$1379:$K$1423, C381)), $K$1379:$K$1423, ""))</f>
        <v>Kraft</v>
      </c>
      <c r="E381" t="str">
        <f t="shared" si="10"/>
        <v>Cheese</v>
      </c>
      <c r="F381" t="str">
        <f t="shared" si="11"/>
        <v>Dairy</v>
      </c>
      <c r="G381" s="3">
        <v>4.6900000000000004</v>
      </c>
      <c r="H381" t="s">
        <v>1234</v>
      </c>
      <c r="I381" s="2" t="s">
        <v>1235</v>
      </c>
      <c r="J381" s="1"/>
    </row>
    <row r="382" spans="1:10" x14ac:dyDescent="0.25">
      <c r="A382" t="s">
        <v>1258</v>
      </c>
      <c r="B382" t="s">
        <v>1259</v>
      </c>
      <c r="C382" t="s">
        <v>1260</v>
      </c>
      <c r="D382" t="str" cm="1">
        <f t="array" ref="D382">_xlfn.TEXTJOIN("", TRUE, IF(ISNUMBER(SEARCH($K$1379:$K$1423, C382)), $K$1379:$K$1423, ""))</f>
        <v>Kraft</v>
      </c>
      <c r="E382" t="str">
        <f t="shared" si="10"/>
        <v>Cheese</v>
      </c>
      <c r="F382" t="str">
        <f t="shared" si="11"/>
        <v>Dairy</v>
      </c>
      <c r="G382" s="3">
        <v>4.6900000000000004</v>
      </c>
      <c r="H382" t="s">
        <v>231</v>
      </c>
      <c r="I382" s="2" t="s">
        <v>1261</v>
      </c>
      <c r="J382" s="1"/>
    </row>
    <row r="383" spans="1:10" x14ac:dyDescent="0.25">
      <c r="A383" t="s">
        <v>1262</v>
      </c>
      <c r="B383" t="s">
        <v>1263</v>
      </c>
      <c r="C383" t="s">
        <v>1195</v>
      </c>
      <c r="D383" t="str" cm="1">
        <f t="array" ref="D383">_xlfn.TEXTJOIN("", TRUE, IF(ISNUMBER(SEARCH($K$1379:$K$1423, C383)), $K$1379:$K$1423, ""))</f>
        <v>Kraft</v>
      </c>
      <c r="E383" t="str">
        <f t="shared" si="10"/>
        <v>Cheese</v>
      </c>
      <c r="F383" t="str">
        <f t="shared" si="11"/>
        <v>Dairy</v>
      </c>
      <c r="G383" s="3">
        <v>4.6900000000000004</v>
      </c>
      <c r="H383" t="s">
        <v>231</v>
      </c>
      <c r="I383" s="2" t="s">
        <v>1261</v>
      </c>
      <c r="J383" s="1"/>
    </row>
    <row r="384" spans="1:10" x14ac:dyDescent="0.25">
      <c r="A384" t="s">
        <v>1264</v>
      </c>
      <c r="B384" t="s">
        <v>1265</v>
      </c>
      <c r="C384" t="s">
        <v>1266</v>
      </c>
      <c r="D384" t="str" cm="1">
        <f t="array" ref="D384">_xlfn.TEXTJOIN("", TRUE, IF(ISNUMBER(SEARCH($K$1379:$K$1423, C384)), $K$1379:$K$1423, ""))</f>
        <v>Kraft</v>
      </c>
      <c r="E384" t="str">
        <f t="shared" si="10"/>
        <v>Cheese</v>
      </c>
      <c r="F384" t="str">
        <f t="shared" si="11"/>
        <v>Dairy</v>
      </c>
      <c r="G384" s="3">
        <v>7.49</v>
      </c>
      <c r="H384" t="s">
        <v>1267</v>
      </c>
      <c r="I384" s="2" t="s">
        <v>1268</v>
      </c>
      <c r="J384" s="1"/>
    </row>
    <row r="385" spans="1:10" x14ac:dyDescent="0.25">
      <c r="A385" t="s">
        <v>1269</v>
      </c>
      <c r="B385" t="s">
        <v>1270</v>
      </c>
      <c r="C385" t="s">
        <v>1271</v>
      </c>
      <c r="D385" t="str" cm="1">
        <f t="array" ref="D385">_xlfn.TEXTJOIN("", TRUE, IF(ISNUMBER(SEARCH($K$1379:$K$1423, C385)), $K$1379:$K$1423, ""))</f>
        <v>Kraft</v>
      </c>
      <c r="E385" t="str">
        <f t="shared" si="10"/>
        <v>Cheese</v>
      </c>
      <c r="F385" t="str">
        <f t="shared" si="11"/>
        <v>Dairy</v>
      </c>
      <c r="G385" s="3">
        <v>4.6900000000000004</v>
      </c>
      <c r="H385" t="s">
        <v>1272</v>
      </c>
      <c r="I385" s="2" t="s">
        <v>1273</v>
      </c>
      <c r="J385" s="1"/>
    </row>
    <row r="386" spans="1:10" x14ac:dyDescent="0.25">
      <c r="A386" t="s">
        <v>1274</v>
      </c>
      <c r="B386" t="s">
        <v>1275</v>
      </c>
      <c r="C386" t="s">
        <v>1276</v>
      </c>
      <c r="D386" t="str" cm="1">
        <f t="array" ref="D386">_xlfn.TEXTJOIN("", TRUE, IF(ISNUMBER(SEARCH($K$1379:$K$1423, C386)), $K$1379:$K$1423, ""))</f>
        <v>Kraft</v>
      </c>
      <c r="E386" t="str">
        <f t="shared" ref="E386:E449" si="12">IF(OR(D386="Mission",D386="Nature's Own",D386="Sara Lee"),"Bread",
IF(OR(D386="Del Monte",D386="Dole",D386="Mott's"),"Canned Fruit",
IF(OR(D386="Goya",D386="Hunt's",D386="Birds Eye"),"Canned Vegetables",
IF(OR(D386="fairlife",D386="Horizon Organic",D386="Lactaid",D386="Ben &amp; Jerry's"),"Milk",
IF(OR(D386="BelGioioso",D386="Kraft",D386="Philadelphia"),"Cheese",
IF(OR(D386="Chobani",D386="Oikos",D386="Dannon Light + Fit"),"Yogurt",
IF(OR(D386="Barilla",D386="Annie's",D386="Rao's Homemade"),"Pasta",
IF(OR(D386="Hershey's",D386="Lay's",D386="Totino's",D386="Cheerios",D386="Jif",D386="Skippy",D386="Nature Valley",D386="OREO",D386="DiGiorno",D386="Eggo"),"Prepared Food",
IF(OR(D386="Ben's Original",D386="Lundberg",D386="Quaker"),"Rice",
IF(OR(D386="Bush's",D386="Hillshire Farm",D386="Oscar Mayer",D386="SPAM"),"Protein",
IF(OR(D386="Starbucks",D386="Sparkling Ice",D386="Coca-Cola",D386="San Pellegrino",D386="Gatorade",D386="Arizona"),"Beverages",
"Other")))))))))))</f>
        <v>Cheese</v>
      </c>
      <c r="F386" t="str">
        <f t="shared" ref="F386:F449" si="13">IF(OR(E386="Bread",E386="Rice",E386="Pasta"), "Grain",
IF(OR(E386="Milk",E386="Cheese",E386="Yogurt"), "Dairy",
IF(OR(E386="Canned Fruit",E386="Canned Vegetables"), "Fruit &amp; Vegetables",
IF(E386="Prepared Food", "Prepared Food",
IF(E386="Protein", "Protein",
IF(E386="Beverages", "Beverages",
"Other"))))))</f>
        <v>Dairy</v>
      </c>
      <c r="G386" s="3">
        <v>4.6900000000000004</v>
      </c>
      <c r="H386" t="s">
        <v>1272</v>
      </c>
      <c r="I386" s="2" t="s">
        <v>1273</v>
      </c>
      <c r="J386" s="1"/>
    </row>
    <row r="387" spans="1:10" x14ac:dyDescent="0.25">
      <c r="A387" t="s">
        <v>1277</v>
      </c>
      <c r="B387" t="s">
        <v>1278</v>
      </c>
      <c r="C387" t="s">
        <v>1279</v>
      </c>
      <c r="D387" t="str" cm="1">
        <f t="array" ref="D387">_xlfn.TEXTJOIN("", TRUE, IF(ISNUMBER(SEARCH($K$1379:$K$1423, C387)), $K$1379:$K$1423, ""))</f>
        <v>Kraft</v>
      </c>
      <c r="E387" t="str">
        <f t="shared" si="12"/>
        <v>Cheese</v>
      </c>
      <c r="F387" t="str">
        <f t="shared" si="13"/>
        <v>Dairy</v>
      </c>
      <c r="G387" s="3">
        <v>5.99</v>
      </c>
      <c r="H387" t="s">
        <v>1280</v>
      </c>
      <c r="I387" s="2" t="s">
        <v>1281</v>
      </c>
      <c r="J387" s="1"/>
    </row>
    <row r="388" spans="1:10" x14ac:dyDescent="0.25">
      <c r="A388" t="s">
        <v>1282</v>
      </c>
      <c r="B388" t="s">
        <v>1283</v>
      </c>
      <c r="C388" t="s">
        <v>1284</v>
      </c>
      <c r="D388" t="str" cm="1">
        <f t="array" ref="D388">_xlfn.TEXTJOIN("", TRUE, IF(ISNUMBER(SEARCH($K$1379:$K$1423, C388)), $K$1379:$K$1423, ""))</f>
        <v>Kraft</v>
      </c>
      <c r="E388" t="str">
        <f t="shared" si="12"/>
        <v>Cheese</v>
      </c>
      <c r="F388" t="str">
        <f t="shared" si="13"/>
        <v>Dairy</v>
      </c>
      <c r="G388" s="3">
        <v>4.6900000000000004</v>
      </c>
      <c r="H388" t="s">
        <v>1272</v>
      </c>
      <c r="I388" s="2" t="s">
        <v>1273</v>
      </c>
      <c r="J388" s="1"/>
    </row>
    <row r="389" spans="1:10" x14ac:dyDescent="0.25">
      <c r="A389" t="s">
        <v>1285</v>
      </c>
      <c r="B389" t="s">
        <v>1286</v>
      </c>
      <c r="C389" t="s">
        <v>1287</v>
      </c>
      <c r="D389" t="str" cm="1">
        <f t="array" ref="D389">_xlfn.TEXTJOIN("", TRUE, IF(ISNUMBER(SEARCH($K$1379:$K$1423, C389)), $K$1379:$K$1423, ""))</f>
        <v>Kraft</v>
      </c>
      <c r="E389" t="str">
        <f t="shared" si="12"/>
        <v>Cheese</v>
      </c>
      <c r="F389" t="str">
        <f t="shared" si="13"/>
        <v>Dairy</v>
      </c>
      <c r="G389" s="3">
        <v>7.49</v>
      </c>
      <c r="H389" t="s">
        <v>223</v>
      </c>
      <c r="I389" s="2" t="s">
        <v>224</v>
      </c>
      <c r="J389" s="1"/>
    </row>
    <row r="390" spans="1:10" x14ac:dyDescent="0.25">
      <c r="A390" t="s">
        <v>1288</v>
      </c>
      <c r="B390" t="s">
        <v>1289</v>
      </c>
      <c r="C390" t="s">
        <v>1290</v>
      </c>
      <c r="D390" t="str" cm="1">
        <f t="array" ref="D390">_xlfn.TEXTJOIN("", TRUE, IF(ISNUMBER(SEARCH($K$1379:$K$1423, C390)), $K$1379:$K$1423, ""))</f>
        <v>Kraft</v>
      </c>
      <c r="E390" t="str">
        <f t="shared" si="12"/>
        <v>Cheese</v>
      </c>
      <c r="F390" t="str">
        <f t="shared" si="13"/>
        <v>Dairy</v>
      </c>
      <c r="G390" s="3">
        <v>14.29</v>
      </c>
      <c r="H390" t="s">
        <v>901</v>
      </c>
      <c r="I390" s="2" t="s">
        <v>1291</v>
      </c>
      <c r="J390" s="1"/>
    </row>
    <row r="391" spans="1:10" x14ac:dyDescent="0.25">
      <c r="A391" t="s">
        <v>1292</v>
      </c>
      <c r="B391" t="s">
        <v>1293</v>
      </c>
      <c r="C391" t="s">
        <v>1294</v>
      </c>
      <c r="D391" t="str" cm="1">
        <f t="array" ref="D391">_xlfn.TEXTJOIN("", TRUE, IF(ISNUMBER(SEARCH($K$1379:$K$1423, C391)), $K$1379:$K$1423, ""))</f>
        <v>Kraft</v>
      </c>
      <c r="E391" t="str">
        <f t="shared" si="12"/>
        <v>Cheese</v>
      </c>
      <c r="F391" t="str">
        <f t="shared" si="13"/>
        <v>Dairy</v>
      </c>
      <c r="G391" s="3">
        <v>4.6900000000000004</v>
      </c>
      <c r="H391" t="s">
        <v>1295</v>
      </c>
      <c r="I391" s="2" t="s">
        <v>1296</v>
      </c>
    </row>
    <row r="392" spans="1:10" x14ac:dyDescent="0.25">
      <c r="A392" t="s">
        <v>1297</v>
      </c>
      <c r="B392" t="s">
        <v>1298</v>
      </c>
      <c r="C392" t="s">
        <v>1299</v>
      </c>
      <c r="D392" t="str" cm="1">
        <f t="array" ref="D392">_xlfn.TEXTJOIN("", TRUE, IF(ISNUMBER(SEARCH($K$1379:$K$1423, C392)), $K$1379:$K$1423, ""))</f>
        <v>Kraft</v>
      </c>
      <c r="E392" t="str">
        <f t="shared" si="12"/>
        <v>Cheese</v>
      </c>
      <c r="F392" t="str">
        <f t="shared" si="13"/>
        <v>Dairy</v>
      </c>
      <c r="G392" s="3">
        <v>4.6900000000000004</v>
      </c>
      <c r="H392" t="s">
        <v>1272</v>
      </c>
      <c r="I392" s="2" t="s">
        <v>1273</v>
      </c>
    </row>
    <row r="393" spans="1:10" x14ac:dyDescent="0.25">
      <c r="A393" t="s">
        <v>1300</v>
      </c>
      <c r="B393" t="s">
        <v>1301</v>
      </c>
      <c r="C393" t="s">
        <v>1302</v>
      </c>
      <c r="D393" t="str" cm="1">
        <f t="array" ref="D393">_xlfn.TEXTJOIN("", TRUE, IF(ISNUMBER(SEARCH($K$1379:$K$1423, C393)), $K$1379:$K$1423, ""))</f>
        <v>Kraft</v>
      </c>
      <c r="E393" t="str">
        <f t="shared" si="12"/>
        <v>Cheese</v>
      </c>
      <c r="F393" t="str">
        <f t="shared" si="13"/>
        <v>Dairy</v>
      </c>
      <c r="G393" s="3">
        <v>1.33</v>
      </c>
      <c r="H393" t="s">
        <v>1303</v>
      </c>
      <c r="I393" s="2" t="s">
        <v>13</v>
      </c>
    </row>
    <row r="394" spans="1:10" x14ac:dyDescent="0.25">
      <c r="A394" t="s">
        <v>1304</v>
      </c>
      <c r="B394" t="s">
        <v>1305</v>
      </c>
      <c r="C394" t="s">
        <v>1306</v>
      </c>
      <c r="D394" t="str" cm="1">
        <f t="array" ref="D394">_xlfn.TEXTJOIN("", TRUE, IF(ISNUMBER(SEARCH($K$1379:$K$1423, C394)), $K$1379:$K$1423, ""))</f>
        <v>Kraft</v>
      </c>
      <c r="E394" t="str">
        <f t="shared" si="12"/>
        <v>Cheese</v>
      </c>
      <c r="F394" t="str">
        <f t="shared" si="13"/>
        <v>Dairy</v>
      </c>
      <c r="G394" s="3">
        <v>1.79</v>
      </c>
      <c r="H394" t="s">
        <v>1307</v>
      </c>
      <c r="I394" s="2" t="s">
        <v>752</v>
      </c>
    </row>
    <row r="395" spans="1:10" x14ac:dyDescent="0.25">
      <c r="A395" t="s">
        <v>1308</v>
      </c>
      <c r="B395" t="s">
        <v>1309</v>
      </c>
      <c r="C395" t="s">
        <v>1310</v>
      </c>
      <c r="D395" t="str" cm="1">
        <f t="array" ref="D395">_xlfn.TEXTJOIN("", TRUE, IF(ISNUMBER(SEARCH($K$1379:$K$1423, C395)), $K$1379:$K$1423, ""))</f>
        <v>Kraft</v>
      </c>
      <c r="E395" t="str">
        <f t="shared" si="12"/>
        <v>Cheese</v>
      </c>
      <c r="F395" t="str">
        <f t="shared" si="13"/>
        <v>Dairy</v>
      </c>
      <c r="G395" s="3">
        <v>1.79</v>
      </c>
      <c r="H395" t="s">
        <v>1303</v>
      </c>
      <c r="I395" s="2" t="s">
        <v>149</v>
      </c>
    </row>
    <row r="396" spans="1:10" x14ac:dyDescent="0.25">
      <c r="A396" t="s">
        <v>1311</v>
      </c>
      <c r="B396" t="s">
        <v>1312</v>
      </c>
      <c r="C396" t="s">
        <v>1313</v>
      </c>
      <c r="D396" t="str" cm="1">
        <f t="array" ref="D396">_xlfn.TEXTJOIN("", TRUE, IF(ISNUMBER(SEARCH($K$1379:$K$1423, C396)), $K$1379:$K$1423, ""))</f>
        <v>Kraft</v>
      </c>
      <c r="E396" t="str">
        <f t="shared" si="12"/>
        <v>Cheese</v>
      </c>
      <c r="F396" t="str">
        <f t="shared" si="13"/>
        <v>Dairy</v>
      </c>
      <c r="G396" s="3">
        <v>3.99</v>
      </c>
      <c r="H396" t="s">
        <v>1314</v>
      </c>
      <c r="I396" s="2" t="s">
        <v>1315</v>
      </c>
    </row>
    <row r="397" spans="1:10" x14ac:dyDescent="0.25">
      <c r="A397" t="s">
        <v>1316</v>
      </c>
      <c r="B397" t="s">
        <v>1317</v>
      </c>
      <c r="C397" t="s">
        <v>1318</v>
      </c>
      <c r="D397" t="str" cm="1">
        <f t="array" ref="D397">_xlfn.TEXTJOIN("", TRUE, IF(ISNUMBER(SEARCH($K$1379:$K$1423, C397)), $K$1379:$K$1423, ""))</f>
        <v>Kraft</v>
      </c>
      <c r="E397" t="str">
        <f t="shared" si="12"/>
        <v>Cheese</v>
      </c>
      <c r="F397" t="str">
        <f t="shared" si="13"/>
        <v>Dairy</v>
      </c>
      <c r="G397" s="3">
        <v>4.99</v>
      </c>
      <c r="H397" t="s">
        <v>138</v>
      </c>
      <c r="I397" s="2" t="s">
        <v>1319</v>
      </c>
    </row>
    <row r="398" spans="1:10" x14ac:dyDescent="0.25">
      <c r="A398" t="s">
        <v>1320</v>
      </c>
      <c r="B398" t="s">
        <v>1321</v>
      </c>
      <c r="C398" t="s">
        <v>1322</v>
      </c>
      <c r="D398" t="str" cm="1">
        <f t="array" ref="D398">_xlfn.TEXTJOIN("", TRUE, IF(ISNUMBER(SEARCH($K$1379:$K$1423, C398)), $K$1379:$K$1423, ""))</f>
        <v>Kraft</v>
      </c>
      <c r="E398" t="str">
        <f t="shared" si="12"/>
        <v>Cheese</v>
      </c>
      <c r="F398" t="str">
        <f t="shared" si="13"/>
        <v>Dairy</v>
      </c>
      <c r="G398" s="3">
        <v>4.3899999999999997</v>
      </c>
      <c r="H398" t="s">
        <v>1323</v>
      </c>
      <c r="I398" s="2" t="s">
        <v>356</v>
      </c>
    </row>
    <row r="399" spans="1:10" x14ac:dyDescent="0.25">
      <c r="A399" t="s">
        <v>1324</v>
      </c>
      <c r="B399" t="s">
        <v>1325</v>
      </c>
      <c r="C399" t="s">
        <v>1326</v>
      </c>
      <c r="D399" t="str" cm="1">
        <f t="array" ref="D399">_xlfn.TEXTJOIN("", TRUE, IF(ISNUMBER(SEARCH($K$1379:$K$1423, C399)), $K$1379:$K$1423, ""))</f>
        <v>Kraft</v>
      </c>
      <c r="E399" t="str">
        <f t="shared" si="12"/>
        <v>Cheese</v>
      </c>
      <c r="F399" t="str">
        <f t="shared" si="13"/>
        <v>Dairy</v>
      </c>
      <c r="G399" s="3">
        <v>1.79</v>
      </c>
      <c r="H399" t="s">
        <v>1303</v>
      </c>
      <c r="I399" s="2" t="s">
        <v>149</v>
      </c>
    </row>
    <row r="400" spans="1:10" x14ac:dyDescent="0.25">
      <c r="A400" t="s">
        <v>1327</v>
      </c>
      <c r="B400" t="s">
        <v>1328</v>
      </c>
      <c r="C400" t="s">
        <v>1329</v>
      </c>
      <c r="D400" t="str" cm="1">
        <f t="array" ref="D400">_xlfn.TEXTJOIN("", TRUE, IF(ISNUMBER(SEARCH($K$1379:$K$1423, C400)), $K$1379:$K$1423, ""))</f>
        <v>Kraft</v>
      </c>
      <c r="E400" t="str">
        <f t="shared" si="12"/>
        <v>Cheese</v>
      </c>
      <c r="F400" t="str">
        <f t="shared" si="13"/>
        <v>Dairy</v>
      </c>
      <c r="G400" s="3">
        <v>1.79</v>
      </c>
      <c r="H400" t="s">
        <v>1307</v>
      </c>
      <c r="I400" s="2" t="s">
        <v>752</v>
      </c>
    </row>
    <row r="401" spans="1:9" x14ac:dyDescent="0.25">
      <c r="A401" t="s">
        <v>1330</v>
      </c>
      <c r="B401" t="s">
        <v>1331</v>
      </c>
      <c r="C401" t="s">
        <v>1332</v>
      </c>
      <c r="D401" t="str" cm="1">
        <f t="array" ref="D401">_xlfn.TEXTJOIN("", TRUE, IF(ISNUMBER(SEARCH($K$1379:$K$1423, C401)), $K$1379:$K$1423, ""))</f>
        <v>Kraft</v>
      </c>
      <c r="E401" t="str">
        <f t="shared" si="12"/>
        <v>Cheese</v>
      </c>
      <c r="F401" t="str">
        <f t="shared" si="13"/>
        <v>Dairy</v>
      </c>
      <c r="G401" s="3">
        <v>6.39</v>
      </c>
      <c r="H401" t="s">
        <v>1333</v>
      </c>
      <c r="I401" s="2" t="s">
        <v>13</v>
      </c>
    </row>
    <row r="402" spans="1:9" x14ac:dyDescent="0.25">
      <c r="A402" t="s">
        <v>1334</v>
      </c>
      <c r="B402" t="s">
        <v>1335</v>
      </c>
      <c r="C402" t="s">
        <v>1336</v>
      </c>
      <c r="D402" t="str" cm="1">
        <f t="array" ref="D402">_xlfn.TEXTJOIN("", TRUE, IF(ISNUMBER(SEARCH($K$1379:$K$1423, C402)), $K$1379:$K$1423, ""))</f>
        <v>Kraft</v>
      </c>
      <c r="E402" t="str">
        <f t="shared" si="12"/>
        <v>Cheese</v>
      </c>
      <c r="F402" t="str">
        <f t="shared" si="13"/>
        <v>Dairy</v>
      </c>
      <c r="G402" s="3">
        <v>6.49</v>
      </c>
      <c r="H402" t="s">
        <v>1143</v>
      </c>
      <c r="I402" s="2" t="s">
        <v>1337</v>
      </c>
    </row>
    <row r="403" spans="1:9" x14ac:dyDescent="0.25">
      <c r="A403" t="s">
        <v>1338</v>
      </c>
      <c r="B403" t="s">
        <v>1339</v>
      </c>
      <c r="C403" t="s">
        <v>1340</v>
      </c>
      <c r="D403" t="str" cm="1">
        <f t="array" ref="D403">_xlfn.TEXTJOIN("", TRUE, IF(ISNUMBER(SEARCH($K$1379:$K$1423, C403)), $K$1379:$K$1423, ""))</f>
        <v>Kraft</v>
      </c>
      <c r="E403" t="str">
        <f t="shared" si="12"/>
        <v>Cheese</v>
      </c>
      <c r="F403" t="str">
        <f t="shared" si="13"/>
        <v>Dairy</v>
      </c>
      <c r="G403" s="3">
        <v>1.79</v>
      </c>
      <c r="H403" t="s">
        <v>1341</v>
      </c>
      <c r="I403" s="2" t="s">
        <v>149</v>
      </c>
    </row>
    <row r="404" spans="1:9" x14ac:dyDescent="0.25">
      <c r="A404" t="s">
        <v>1342</v>
      </c>
      <c r="B404" t="s">
        <v>1343</v>
      </c>
      <c r="C404" t="s">
        <v>1344</v>
      </c>
      <c r="D404" t="str" cm="1">
        <f t="array" ref="D404">_xlfn.TEXTJOIN("", TRUE, IF(ISNUMBER(SEARCH($K$1379:$K$1423, C404)), $K$1379:$K$1423, ""))</f>
        <v>Kraft</v>
      </c>
      <c r="E404" t="str">
        <f t="shared" si="12"/>
        <v>Cheese</v>
      </c>
      <c r="F404" t="str">
        <f t="shared" si="13"/>
        <v>Dairy</v>
      </c>
      <c r="G404" s="3">
        <v>4.6900000000000004</v>
      </c>
      <c r="H404" t="s">
        <v>1345</v>
      </c>
      <c r="I404" s="2" t="s">
        <v>99</v>
      </c>
    </row>
    <row r="405" spans="1:9" x14ac:dyDescent="0.25">
      <c r="A405" t="s">
        <v>1346</v>
      </c>
      <c r="B405" t="s">
        <v>1347</v>
      </c>
      <c r="C405" t="s">
        <v>1348</v>
      </c>
      <c r="D405" t="str" cm="1">
        <f t="array" ref="D405">_xlfn.TEXTJOIN("", TRUE, IF(ISNUMBER(SEARCH($K$1379:$K$1423, C405)), $K$1379:$K$1423, ""))</f>
        <v>Kraft</v>
      </c>
      <c r="E405" t="str">
        <f t="shared" si="12"/>
        <v>Cheese</v>
      </c>
      <c r="F405" t="str">
        <f t="shared" si="13"/>
        <v>Dairy</v>
      </c>
      <c r="G405" s="3">
        <v>1.79</v>
      </c>
      <c r="H405" t="s">
        <v>1307</v>
      </c>
      <c r="I405" s="2" t="s">
        <v>752</v>
      </c>
    </row>
    <row r="406" spans="1:9" x14ac:dyDescent="0.25">
      <c r="A406" t="s">
        <v>1349</v>
      </c>
      <c r="B406" t="s">
        <v>1350</v>
      </c>
      <c r="C406" t="s">
        <v>1351</v>
      </c>
      <c r="D406" t="str" cm="1">
        <f t="array" ref="D406">_xlfn.TEXTJOIN("", TRUE, IF(ISNUMBER(SEARCH($K$1379:$K$1423, C406)), $K$1379:$K$1423, ""))</f>
        <v>Kraft</v>
      </c>
      <c r="E406" t="str">
        <f t="shared" si="12"/>
        <v>Cheese</v>
      </c>
      <c r="F406" t="str">
        <f t="shared" si="13"/>
        <v>Dairy</v>
      </c>
      <c r="G406" s="3">
        <v>4.99</v>
      </c>
      <c r="H406" t="s">
        <v>1234</v>
      </c>
      <c r="I406" s="2" t="s">
        <v>507</v>
      </c>
    </row>
    <row r="407" spans="1:9" x14ac:dyDescent="0.25">
      <c r="A407" t="s">
        <v>1352</v>
      </c>
      <c r="B407" t="s">
        <v>1353</v>
      </c>
      <c r="C407" t="s">
        <v>1354</v>
      </c>
      <c r="D407" t="str" cm="1">
        <f t="array" ref="D407">_xlfn.TEXTJOIN("", TRUE, IF(ISNUMBER(SEARCH($K$1379:$K$1423, C407)), $K$1379:$K$1423, ""))</f>
        <v>Kraft</v>
      </c>
      <c r="E407" t="str">
        <f t="shared" si="12"/>
        <v>Cheese</v>
      </c>
      <c r="F407" t="str">
        <f t="shared" si="13"/>
        <v>Dairy</v>
      </c>
      <c r="G407" s="3">
        <v>3.79</v>
      </c>
      <c r="H407" t="s">
        <v>36</v>
      </c>
      <c r="I407" s="2" t="s">
        <v>551</v>
      </c>
    </row>
    <row r="408" spans="1:9" x14ac:dyDescent="0.25">
      <c r="A408" t="s">
        <v>1355</v>
      </c>
      <c r="B408" t="s">
        <v>1356</v>
      </c>
      <c r="C408" t="s">
        <v>1357</v>
      </c>
      <c r="D408" t="str" cm="1">
        <f t="array" ref="D408">_xlfn.TEXTJOIN("", TRUE, IF(ISNUMBER(SEARCH($K$1379:$K$1423, C408)), $K$1379:$K$1423, ""))</f>
        <v>Kraft</v>
      </c>
      <c r="E408" t="str">
        <f t="shared" si="12"/>
        <v>Cheese</v>
      </c>
      <c r="F408" t="str">
        <f t="shared" si="13"/>
        <v>Dairy</v>
      </c>
      <c r="G408" s="3">
        <v>3.99</v>
      </c>
      <c r="H408" t="s">
        <v>1358</v>
      </c>
      <c r="I408" s="2" t="s">
        <v>507</v>
      </c>
    </row>
    <row r="409" spans="1:9" x14ac:dyDescent="0.25">
      <c r="A409" t="s">
        <v>1359</v>
      </c>
      <c r="B409" t="s">
        <v>1360</v>
      </c>
      <c r="C409" t="s">
        <v>1361</v>
      </c>
      <c r="D409" t="str" cm="1">
        <f t="array" ref="D409">_xlfn.TEXTJOIN("", TRUE, IF(ISNUMBER(SEARCH($K$1379:$K$1423, C409)), $K$1379:$K$1423, ""))</f>
        <v>Kraft</v>
      </c>
      <c r="E409" t="str">
        <f t="shared" si="12"/>
        <v>Cheese</v>
      </c>
      <c r="F409" t="str">
        <f t="shared" si="13"/>
        <v>Dairy</v>
      </c>
      <c r="G409" s="3">
        <v>3.99</v>
      </c>
      <c r="H409" t="s">
        <v>360</v>
      </c>
      <c r="I409" s="2" t="s">
        <v>1362</v>
      </c>
    </row>
    <row r="410" spans="1:9" x14ac:dyDescent="0.25">
      <c r="A410" t="s">
        <v>1363</v>
      </c>
      <c r="B410" t="s">
        <v>1364</v>
      </c>
      <c r="C410" t="s">
        <v>1365</v>
      </c>
      <c r="D410" t="str" cm="1">
        <f t="array" ref="D410">_xlfn.TEXTJOIN("", TRUE, IF(ISNUMBER(SEARCH($K$1379:$K$1423, C410)), $K$1379:$K$1423, ""))</f>
        <v>Kraft</v>
      </c>
      <c r="E410" t="str">
        <f t="shared" si="12"/>
        <v>Cheese</v>
      </c>
      <c r="F410" t="str">
        <f t="shared" si="13"/>
        <v>Dairy</v>
      </c>
      <c r="G410" s="3">
        <v>1.79</v>
      </c>
      <c r="H410" t="s">
        <v>1307</v>
      </c>
      <c r="I410" s="2" t="s">
        <v>752</v>
      </c>
    </row>
    <row r="411" spans="1:9" x14ac:dyDescent="0.25">
      <c r="A411" t="s">
        <v>1366</v>
      </c>
      <c r="B411" t="s">
        <v>1367</v>
      </c>
      <c r="C411" t="s">
        <v>1368</v>
      </c>
      <c r="D411" t="str" cm="1">
        <f t="array" ref="D411">_xlfn.TEXTJOIN("", TRUE, IF(ISNUMBER(SEARCH($K$1379:$K$1423, C411)), $K$1379:$K$1423, ""))</f>
        <v>Kraft</v>
      </c>
      <c r="E411" t="str">
        <f t="shared" si="12"/>
        <v>Cheese</v>
      </c>
      <c r="F411" t="str">
        <f t="shared" si="13"/>
        <v>Dairy</v>
      </c>
      <c r="G411" s="3">
        <v>1.79</v>
      </c>
      <c r="H411" t="s">
        <v>360</v>
      </c>
      <c r="I411" s="2" t="s">
        <v>528</v>
      </c>
    </row>
    <row r="412" spans="1:9" x14ac:dyDescent="0.25">
      <c r="A412" t="s">
        <v>1369</v>
      </c>
      <c r="B412" t="s">
        <v>1370</v>
      </c>
      <c r="C412" t="s">
        <v>1371</v>
      </c>
      <c r="D412" t="str" cm="1">
        <f t="array" ref="D412">_xlfn.TEXTJOIN("", TRUE, IF(ISNUMBER(SEARCH($K$1379:$K$1423, C412)), $K$1379:$K$1423, ""))</f>
        <v>Kraft</v>
      </c>
      <c r="E412" t="str">
        <f t="shared" si="12"/>
        <v>Cheese</v>
      </c>
      <c r="F412" t="str">
        <f t="shared" si="13"/>
        <v>Dairy</v>
      </c>
      <c r="G412" s="3">
        <v>3.99</v>
      </c>
      <c r="H412" t="s">
        <v>1372</v>
      </c>
      <c r="I412" s="2" t="s">
        <v>1373</v>
      </c>
    </row>
    <row r="413" spans="1:9" x14ac:dyDescent="0.25">
      <c r="A413" t="s">
        <v>1374</v>
      </c>
      <c r="B413" t="s">
        <v>1375</v>
      </c>
      <c r="C413" t="s">
        <v>1376</v>
      </c>
      <c r="D413" t="str" cm="1">
        <f t="array" ref="D413">_xlfn.TEXTJOIN("", TRUE, IF(ISNUMBER(SEARCH($K$1379:$K$1423, C413)), $K$1379:$K$1423, ""))</f>
        <v>Kraft</v>
      </c>
      <c r="E413" t="str">
        <f t="shared" si="12"/>
        <v>Cheese</v>
      </c>
      <c r="F413" t="str">
        <f t="shared" si="13"/>
        <v>Dairy</v>
      </c>
      <c r="G413" s="3">
        <v>11.79</v>
      </c>
      <c r="H413" t="s">
        <v>1377</v>
      </c>
      <c r="I413" s="2" t="s">
        <v>1378</v>
      </c>
    </row>
    <row r="414" spans="1:9" x14ac:dyDescent="0.25">
      <c r="A414" t="s">
        <v>1379</v>
      </c>
      <c r="B414" t="s">
        <v>1380</v>
      </c>
      <c r="C414" t="s">
        <v>1381</v>
      </c>
      <c r="D414" t="str" cm="1">
        <f t="array" ref="D414">_xlfn.TEXTJOIN("", TRUE, IF(ISNUMBER(SEARCH($K$1379:$K$1423, C414)), $K$1379:$K$1423, ""))</f>
        <v>Kraft</v>
      </c>
      <c r="E414" t="str">
        <f t="shared" si="12"/>
        <v>Cheese</v>
      </c>
      <c r="F414" t="str">
        <f t="shared" si="13"/>
        <v>Dairy</v>
      </c>
      <c r="G414" s="3">
        <v>4.3899999999999997</v>
      </c>
      <c r="H414" t="s">
        <v>1323</v>
      </c>
      <c r="I414" s="2" t="s">
        <v>356</v>
      </c>
    </row>
    <row r="415" spans="1:9" x14ac:dyDescent="0.25">
      <c r="A415" t="s">
        <v>1382</v>
      </c>
      <c r="B415" t="s">
        <v>1383</v>
      </c>
      <c r="C415" t="s">
        <v>1384</v>
      </c>
      <c r="D415" t="str" cm="1">
        <f t="array" ref="D415">_xlfn.TEXTJOIN("", TRUE, IF(ISNUMBER(SEARCH($K$1379:$K$1423, C415)), $K$1379:$K$1423, ""))</f>
        <v>Kraft</v>
      </c>
      <c r="E415" t="str">
        <f t="shared" si="12"/>
        <v>Cheese</v>
      </c>
      <c r="F415" t="str">
        <f t="shared" si="13"/>
        <v>Dairy</v>
      </c>
      <c r="G415" s="3">
        <v>4.99</v>
      </c>
      <c r="H415" t="s">
        <v>1234</v>
      </c>
      <c r="I415" s="2" t="s">
        <v>1319</v>
      </c>
    </row>
    <row r="416" spans="1:9" x14ac:dyDescent="0.25">
      <c r="A416" t="s">
        <v>1385</v>
      </c>
      <c r="B416" t="s">
        <v>1386</v>
      </c>
      <c r="C416" t="s">
        <v>1387</v>
      </c>
      <c r="D416" t="str" cm="1">
        <f t="array" ref="D416">_xlfn.TEXTJOIN("", TRUE, IF(ISNUMBER(SEARCH($K$1379:$K$1423, C416)), $K$1379:$K$1423, ""))</f>
        <v>Kraft</v>
      </c>
      <c r="E416" t="str">
        <f t="shared" si="12"/>
        <v>Cheese</v>
      </c>
      <c r="F416" t="str">
        <f t="shared" si="13"/>
        <v>Dairy</v>
      </c>
      <c r="G416" s="3">
        <v>4.3899999999999997</v>
      </c>
      <c r="H416" t="s">
        <v>1388</v>
      </c>
      <c r="I416" s="2" t="s">
        <v>689</v>
      </c>
    </row>
    <row r="417" spans="1:12" x14ac:dyDescent="0.25">
      <c r="A417" t="s">
        <v>1389</v>
      </c>
      <c r="B417" t="s">
        <v>1390</v>
      </c>
      <c r="C417" t="s">
        <v>1391</v>
      </c>
      <c r="D417" t="str" cm="1">
        <f t="array" ref="D417">_xlfn.TEXTJOIN("", TRUE, IF(ISNUMBER(SEARCH($K$1379:$K$1423, C417)), $K$1379:$K$1423, ""))</f>
        <v>Kraft</v>
      </c>
      <c r="E417" t="str">
        <f t="shared" si="12"/>
        <v>Cheese</v>
      </c>
      <c r="F417" t="str">
        <f t="shared" si="13"/>
        <v>Dairy</v>
      </c>
      <c r="G417" s="3">
        <v>3.99</v>
      </c>
      <c r="H417" t="s">
        <v>1314</v>
      </c>
      <c r="I417" s="2" t="s">
        <v>1315</v>
      </c>
    </row>
    <row r="418" spans="1:12" x14ac:dyDescent="0.25">
      <c r="A418" t="s">
        <v>1392</v>
      </c>
      <c r="B418" t="s">
        <v>1393</v>
      </c>
      <c r="C418" t="s">
        <v>1394</v>
      </c>
      <c r="D418" t="str" cm="1">
        <f t="array" ref="D418">_xlfn.TEXTJOIN("", TRUE, IF(ISNUMBER(SEARCH($K$1379:$K$1423, C418)), $K$1379:$K$1423, ""))</f>
        <v>Kraft</v>
      </c>
      <c r="E418" t="str">
        <f t="shared" si="12"/>
        <v>Cheese</v>
      </c>
      <c r="F418" t="str">
        <f t="shared" si="13"/>
        <v>Dairy</v>
      </c>
      <c r="G418" s="3">
        <v>7.49</v>
      </c>
      <c r="H418" t="s">
        <v>1395</v>
      </c>
      <c r="I418" s="2" t="s">
        <v>13</v>
      </c>
    </row>
    <row r="419" spans="1:12" x14ac:dyDescent="0.25">
      <c r="A419" t="s">
        <v>1396</v>
      </c>
      <c r="B419" t="s">
        <v>1397</v>
      </c>
      <c r="C419" t="s">
        <v>1398</v>
      </c>
      <c r="D419" t="str" cm="1">
        <f t="array" ref="D419">_xlfn.TEXTJOIN("", TRUE, IF(ISNUMBER(SEARCH($K$1379:$K$1423, C419)), $K$1379:$K$1423, ""))</f>
        <v>Kraft</v>
      </c>
      <c r="E419" t="str">
        <f t="shared" si="12"/>
        <v>Cheese</v>
      </c>
      <c r="F419" t="str">
        <f t="shared" si="13"/>
        <v>Dairy</v>
      </c>
      <c r="G419" s="3">
        <v>2.29</v>
      </c>
      <c r="H419" t="s">
        <v>1399</v>
      </c>
      <c r="I419" s="2" t="s">
        <v>1400</v>
      </c>
      <c r="L419" s="1"/>
    </row>
    <row r="420" spans="1:12" x14ac:dyDescent="0.25">
      <c r="A420" t="s">
        <v>1401</v>
      </c>
      <c r="B420" t="s">
        <v>1402</v>
      </c>
      <c r="C420" t="s">
        <v>1403</v>
      </c>
      <c r="D420" t="str" cm="1">
        <f t="array" ref="D420">_xlfn.TEXTJOIN("", TRUE, IF(ISNUMBER(SEARCH($K$1379:$K$1423, C420)), $K$1379:$K$1423, ""))</f>
        <v>Kraft</v>
      </c>
      <c r="E420" t="str">
        <f t="shared" si="12"/>
        <v>Cheese</v>
      </c>
      <c r="F420" t="str">
        <f t="shared" si="13"/>
        <v>Dairy</v>
      </c>
      <c r="G420" s="3">
        <v>4.3899999999999997</v>
      </c>
      <c r="H420" t="s">
        <v>1323</v>
      </c>
      <c r="I420" s="2" t="s">
        <v>356</v>
      </c>
      <c r="L420" s="1"/>
    </row>
    <row r="421" spans="1:12" x14ac:dyDescent="0.25">
      <c r="A421" t="s">
        <v>1404</v>
      </c>
      <c r="B421" t="s">
        <v>1405</v>
      </c>
      <c r="C421" t="s">
        <v>1406</v>
      </c>
      <c r="D421" t="str" cm="1">
        <f t="array" ref="D421">_xlfn.TEXTJOIN("", TRUE, IF(ISNUMBER(SEARCH($K$1379:$K$1423, C421)), $K$1379:$K$1423, ""))</f>
        <v>Kraft</v>
      </c>
      <c r="E421" t="str">
        <f t="shared" si="12"/>
        <v>Cheese</v>
      </c>
      <c r="F421" t="str">
        <f t="shared" si="13"/>
        <v>Dairy</v>
      </c>
      <c r="G421" s="3">
        <v>3.99</v>
      </c>
      <c r="H421" t="s">
        <v>1372</v>
      </c>
      <c r="I421" s="2" t="s">
        <v>1373</v>
      </c>
    </row>
    <row r="422" spans="1:12" x14ac:dyDescent="0.25">
      <c r="A422" t="s">
        <v>1407</v>
      </c>
      <c r="B422" t="s">
        <v>1408</v>
      </c>
      <c r="C422" t="s">
        <v>1409</v>
      </c>
      <c r="D422" t="str" cm="1">
        <f t="array" ref="D422">_xlfn.TEXTJOIN("", TRUE, IF(ISNUMBER(SEARCH($K$1379:$K$1423, C422)), $K$1379:$K$1423, ""))</f>
        <v>Kraft</v>
      </c>
      <c r="E422" t="str">
        <f t="shared" si="12"/>
        <v>Cheese</v>
      </c>
      <c r="F422" t="str">
        <f t="shared" si="13"/>
        <v>Dairy</v>
      </c>
      <c r="G422" s="3">
        <v>4.3899999999999997</v>
      </c>
      <c r="H422" t="s">
        <v>1410</v>
      </c>
      <c r="I422" s="2" t="s">
        <v>689</v>
      </c>
    </row>
    <row r="423" spans="1:12" x14ac:dyDescent="0.25">
      <c r="A423" t="s">
        <v>1411</v>
      </c>
      <c r="B423" t="s">
        <v>1412</v>
      </c>
      <c r="C423" t="s">
        <v>1413</v>
      </c>
      <c r="D423" t="str" cm="1">
        <f t="array" ref="D423">_xlfn.TEXTJOIN("", TRUE, IF(ISNUMBER(SEARCH($K$1379:$K$1423, C423)), $K$1379:$K$1423, ""))</f>
        <v>Kraft</v>
      </c>
      <c r="E423" t="str">
        <f t="shared" si="12"/>
        <v>Cheese</v>
      </c>
      <c r="F423" t="str">
        <f t="shared" si="13"/>
        <v>Dairy</v>
      </c>
      <c r="G423" s="3">
        <v>3.99</v>
      </c>
      <c r="H423" t="s">
        <v>1372</v>
      </c>
      <c r="I423" s="2" t="s">
        <v>1373</v>
      </c>
    </row>
    <row r="424" spans="1:12" x14ac:dyDescent="0.25">
      <c r="A424" t="s">
        <v>1414</v>
      </c>
      <c r="B424" t="s">
        <v>1415</v>
      </c>
      <c r="C424" t="s">
        <v>1416</v>
      </c>
      <c r="D424" t="str" cm="1">
        <f t="array" ref="D424">_xlfn.TEXTJOIN("", TRUE, IF(ISNUMBER(SEARCH($K$1379:$K$1423, C424)), $K$1379:$K$1423, ""))</f>
        <v>Kraft</v>
      </c>
      <c r="E424" t="str">
        <f t="shared" si="12"/>
        <v>Cheese</v>
      </c>
      <c r="F424" t="str">
        <f t="shared" si="13"/>
        <v>Dairy</v>
      </c>
      <c r="G424" s="3">
        <v>6.99</v>
      </c>
      <c r="H424" t="s">
        <v>1372</v>
      </c>
      <c r="I424" s="2" t="s">
        <v>1417</v>
      </c>
    </row>
    <row r="425" spans="1:12" x14ac:dyDescent="0.25">
      <c r="A425" t="s">
        <v>1418</v>
      </c>
      <c r="B425" t="s">
        <v>1419</v>
      </c>
      <c r="C425" t="s">
        <v>1420</v>
      </c>
      <c r="D425" t="str" cm="1">
        <f t="array" ref="D425">_xlfn.TEXTJOIN("", TRUE, IF(ISNUMBER(SEARCH($K$1379:$K$1423, C425)), $K$1379:$K$1423, ""))</f>
        <v>Kraft</v>
      </c>
      <c r="E425" t="str">
        <f t="shared" si="12"/>
        <v>Cheese</v>
      </c>
      <c r="F425" t="str">
        <f t="shared" si="13"/>
        <v>Dairy</v>
      </c>
      <c r="G425" s="3">
        <v>3.39</v>
      </c>
      <c r="H425" t="s">
        <v>360</v>
      </c>
      <c r="I425" s="2" t="s">
        <v>1421</v>
      </c>
    </row>
    <row r="426" spans="1:12" x14ac:dyDescent="0.25">
      <c r="A426" t="s">
        <v>1422</v>
      </c>
      <c r="B426" t="s">
        <v>1423</v>
      </c>
      <c r="C426" t="s">
        <v>1322</v>
      </c>
      <c r="D426" t="str" cm="1">
        <f t="array" ref="D426">_xlfn.TEXTJOIN("", TRUE, IF(ISNUMBER(SEARCH($K$1379:$K$1423, C426)), $K$1379:$K$1423, ""))</f>
        <v>Kraft</v>
      </c>
      <c r="E426" t="str">
        <f t="shared" si="12"/>
        <v>Cheese</v>
      </c>
      <c r="F426" t="str">
        <f t="shared" si="13"/>
        <v>Dairy</v>
      </c>
      <c r="G426" s="3">
        <v>4.99</v>
      </c>
      <c r="H426" t="s">
        <v>17</v>
      </c>
      <c r="I426" s="2" t="s">
        <v>507</v>
      </c>
    </row>
    <row r="427" spans="1:12" x14ac:dyDescent="0.25">
      <c r="A427" t="s">
        <v>1424</v>
      </c>
      <c r="B427" t="s">
        <v>1425</v>
      </c>
      <c r="C427" t="s">
        <v>1426</v>
      </c>
      <c r="D427" t="str" cm="1">
        <f t="array" ref="D427">_xlfn.TEXTJOIN("", TRUE, IF(ISNUMBER(SEARCH($K$1379:$K$1423, C427)), $K$1379:$K$1423, ""))</f>
        <v>Kraft</v>
      </c>
      <c r="E427" t="str">
        <f t="shared" si="12"/>
        <v>Cheese</v>
      </c>
      <c r="F427" t="str">
        <f t="shared" si="13"/>
        <v>Dairy</v>
      </c>
      <c r="G427" s="3">
        <v>4.3899999999999997</v>
      </c>
      <c r="H427" t="s">
        <v>1323</v>
      </c>
      <c r="I427" s="2" t="s">
        <v>356</v>
      </c>
      <c r="L427" s="1"/>
    </row>
    <row r="428" spans="1:12" x14ac:dyDescent="0.25">
      <c r="A428" t="s">
        <v>1427</v>
      </c>
      <c r="B428" t="s">
        <v>1428</v>
      </c>
      <c r="C428" t="s">
        <v>1429</v>
      </c>
      <c r="D428" t="str" cm="1">
        <f t="array" ref="D428">_xlfn.TEXTJOIN("", TRUE, IF(ISNUMBER(SEARCH($K$1379:$K$1423, C428)), $K$1379:$K$1423, ""))</f>
        <v>Kraft</v>
      </c>
      <c r="E428" t="str">
        <f t="shared" si="12"/>
        <v>Cheese</v>
      </c>
      <c r="F428" t="str">
        <f t="shared" si="13"/>
        <v>Dairy</v>
      </c>
      <c r="G428" s="3">
        <v>3.39</v>
      </c>
      <c r="H428" t="s">
        <v>360</v>
      </c>
      <c r="I428" s="2" t="s">
        <v>1421</v>
      </c>
      <c r="L428" s="1"/>
    </row>
    <row r="429" spans="1:12" x14ac:dyDescent="0.25">
      <c r="A429" t="s">
        <v>1430</v>
      </c>
      <c r="B429" t="s">
        <v>1431</v>
      </c>
      <c r="C429" t="s">
        <v>1432</v>
      </c>
      <c r="D429" t="str" cm="1">
        <f t="array" ref="D429">_xlfn.TEXTJOIN("", TRUE, IF(ISNUMBER(SEARCH($K$1379:$K$1423, C429)), $K$1379:$K$1423, ""))</f>
        <v>Kraft</v>
      </c>
      <c r="E429" t="str">
        <f t="shared" si="12"/>
        <v>Cheese</v>
      </c>
      <c r="F429" t="str">
        <f t="shared" si="13"/>
        <v>Dairy</v>
      </c>
      <c r="G429" s="3">
        <v>6.79</v>
      </c>
      <c r="H429" t="s">
        <v>1433</v>
      </c>
      <c r="I429" s="2" t="s">
        <v>356</v>
      </c>
    </row>
    <row r="430" spans="1:12" x14ac:dyDescent="0.25">
      <c r="A430" t="s">
        <v>1434</v>
      </c>
      <c r="B430" t="s">
        <v>1435</v>
      </c>
      <c r="C430" t="s">
        <v>1436</v>
      </c>
      <c r="D430" t="str" cm="1">
        <f t="array" ref="D430">_xlfn.TEXTJOIN("", TRUE, IF(ISNUMBER(SEARCH($K$1379:$K$1423, C430)), $K$1379:$K$1423, ""))</f>
        <v>Kraft</v>
      </c>
      <c r="E430" t="str">
        <f t="shared" si="12"/>
        <v>Cheese</v>
      </c>
      <c r="F430" t="str">
        <f t="shared" si="13"/>
        <v>Dairy</v>
      </c>
      <c r="G430" s="3">
        <v>8.7899999999999991</v>
      </c>
      <c r="H430" t="s">
        <v>1437</v>
      </c>
      <c r="I430" s="2" t="s">
        <v>689</v>
      </c>
    </row>
    <row r="431" spans="1:12" x14ac:dyDescent="0.25">
      <c r="A431" t="s">
        <v>1438</v>
      </c>
      <c r="B431" t="s">
        <v>1439</v>
      </c>
      <c r="C431" t="s">
        <v>1440</v>
      </c>
      <c r="D431" t="str" cm="1">
        <f t="array" ref="D431">_xlfn.TEXTJOIN("", TRUE, IF(ISNUMBER(SEARCH($K$1379:$K$1423, C431)), $K$1379:$K$1423, ""))</f>
        <v>Kraft</v>
      </c>
      <c r="E431" t="str">
        <f t="shared" si="12"/>
        <v>Cheese</v>
      </c>
      <c r="F431" t="str">
        <f t="shared" si="13"/>
        <v>Dairy</v>
      </c>
      <c r="G431" s="3">
        <v>6.79</v>
      </c>
      <c r="H431" t="s">
        <v>1441</v>
      </c>
      <c r="I431" s="2" t="s">
        <v>356</v>
      </c>
    </row>
    <row r="432" spans="1:12" x14ac:dyDescent="0.25">
      <c r="A432" t="s">
        <v>1442</v>
      </c>
      <c r="B432" t="s">
        <v>1443</v>
      </c>
      <c r="C432" t="s">
        <v>1444</v>
      </c>
      <c r="D432" t="str" cm="1">
        <f t="array" ref="D432">_xlfn.TEXTJOIN("", TRUE, IF(ISNUMBER(SEARCH($K$1379:$K$1423, C432)), $K$1379:$K$1423, ""))</f>
        <v>Kraft</v>
      </c>
      <c r="E432" t="str">
        <f t="shared" si="12"/>
        <v>Cheese</v>
      </c>
      <c r="F432" t="str">
        <f t="shared" si="13"/>
        <v>Dairy</v>
      </c>
      <c r="G432" s="3">
        <v>1.99</v>
      </c>
      <c r="H432" t="s">
        <v>1303</v>
      </c>
      <c r="I432" s="2" t="s">
        <v>79</v>
      </c>
    </row>
    <row r="433" spans="1:12" x14ac:dyDescent="0.25">
      <c r="A433" t="s">
        <v>1445</v>
      </c>
      <c r="B433" t="s">
        <v>1446</v>
      </c>
      <c r="C433" t="s">
        <v>1447</v>
      </c>
      <c r="D433" t="str" cm="1">
        <f t="array" ref="D433">_xlfn.TEXTJOIN("", TRUE, IF(ISNUMBER(SEARCH($K$1379:$K$1423, C433)), $K$1379:$K$1423, ""))</f>
        <v>Kraft</v>
      </c>
      <c r="E433" t="str">
        <f t="shared" si="12"/>
        <v>Cheese</v>
      </c>
      <c r="F433" t="str">
        <f t="shared" si="13"/>
        <v>Dairy</v>
      </c>
      <c r="G433" s="3">
        <v>1.99</v>
      </c>
      <c r="H433" t="s">
        <v>1303</v>
      </c>
      <c r="I433" s="2" t="s">
        <v>79</v>
      </c>
    </row>
    <row r="434" spans="1:12" x14ac:dyDescent="0.25">
      <c r="A434" t="s">
        <v>1448</v>
      </c>
      <c r="B434" t="s">
        <v>1449</v>
      </c>
      <c r="C434" t="s">
        <v>1450</v>
      </c>
      <c r="D434" t="str" cm="1">
        <f t="array" ref="D434">_xlfn.TEXTJOIN("", TRUE, IF(ISNUMBER(SEARCH($K$1379:$K$1423, C434)), $K$1379:$K$1423, ""))</f>
        <v>Kraft</v>
      </c>
      <c r="E434" t="str">
        <f t="shared" si="12"/>
        <v>Cheese</v>
      </c>
      <c r="F434" t="str">
        <f t="shared" si="13"/>
        <v>Dairy</v>
      </c>
      <c r="G434" s="3">
        <v>3.79</v>
      </c>
      <c r="H434" t="s">
        <v>1247</v>
      </c>
      <c r="I434" s="2" t="s">
        <v>1144</v>
      </c>
      <c r="L434" s="1"/>
    </row>
    <row r="435" spans="1:12" x14ac:dyDescent="0.25">
      <c r="A435" t="s">
        <v>1451</v>
      </c>
      <c r="B435" t="s">
        <v>1452</v>
      </c>
      <c r="C435" t="s">
        <v>1453</v>
      </c>
      <c r="D435" t="str" cm="1">
        <f t="array" ref="D435">_xlfn.TEXTJOIN("", TRUE, IF(ISNUMBER(SEARCH($K$1379:$K$1423, C435)), $K$1379:$K$1423, ""))</f>
        <v>Kraft</v>
      </c>
      <c r="E435" t="str">
        <f t="shared" si="12"/>
        <v>Cheese</v>
      </c>
      <c r="F435" t="str">
        <f t="shared" si="13"/>
        <v>Dairy</v>
      </c>
      <c r="G435" s="3">
        <v>3.5</v>
      </c>
      <c r="H435" t="s">
        <v>17</v>
      </c>
      <c r="I435" s="2" t="s">
        <v>308</v>
      </c>
    </row>
    <row r="436" spans="1:12" x14ac:dyDescent="0.25">
      <c r="A436" t="s">
        <v>1454</v>
      </c>
      <c r="B436" t="s">
        <v>1455</v>
      </c>
      <c r="C436" t="s">
        <v>1456</v>
      </c>
      <c r="D436" t="str" cm="1">
        <f t="array" ref="D436">_xlfn.TEXTJOIN("", TRUE, IF(ISNUMBER(SEARCH($K$1379:$K$1423, C436)), $K$1379:$K$1423, ""))</f>
        <v>Kraft</v>
      </c>
      <c r="E436" t="str">
        <f t="shared" si="12"/>
        <v>Cheese</v>
      </c>
      <c r="F436" t="str">
        <f t="shared" si="13"/>
        <v>Dairy</v>
      </c>
      <c r="G436" s="3">
        <v>3.5</v>
      </c>
      <c r="H436" t="s">
        <v>17</v>
      </c>
      <c r="I436" s="2" t="s">
        <v>308</v>
      </c>
    </row>
    <row r="437" spans="1:12" x14ac:dyDescent="0.25">
      <c r="A437" t="s">
        <v>1457</v>
      </c>
      <c r="B437" t="s">
        <v>1458</v>
      </c>
      <c r="C437" t="s">
        <v>1459</v>
      </c>
      <c r="D437" t="str" cm="1">
        <f t="array" ref="D437">_xlfn.TEXTJOIN("", TRUE, IF(ISNUMBER(SEARCH($K$1379:$K$1423, C437)), $K$1379:$K$1423, ""))</f>
        <v>Lactaid</v>
      </c>
      <c r="E437" t="str">
        <f t="shared" si="12"/>
        <v>Milk</v>
      </c>
      <c r="F437" t="str">
        <f t="shared" si="13"/>
        <v>Dairy</v>
      </c>
      <c r="G437" s="3">
        <v>4.3899999999999997</v>
      </c>
      <c r="H437" t="s">
        <v>1461</v>
      </c>
      <c r="I437" s="2" t="s">
        <v>993</v>
      </c>
    </row>
    <row r="438" spans="1:12" x14ac:dyDescent="0.25">
      <c r="A438" t="s">
        <v>1462</v>
      </c>
      <c r="B438" t="s">
        <v>1463</v>
      </c>
      <c r="C438" t="s">
        <v>1464</v>
      </c>
      <c r="D438" t="str" cm="1">
        <f t="array" ref="D438">_xlfn.TEXTJOIN("", TRUE, IF(ISNUMBER(SEARCH($K$1379:$K$1423, C438)), $K$1379:$K$1423, ""))</f>
        <v>Lactaid</v>
      </c>
      <c r="E438" t="str">
        <f t="shared" si="12"/>
        <v>Milk</v>
      </c>
      <c r="F438" t="str">
        <f t="shared" si="13"/>
        <v>Dairy</v>
      </c>
      <c r="G438" s="3">
        <v>6.99</v>
      </c>
      <c r="H438" t="s">
        <v>1465</v>
      </c>
      <c r="I438" s="2" t="s">
        <v>1466</v>
      </c>
    </row>
    <row r="439" spans="1:12" x14ac:dyDescent="0.25">
      <c r="A439" t="s">
        <v>1467</v>
      </c>
      <c r="B439" t="s">
        <v>1468</v>
      </c>
      <c r="C439" t="s">
        <v>1469</v>
      </c>
      <c r="D439" t="str" cm="1">
        <f t="array" ref="D439">_xlfn.TEXTJOIN("", TRUE, IF(ISNUMBER(SEARCH($K$1379:$K$1423, C439)), $K$1379:$K$1423, ""))</f>
        <v>Lactaid</v>
      </c>
      <c r="E439" t="str">
        <f t="shared" si="12"/>
        <v>Milk</v>
      </c>
      <c r="F439" t="str">
        <f t="shared" si="13"/>
        <v>Dairy</v>
      </c>
      <c r="G439" s="3">
        <v>6.99</v>
      </c>
      <c r="H439" t="s">
        <v>1465</v>
      </c>
      <c r="I439" s="2" t="s">
        <v>1466</v>
      </c>
    </row>
    <row r="440" spans="1:12" x14ac:dyDescent="0.25">
      <c r="A440" t="s">
        <v>1470</v>
      </c>
      <c r="B440" t="s">
        <v>1471</v>
      </c>
      <c r="C440" t="s">
        <v>1464</v>
      </c>
      <c r="D440" t="str" cm="1">
        <f t="array" ref="D440">_xlfn.TEXTJOIN("", TRUE, IF(ISNUMBER(SEARCH($K$1379:$K$1423, C440)), $K$1379:$K$1423, ""))</f>
        <v>Lactaid</v>
      </c>
      <c r="E440" t="str">
        <f t="shared" si="12"/>
        <v>Milk</v>
      </c>
      <c r="F440" t="str">
        <f t="shared" si="13"/>
        <v>Dairy</v>
      </c>
      <c r="G440" s="3">
        <v>4.99</v>
      </c>
      <c r="H440" t="s">
        <v>973</v>
      </c>
      <c r="I440" s="2" t="s">
        <v>993</v>
      </c>
    </row>
    <row r="441" spans="1:12" x14ac:dyDescent="0.25">
      <c r="A441" t="s">
        <v>1472</v>
      </c>
      <c r="B441" t="s">
        <v>1473</v>
      </c>
      <c r="C441" t="s">
        <v>1474</v>
      </c>
      <c r="D441" t="str" cm="1">
        <f t="array" ref="D441">_xlfn.TEXTJOIN("", TRUE, IF(ISNUMBER(SEARCH($K$1379:$K$1423, C441)), $K$1379:$K$1423, ""))</f>
        <v>Lactaid</v>
      </c>
      <c r="E441" t="str">
        <f t="shared" si="12"/>
        <v>Milk</v>
      </c>
      <c r="F441" t="str">
        <f t="shared" si="13"/>
        <v>Dairy</v>
      </c>
      <c r="G441" s="3">
        <v>6.99</v>
      </c>
      <c r="H441" t="s">
        <v>1465</v>
      </c>
      <c r="I441" s="2" t="s">
        <v>1466</v>
      </c>
      <c r="L441" s="1"/>
    </row>
    <row r="442" spans="1:12" x14ac:dyDescent="0.25">
      <c r="A442" t="s">
        <v>1475</v>
      </c>
      <c r="B442" t="s">
        <v>1476</v>
      </c>
      <c r="C442" t="s">
        <v>1477</v>
      </c>
      <c r="D442" t="str" cm="1">
        <f t="array" ref="D442">_xlfn.TEXTJOIN("", TRUE, IF(ISNUMBER(SEARCH($K$1379:$K$1423, C442)), $K$1379:$K$1423, ""))</f>
        <v>Lactaid</v>
      </c>
      <c r="E442" t="str">
        <f t="shared" si="12"/>
        <v>Milk</v>
      </c>
      <c r="F442" t="str">
        <f t="shared" si="13"/>
        <v>Dairy</v>
      </c>
      <c r="G442" s="3">
        <v>4.99</v>
      </c>
      <c r="H442" t="s">
        <v>973</v>
      </c>
      <c r="I442" s="2" t="s">
        <v>993</v>
      </c>
    </row>
    <row r="443" spans="1:12" x14ac:dyDescent="0.25">
      <c r="A443" t="s">
        <v>1478</v>
      </c>
      <c r="B443" t="s">
        <v>1479</v>
      </c>
      <c r="C443" t="s">
        <v>1480</v>
      </c>
      <c r="D443" t="str" cm="1">
        <f t="array" ref="D443">_xlfn.TEXTJOIN("", TRUE, IF(ISNUMBER(SEARCH($K$1379:$K$1423, C443)), $K$1379:$K$1423, ""))</f>
        <v>Lactaid</v>
      </c>
      <c r="E443" t="str">
        <f t="shared" si="12"/>
        <v>Milk</v>
      </c>
      <c r="F443" t="str">
        <f t="shared" si="13"/>
        <v>Dairy</v>
      </c>
      <c r="G443" s="3">
        <v>6.99</v>
      </c>
      <c r="H443" t="s">
        <v>1465</v>
      </c>
      <c r="I443" s="2" t="s">
        <v>1466</v>
      </c>
      <c r="L443" s="1"/>
    </row>
    <row r="444" spans="1:12" x14ac:dyDescent="0.25">
      <c r="A444" t="s">
        <v>1481</v>
      </c>
      <c r="B444" t="s">
        <v>1482</v>
      </c>
      <c r="C444" t="s">
        <v>1480</v>
      </c>
      <c r="D444" t="str" cm="1">
        <f t="array" ref="D444">_xlfn.TEXTJOIN("", TRUE, IF(ISNUMBER(SEARCH($K$1379:$K$1423, C444)), $K$1379:$K$1423, ""))</f>
        <v>Lactaid</v>
      </c>
      <c r="E444" t="str">
        <f t="shared" si="12"/>
        <v>Milk</v>
      </c>
      <c r="F444" t="str">
        <f t="shared" si="13"/>
        <v>Dairy</v>
      </c>
      <c r="G444" s="3">
        <v>4.99</v>
      </c>
      <c r="H444" t="s">
        <v>973</v>
      </c>
      <c r="I444" s="2" t="s">
        <v>993</v>
      </c>
    </row>
    <row r="445" spans="1:12" x14ac:dyDescent="0.25">
      <c r="A445" t="s">
        <v>1483</v>
      </c>
      <c r="B445" t="s">
        <v>1484</v>
      </c>
      <c r="C445" t="s">
        <v>1485</v>
      </c>
      <c r="D445" t="str" cm="1">
        <f t="array" ref="D445">_xlfn.TEXTJOIN("", TRUE, IF(ISNUMBER(SEARCH($K$1379:$K$1423, C445)), $K$1379:$K$1423, ""))</f>
        <v>Lactaid</v>
      </c>
      <c r="E445" t="str">
        <f t="shared" si="12"/>
        <v>Milk</v>
      </c>
      <c r="F445" t="str">
        <f t="shared" si="13"/>
        <v>Dairy</v>
      </c>
      <c r="G445" s="3">
        <v>4.3899999999999997</v>
      </c>
      <c r="H445" t="s">
        <v>1461</v>
      </c>
      <c r="I445" s="2" t="s">
        <v>993</v>
      </c>
    </row>
    <row r="446" spans="1:12" x14ac:dyDescent="0.25">
      <c r="A446" t="s">
        <v>1486</v>
      </c>
      <c r="B446" t="s">
        <v>1487</v>
      </c>
      <c r="C446" t="s">
        <v>1488</v>
      </c>
      <c r="D446" t="str" cm="1">
        <f t="array" ref="D446">_xlfn.TEXTJOIN("", TRUE, IF(ISNUMBER(SEARCH($K$1379:$K$1423, C446)), $K$1379:$K$1423, ""))</f>
        <v>Lactaid</v>
      </c>
      <c r="E446" t="str">
        <f t="shared" si="12"/>
        <v>Milk</v>
      </c>
      <c r="F446" t="str">
        <f t="shared" si="13"/>
        <v>Dairy</v>
      </c>
      <c r="G446" s="3">
        <v>4.99</v>
      </c>
      <c r="H446" t="s">
        <v>973</v>
      </c>
      <c r="I446" s="2" t="s">
        <v>993</v>
      </c>
      <c r="L446" s="1"/>
    </row>
    <row r="447" spans="1:12" x14ac:dyDescent="0.25">
      <c r="A447" t="s">
        <v>1489</v>
      </c>
      <c r="B447" t="s">
        <v>1490</v>
      </c>
      <c r="C447" t="s">
        <v>1491</v>
      </c>
      <c r="D447" t="str" cm="1">
        <f t="array" ref="D447">_xlfn.TEXTJOIN("", TRUE, IF(ISNUMBER(SEARCH($K$1379:$K$1423, C447)), $K$1379:$K$1423, ""))</f>
        <v>Lactaid</v>
      </c>
      <c r="E447" t="str">
        <f t="shared" si="12"/>
        <v>Milk</v>
      </c>
      <c r="F447" t="str">
        <f t="shared" si="13"/>
        <v>Dairy</v>
      </c>
      <c r="G447" s="3">
        <v>4.99</v>
      </c>
      <c r="H447" t="s">
        <v>973</v>
      </c>
      <c r="I447" s="2" t="s">
        <v>993</v>
      </c>
    </row>
    <row r="448" spans="1:12" x14ac:dyDescent="0.25">
      <c r="A448" t="s">
        <v>1492</v>
      </c>
      <c r="B448" t="s">
        <v>1493</v>
      </c>
      <c r="C448" t="s">
        <v>1494</v>
      </c>
      <c r="D448" t="str" cm="1">
        <f t="array" ref="D448">_xlfn.TEXTJOIN("", TRUE, IF(ISNUMBER(SEARCH($K$1379:$K$1423, C448)), $K$1379:$K$1423, ""))</f>
        <v>Lactaid</v>
      </c>
      <c r="E448" t="str">
        <f t="shared" si="12"/>
        <v>Milk</v>
      </c>
      <c r="F448" t="str">
        <f t="shared" si="13"/>
        <v>Dairy</v>
      </c>
      <c r="G448" s="3">
        <v>4.99</v>
      </c>
      <c r="H448" t="s">
        <v>973</v>
      </c>
      <c r="I448" s="2" t="s">
        <v>993</v>
      </c>
    </row>
    <row r="449" spans="1:12" x14ac:dyDescent="0.25">
      <c r="A449" t="s">
        <v>1495</v>
      </c>
      <c r="B449" t="s">
        <v>1496</v>
      </c>
      <c r="C449" t="s">
        <v>1491</v>
      </c>
      <c r="D449" t="str" cm="1">
        <f t="array" ref="D449">_xlfn.TEXTJOIN("", TRUE, IF(ISNUMBER(SEARCH($K$1379:$K$1423, C449)), $K$1379:$K$1423, ""))</f>
        <v>Lactaid</v>
      </c>
      <c r="E449" t="str">
        <f t="shared" si="12"/>
        <v>Milk</v>
      </c>
      <c r="F449" t="str">
        <f t="shared" si="13"/>
        <v>Dairy</v>
      </c>
      <c r="G449" s="3">
        <v>6.99</v>
      </c>
      <c r="H449" t="s">
        <v>1465</v>
      </c>
      <c r="I449" s="2" t="s">
        <v>1466</v>
      </c>
    </row>
    <row r="450" spans="1:12" x14ac:dyDescent="0.25">
      <c r="A450" t="s">
        <v>1497</v>
      </c>
      <c r="B450" t="s">
        <v>1498</v>
      </c>
      <c r="C450" t="s">
        <v>1499</v>
      </c>
      <c r="D450" t="str" cm="1">
        <f t="array" ref="D450">_xlfn.TEXTJOIN("", TRUE, IF(ISNUMBER(SEARCH($K$1379:$K$1423, C450)), $K$1379:$K$1423, ""))</f>
        <v>Mission</v>
      </c>
      <c r="E450" t="str">
        <f t="shared" ref="E450:E513" si="14">IF(OR(D450="Mission",D450="Nature's Own",D450="Sara Lee"),"Bread",
IF(OR(D450="Del Monte",D450="Dole",D450="Mott's"),"Canned Fruit",
IF(OR(D450="Goya",D450="Hunt's",D450="Birds Eye"),"Canned Vegetables",
IF(OR(D450="fairlife",D450="Horizon Organic",D450="Lactaid",D450="Ben &amp; Jerry's"),"Milk",
IF(OR(D450="BelGioioso",D450="Kraft",D450="Philadelphia"),"Cheese",
IF(OR(D450="Chobani",D450="Oikos",D450="Dannon Light + Fit"),"Yogurt",
IF(OR(D450="Barilla",D450="Annie's",D450="Rao's Homemade"),"Pasta",
IF(OR(D450="Hershey's",D450="Lay's",D450="Totino's",D450="Cheerios",D450="Jif",D450="Skippy",D450="Nature Valley",D450="OREO",D450="DiGiorno",D450="Eggo"),"Prepared Food",
IF(OR(D450="Ben's Original",D450="Lundberg",D450="Quaker"),"Rice",
IF(OR(D450="Bush's",D450="Hillshire Farm",D450="Oscar Mayer",D450="SPAM"),"Protein",
IF(OR(D450="Starbucks",D450="Sparkling Ice",D450="Coca-Cola",D450="San Pellegrino",D450="Gatorade",D450="Arizona"),"Beverages",
"Other")))))))))))</f>
        <v>Bread</v>
      </c>
      <c r="F450" t="str">
        <f t="shared" ref="F450:F513" si="15">IF(OR(E450="Bread",E450="Rice",E450="Pasta"), "Grain",
IF(OR(E450="Milk",E450="Cheese",E450="Yogurt"), "Dairy",
IF(OR(E450="Canned Fruit",E450="Canned Vegetables"), "Fruit &amp; Vegetables",
IF(E450="Prepared Food", "Prepared Food",
IF(E450="Protein", "Protein",
IF(E450="Beverages", "Beverages",
"Other"))))))</f>
        <v>Grain</v>
      </c>
      <c r="G450" s="3">
        <v>3.59</v>
      </c>
      <c r="H450" t="s">
        <v>1501</v>
      </c>
      <c r="I450" s="2" t="s">
        <v>868</v>
      </c>
      <c r="L450" s="1"/>
    </row>
    <row r="451" spans="1:12" x14ac:dyDescent="0.25">
      <c r="A451" t="s">
        <v>1502</v>
      </c>
      <c r="B451" t="s">
        <v>1503</v>
      </c>
      <c r="C451" t="s">
        <v>1504</v>
      </c>
      <c r="D451" t="str" cm="1">
        <f t="array" ref="D451">_xlfn.TEXTJOIN("", TRUE, IF(ISNUMBER(SEARCH($K$1379:$K$1423, C451)), $K$1379:$K$1423, ""))</f>
        <v>Mission</v>
      </c>
      <c r="E451" t="str">
        <f t="shared" si="14"/>
        <v>Bread</v>
      </c>
      <c r="F451" t="str">
        <f t="shared" si="15"/>
        <v>Grain</v>
      </c>
      <c r="G451" s="3">
        <v>4.79</v>
      </c>
      <c r="H451" t="s">
        <v>1234</v>
      </c>
      <c r="I451" s="2" t="s">
        <v>1505</v>
      </c>
    </row>
    <row r="452" spans="1:12" x14ac:dyDescent="0.25">
      <c r="A452" t="s">
        <v>1506</v>
      </c>
      <c r="B452" t="s">
        <v>1507</v>
      </c>
      <c r="C452" t="s">
        <v>1508</v>
      </c>
      <c r="D452" t="str" cm="1">
        <f t="array" ref="D452">_xlfn.TEXTJOIN("", TRUE, IF(ISNUMBER(SEARCH($K$1379:$K$1423, C452)), $K$1379:$K$1423, ""))</f>
        <v>Mission</v>
      </c>
      <c r="E452" t="str">
        <f t="shared" si="14"/>
        <v>Bread</v>
      </c>
      <c r="F452" t="str">
        <f t="shared" si="15"/>
        <v>Grain</v>
      </c>
      <c r="G452" s="3">
        <v>3.49</v>
      </c>
      <c r="H452" t="s">
        <v>1509</v>
      </c>
      <c r="I452" s="2" t="s">
        <v>468</v>
      </c>
    </row>
    <row r="453" spans="1:12" x14ac:dyDescent="0.25">
      <c r="A453" t="s">
        <v>1510</v>
      </c>
      <c r="B453" t="s">
        <v>1511</v>
      </c>
      <c r="C453" t="s">
        <v>1512</v>
      </c>
      <c r="D453" t="str" cm="1">
        <f t="array" ref="D453">_xlfn.TEXTJOIN("", TRUE, IF(ISNUMBER(SEARCH($K$1379:$K$1423, C453)), $K$1379:$K$1423, ""))</f>
        <v>Mission</v>
      </c>
      <c r="E453" t="str">
        <f t="shared" si="14"/>
        <v>Bread</v>
      </c>
      <c r="F453" t="str">
        <f t="shared" si="15"/>
        <v>Grain</v>
      </c>
      <c r="G453" s="3">
        <v>3.49</v>
      </c>
      <c r="H453" t="s">
        <v>1513</v>
      </c>
      <c r="I453" s="2" t="s">
        <v>372</v>
      </c>
    </row>
    <row r="454" spans="1:12" x14ac:dyDescent="0.25">
      <c r="A454" t="s">
        <v>1514</v>
      </c>
      <c r="B454" t="s">
        <v>1515</v>
      </c>
      <c r="C454" t="s">
        <v>1516</v>
      </c>
      <c r="D454" t="str" cm="1">
        <f t="array" ref="D454">_xlfn.TEXTJOIN("", TRUE, IF(ISNUMBER(SEARCH($K$1379:$K$1423, C454)), $K$1379:$K$1423, ""))</f>
        <v>Mission</v>
      </c>
      <c r="E454" t="str">
        <f t="shared" si="14"/>
        <v>Bread</v>
      </c>
      <c r="F454" t="str">
        <f t="shared" si="15"/>
        <v>Grain</v>
      </c>
      <c r="G454" s="3">
        <v>3.59</v>
      </c>
      <c r="H454" t="s">
        <v>1517</v>
      </c>
      <c r="I454" s="2" t="s">
        <v>1518</v>
      </c>
    </row>
    <row r="455" spans="1:12" x14ac:dyDescent="0.25">
      <c r="A455" t="s">
        <v>1519</v>
      </c>
      <c r="B455" t="s">
        <v>1520</v>
      </c>
      <c r="C455" t="s">
        <v>1521</v>
      </c>
      <c r="D455" t="str" cm="1">
        <f t="array" ref="D455">_xlfn.TEXTJOIN("", TRUE, IF(ISNUMBER(SEARCH($K$1379:$K$1423, C455)), $K$1379:$K$1423, ""))</f>
        <v>Mission</v>
      </c>
      <c r="E455" t="str">
        <f t="shared" si="14"/>
        <v>Bread</v>
      </c>
      <c r="F455" t="str">
        <f t="shared" si="15"/>
        <v>Grain</v>
      </c>
      <c r="G455" s="3">
        <v>2.09</v>
      </c>
      <c r="H455" t="s">
        <v>1522</v>
      </c>
      <c r="I455" s="2" t="s">
        <v>170</v>
      </c>
    </row>
    <row r="456" spans="1:12" x14ac:dyDescent="0.25">
      <c r="A456" t="s">
        <v>1523</v>
      </c>
      <c r="B456" t="s">
        <v>1524</v>
      </c>
      <c r="C456" t="s">
        <v>1525</v>
      </c>
      <c r="D456" t="str" cm="1">
        <f t="array" ref="D456">_xlfn.TEXTJOIN("", TRUE, IF(ISNUMBER(SEARCH($K$1379:$K$1423, C456)), $K$1379:$K$1423, ""))</f>
        <v>Mission</v>
      </c>
      <c r="E456" t="str">
        <f t="shared" si="14"/>
        <v>Bread</v>
      </c>
      <c r="F456" t="str">
        <f t="shared" si="15"/>
        <v>Grain</v>
      </c>
      <c r="G456" s="3">
        <v>4.79</v>
      </c>
      <c r="H456" t="s">
        <v>138</v>
      </c>
      <c r="I456" s="2" t="s">
        <v>1505</v>
      </c>
    </row>
    <row r="457" spans="1:12" x14ac:dyDescent="0.25">
      <c r="A457" t="s">
        <v>1526</v>
      </c>
      <c r="B457" t="s">
        <v>1527</v>
      </c>
      <c r="C457" t="s">
        <v>1528</v>
      </c>
      <c r="D457" t="str" cm="1">
        <f t="array" ref="D457">_xlfn.TEXTJOIN("", TRUE, IF(ISNUMBER(SEARCH($K$1379:$K$1423, C457)), $K$1379:$K$1423, ""))</f>
        <v>Mission</v>
      </c>
      <c r="E457" t="str">
        <f t="shared" si="14"/>
        <v>Bread</v>
      </c>
      <c r="F457" t="str">
        <f t="shared" si="15"/>
        <v>Grain</v>
      </c>
      <c r="G457" s="3">
        <v>5.19</v>
      </c>
      <c r="H457" t="s">
        <v>1529</v>
      </c>
      <c r="I457" s="2" t="s">
        <v>1315</v>
      </c>
    </row>
    <row r="458" spans="1:12" x14ac:dyDescent="0.25">
      <c r="A458" t="s">
        <v>1530</v>
      </c>
      <c r="B458" t="s">
        <v>1531</v>
      </c>
      <c r="C458" t="s">
        <v>1532</v>
      </c>
      <c r="D458" t="str" cm="1">
        <f t="array" ref="D458">_xlfn.TEXTJOIN("", TRUE, IF(ISNUMBER(SEARCH($K$1379:$K$1423, C458)), $K$1379:$K$1423, ""))</f>
        <v>Mission</v>
      </c>
      <c r="E458" t="str">
        <f t="shared" si="14"/>
        <v>Bread</v>
      </c>
      <c r="F458" t="str">
        <f t="shared" si="15"/>
        <v>Grain</v>
      </c>
      <c r="G458" s="3">
        <v>5.49</v>
      </c>
      <c r="H458" t="s">
        <v>897</v>
      </c>
      <c r="I458" s="2" t="s">
        <v>689</v>
      </c>
    </row>
    <row r="459" spans="1:12" x14ac:dyDescent="0.25">
      <c r="A459" t="s">
        <v>1533</v>
      </c>
      <c r="B459" t="s">
        <v>1534</v>
      </c>
      <c r="C459" t="s">
        <v>1535</v>
      </c>
      <c r="D459" t="str" cm="1">
        <f t="array" ref="D459">_xlfn.TEXTJOIN("", TRUE, IF(ISNUMBER(SEARCH($K$1379:$K$1423, C459)), $K$1379:$K$1423, ""))</f>
        <v>Mission</v>
      </c>
      <c r="E459" t="str">
        <f t="shared" si="14"/>
        <v>Bread</v>
      </c>
      <c r="F459" t="str">
        <f t="shared" si="15"/>
        <v>Grain</v>
      </c>
      <c r="G459" s="3">
        <v>2.09</v>
      </c>
      <c r="H459" t="s">
        <v>1536</v>
      </c>
      <c r="I459" s="2" t="s">
        <v>83</v>
      </c>
    </row>
    <row r="460" spans="1:12" x14ac:dyDescent="0.25">
      <c r="A460" t="s">
        <v>1537</v>
      </c>
      <c r="B460" t="s">
        <v>1538</v>
      </c>
      <c r="C460" t="s">
        <v>1539</v>
      </c>
      <c r="D460" t="str" cm="1">
        <f t="array" ref="D460">_xlfn.TEXTJOIN("", TRUE, IF(ISNUMBER(SEARCH($K$1379:$K$1423, C460)), $K$1379:$K$1423, ""))</f>
        <v>Mission</v>
      </c>
      <c r="E460" t="str">
        <f t="shared" si="14"/>
        <v>Bread</v>
      </c>
      <c r="F460" t="str">
        <f t="shared" si="15"/>
        <v>Grain</v>
      </c>
      <c r="G460" s="3">
        <v>2.99</v>
      </c>
      <c r="H460" t="s">
        <v>1540</v>
      </c>
      <c r="I460" s="2" t="s">
        <v>436</v>
      </c>
    </row>
    <row r="461" spans="1:12" x14ac:dyDescent="0.25">
      <c r="A461" t="s">
        <v>1541</v>
      </c>
      <c r="B461" t="s">
        <v>1542</v>
      </c>
      <c r="C461" t="s">
        <v>1543</v>
      </c>
      <c r="D461" t="str" cm="1">
        <f t="array" ref="D461">_xlfn.TEXTJOIN("", TRUE, IF(ISNUMBER(SEARCH($K$1379:$K$1423, C461)), $K$1379:$K$1423, ""))</f>
        <v>Mission</v>
      </c>
      <c r="E461" t="str">
        <f t="shared" si="14"/>
        <v>Bread</v>
      </c>
      <c r="F461" t="str">
        <f t="shared" si="15"/>
        <v>Grain</v>
      </c>
      <c r="G461" s="3">
        <v>5.99</v>
      </c>
      <c r="H461" t="s">
        <v>1544</v>
      </c>
      <c r="I461" s="2" t="s">
        <v>1373</v>
      </c>
    </row>
    <row r="462" spans="1:12" x14ac:dyDescent="0.25">
      <c r="A462" t="s">
        <v>1545</v>
      </c>
      <c r="B462" t="s">
        <v>1546</v>
      </c>
      <c r="C462" t="s">
        <v>1547</v>
      </c>
      <c r="D462" t="str" cm="1">
        <f t="array" ref="D462">_xlfn.TEXTJOIN("", TRUE, IF(ISNUMBER(SEARCH($K$1379:$K$1423, C462)), $K$1379:$K$1423, ""))</f>
        <v>Mission</v>
      </c>
      <c r="E462" t="str">
        <f t="shared" si="14"/>
        <v>Bread</v>
      </c>
      <c r="F462" t="str">
        <f t="shared" si="15"/>
        <v>Grain</v>
      </c>
      <c r="G462" s="3">
        <v>2.99</v>
      </c>
      <c r="H462" t="s">
        <v>223</v>
      </c>
      <c r="I462" s="2" t="s">
        <v>170</v>
      </c>
    </row>
    <row r="463" spans="1:12" x14ac:dyDescent="0.25">
      <c r="A463" t="s">
        <v>1548</v>
      </c>
      <c r="B463" t="s">
        <v>1549</v>
      </c>
      <c r="C463" t="s">
        <v>1550</v>
      </c>
      <c r="D463" t="str" cm="1">
        <f t="array" ref="D463">_xlfn.TEXTJOIN("", TRUE, IF(ISNUMBER(SEARCH($K$1379:$K$1423, C463)), $K$1379:$K$1423, ""))</f>
        <v>Mission</v>
      </c>
      <c r="E463" t="str">
        <f t="shared" si="14"/>
        <v>Bread</v>
      </c>
      <c r="F463" t="str">
        <f t="shared" si="15"/>
        <v>Grain</v>
      </c>
      <c r="G463" s="3">
        <v>6.29</v>
      </c>
      <c r="H463" t="s">
        <v>1551</v>
      </c>
      <c r="I463" s="2" t="s">
        <v>372</v>
      </c>
      <c r="L463" s="1"/>
    </row>
    <row r="464" spans="1:12" x14ac:dyDescent="0.25">
      <c r="A464" t="s">
        <v>1552</v>
      </c>
      <c r="B464" t="s">
        <v>1553</v>
      </c>
      <c r="C464" t="s">
        <v>1554</v>
      </c>
      <c r="D464" t="str" cm="1">
        <f t="array" ref="D464">_xlfn.TEXTJOIN("", TRUE, IF(ISNUMBER(SEARCH($K$1379:$K$1423, C464)), $K$1379:$K$1423, ""))</f>
        <v>Mission</v>
      </c>
      <c r="E464" t="str">
        <f t="shared" si="14"/>
        <v>Bread</v>
      </c>
      <c r="F464" t="str">
        <f t="shared" si="15"/>
        <v>Grain</v>
      </c>
      <c r="G464" s="3">
        <v>2.29</v>
      </c>
      <c r="H464" t="s">
        <v>223</v>
      </c>
      <c r="I464" s="2" t="s">
        <v>446</v>
      </c>
    </row>
    <row r="465" spans="1:13" x14ac:dyDescent="0.25">
      <c r="A465" t="s">
        <v>1555</v>
      </c>
      <c r="B465" t="s">
        <v>1556</v>
      </c>
      <c r="C465" t="s">
        <v>1557</v>
      </c>
      <c r="D465" t="str" cm="1">
        <f t="array" ref="D465">_xlfn.TEXTJOIN("", TRUE, IF(ISNUMBER(SEARCH($K$1379:$K$1423, C465)), $K$1379:$K$1423, ""))</f>
        <v>Mission</v>
      </c>
      <c r="E465" t="str">
        <f t="shared" si="14"/>
        <v>Bread</v>
      </c>
      <c r="F465" t="str">
        <f t="shared" si="15"/>
        <v>Grain</v>
      </c>
      <c r="G465" s="3">
        <v>3.69</v>
      </c>
      <c r="H465" t="s">
        <v>1558</v>
      </c>
      <c r="I465" s="2" t="s">
        <v>689</v>
      </c>
    </row>
    <row r="466" spans="1:13" x14ac:dyDescent="0.25">
      <c r="A466" t="s">
        <v>1559</v>
      </c>
      <c r="B466" t="s">
        <v>1560</v>
      </c>
      <c r="C466" t="s">
        <v>1561</v>
      </c>
      <c r="D466" t="str" cm="1">
        <f t="array" ref="D466">_xlfn.TEXTJOIN("", TRUE, IF(ISNUMBER(SEARCH($K$1379:$K$1423, C466)), $K$1379:$K$1423, ""))</f>
        <v>Mission</v>
      </c>
      <c r="E466" t="str">
        <f t="shared" si="14"/>
        <v>Bread</v>
      </c>
      <c r="F466" t="str">
        <f t="shared" si="15"/>
        <v>Grain</v>
      </c>
      <c r="G466" s="3">
        <v>6.29</v>
      </c>
      <c r="H466" t="s">
        <v>1562</v>
      </c>
      <c r="I466" s="2" t="s">
        <v>18</v>
      </c>
    </row>
    <row r="467" spans="1:13" x14ac:dyDescent="0.25">
      <c r="A467" t="s">
        <v>1563</v>
      </c>
      <c r="B467" t="s">
        <v>1564</v>
      </c>
      <c r="C467" t="s">
        <v>1565</v>
      </c>
      <c r="D467" t="str" cm="1">
        <f t="array" ref="D467">_xlfn.TEXTJOIN("", TRUE, IF(ISNUMBER(SEARCH($K$1379:$K$1423, C467)), $K$1379:$K$1423, ""))</f>
        <v>Mission</v>
      </c>
      <c r="E467" t="str">
        <f t="shared" si="14"/>
        <v>Bread</v>
      </c>
      <c r="F467" t="str">
        <f t="shared" si="15"/>
        <v>Grain</v>
      </c>
      <c r="G467" s="3">
        <v>3.59</v>
      </c>
      <c r="H467" t="s">
        <v>1517</v>
      </c>
      <c r="I467" s="2" t="s">
        <v>1518</v>
      </c>
      <c r="L467" s="1"/>
    </row>
    <row r="468" spans="1:13" x14ac:dyDescent="0.25">
      <c r="A468" t="s">
        <v>1566</v>
      </c>
      <c r="B468" t="s">
        <v>1567</v>
      </c>
      <c r="C468" t="s">
        <v>1568</v>
      </c>
      <c r="D468" t="str" cm="1">
        <f t="array" ref="D468">_xlfn.TEXTJOIN("", TRUE, IF(ISNUMBER(SEARCH($K$1379:$K$1423, C468)), $K$1379:$K$1423, ""))</f>
        <v>Mission</v>
      </c>
      <c r="E468" t="str">
        <f t="shared" si="14"/>
        <v>Bread</v>
      </c>
      <c r="F468" t="str">
        <f t="shared" si="15"/>
        <v>Grain</v>
      </c>
      <c r="G468" s="3">
        <v>2.09</v>
      </c>
      <c r="H468" t="s">
        <v>1569</v>
      </c>
      <c r="I468" s="2" t="s">
        <v>1144</v>
      </c>
    </row>
    <row r="469" spans="1:13" x14ac:dyDescent="0.25">
      <c r="A469" t="s">
        <v>1570</v>
      </c>
      <c r="B469" t="s">
        <v>1571</v>
      </c>
      <c r="C469" t="s">
        <v>1572</v>
      </c>
      <c r="D469" t="str" cm="1">
        <f t="array" ref="D469">_xlfn.TEXTJOIN("", TRUE, IF(ISNUMBER(SEARCH($K$1379:$K$1423, C469)), $K$1379:$K$1423, ""))</f>
        <v>Mission</v>
      </c>
      <c r="E469" t="str">
        <f t="shared" si="14"/>
        <v>Bread</v>
      </c>
      <c r="F469" t="str">
        <f t="shared" si="15"/>
        <v>Grain</v>
      </c>
      <c r="G469" s="3">
        <v>2.29</v>
      </c>
      <c r="H469" t="s">
        <v>1573</v>
      </c>
      <c r="I469" s="2" t="s">
        <v>868</v>
      </c>
    </row>
    <row r="470" spans="1:13" x14ac:dyDescent="0.25">
      <c r="A470" t="s">
        <v>1574</v>
      </c>
      <c r="B470" t="s">
        <v>1575</v>
      </c>
      <c r="C470" t="s">
        <v>1576</v>
      </c>
      <c r="D470" t="str" cm="1">
        <f t="array" ref="D470">_xlfn.TEXTJOIN("", TRUE, IF(ISNUMBER(SEARCH($K$1379:$K$1423, C470)), $K$1379:$K$1423, ""))</f>
        <v>Mission</v>
      </c>
      <c r="E470" t="str">
        <f t="shared" si="14"/>
        <v>Bread</v>
      </c>
      <c r="F470" t="str">
        <f t="shared" si="15"/>
        <v>Grain</v>
      </c>
      <c r="G470" s="3">
        <v>2.69</v>
      </c>
      <c r="H470" t="s">
        <v>1577</v>
      </c>
      <c r="I470" s="2" t="s">
        <v>308</v>
      </c>
    </row>
    <row r="471" spans="1:13" x14ac:dyDescent="0.25">
      <c r="A471" t="s">
        <v>1578</v>
      </c>
      <c r="B471" t="s">
        <v>1579</v>
      </c>
      <c r="C471" t="s">
        <v>1580</v>
      </c>
      <c r="D471" t="str" cm="1">
        <f t="array" ref="D471">_xlfn.TEXTJOIN("", TRUE, IF(ISNUMBER(SEARCH($K$1379:$K$1423, C471)), $K$1379:$K$1423, ""))</f>
        <v>Mission</v>
      </c>
      <c r="E471" t="str">
        <f t="shared" si="14"/>
        <v>Bread</v>
      </c>
      <c r="F471" t="str">
        <f t="shared" si="15"/>
        <v>Grain</v>
      </c>
      <c r="G471" s="3">
        <v>3.19</v>
      </c>
      <c r="H471" t="s">
        <v>1529</v>
      </c>
      <c r="I471" s="2" t="s">
        <v>528</v>
      </c>
    </row>
    <row r="472" spans="1:13" x14ac:dyDescent="0.25">
      <c r="A472" t="s">
        <v>1581</v>
      </c>
      <c r="B472" t="s">
        <v>1582</v>
      </c>
      <c r="C472" t="s">
        <v>1583</v>
      </c>
      <c r="D472" t="str" cm="1">
        <f t="array" ref="D472">_xlfn.TEXTJOIN("", TRUE, IF(ISNUMBER(SEARCH($K$1379:$K$1423, C472)), $K$1379:$K$1423, ""))</f>
        <v>Mission</v>
      </c>
      <c r="E472" t="str">
        <f t="shared" si="14"/>
        <v>Bread</v>
      </c>
      <c r="F472" t="str">
        <f t="shared" si="15"/>
        <v>Grain</v>
      </c>
      <c r="G472" s="3">
        <v>5.49</v>
      </c>
      <c r="H472" t="s">
        <v>897</v>
      </c>
      <c r="I472" s="2" t="s">
        <v>689</v>
      </c>
    </row>
    <row r="473" spans="1:13" x14ac:dyDescent="0.25">
      <c r="A473" t="s">
        <v>1584</v>
      </c>
      <c r="B473" t="s">
        <v>1585</v>
      </c>
      <c r="C473" t="s">
        <v>1586</v>
      </c>
      <c r="D473" t="str" cm="1">
        <f t="array" ref="D473">_xlfn.TEXTJOIN("", TRUE, IF(ISNUMBER(SEARCH($K$1379:$K$1423, C473)), $K$1379:$K$1423, ""))</f>
        <v>Mission</v>
      </c>
      <c r="E473" t="str">
        <f t="shared" si="14"/>
        <v>Bread</v>
      </c>
      <c r="F473" t="str">
        <f t="shared" si="15"/>
        <v>Grain</v>
      </c>
      <c r="G473" s="3">
        <v>4.79</v>
      </c>
      <c r="H473" t="s">
        <v>1234</v>
      </c>
      <c r="I473" s="2" t="s">
        <v>1505</v>
      </c>
      <c r="L473" s="1"/>
    </row>
    <row r="474" spans="1:13" x14ac:dyDescent="0.25">
      <c r="A474" t="s">
        <v>1587</v>
      </c>
      <c r="B474" t="s">
        <v>1588</v>
      </c>
      <c r="C474" t="s">
        <v>1589</v>
      </c>
      <c r="D474" t="str" cm="1">
        <f t="array" ref="D474">_xlfn.TEXTJOIN("", TRUE, IF(ISNUMBER(SEARCH($K$1379:$K$1423, C474)), $K$1379:$K$1423, ""))</f>
        <v>Mission</v>
      </c>
      <c r="E474" t="str">
        <f t="shared" si="14"/>
        <v>Bread</v>
      </c>
      <c r="F474" t="str">
        <f t="shared" si="15"/>
        <v>Grain</v>
      </c>
      <c r="G474" s="3">
        <v>6.99</v>
      </c>
      <c r="H474" t="s">
        <v>398</v>
      </c>
      <c r="I474" s="2" t="s">
        <v>1590</v>
      </c>
      <c r="L474" s="1"/>
    </row>
    <row r="475" spans="1:13" x14ac:dyDescent="0.25">
      <c r="A475" t="s">
        <v>1591</v>
      </c>
      <c r="B475" t="s">
        <v>1592</v>
      </c>
      <c r="C475" t="s">
        <v>1593</v>
      </c>
      <c r="D475" t="str" cm="1">
        <f t="array" ref="D475">_xlfn.TEXTJOIN("", TRUE, IF(ISNUMBER(SEARCH($K$1379:$K$1423, C475)), $K$1379:$K$1423, ""))</f>
        <v>Mission</v>
      </c>
      <c r="E475" t="str">
        <f t="shared" si="14"/>
        <v>Bread</v>
      </c>
      <c r="F475" t="str">
        <f t="shared" si="15"/>
        <v>Grain</v>
      </c>
      <c r="G475" s="3">
        <v>3.79</v>
      </c>
      <c r="H475" t="s">
        <v>211</v>
      </c>
      <c r="I475" s="2" t="s">
        <v>1594</v>
      </c>
      <c r="L475" s="1"/>
    </row>
    <row r="476" spans="1:13" x14ac:dyDescent="0.25">
      <c r="A476" t="s">
        <v>1595</v>
      </c>
      <c r="B476" t="s">
        <v>1596</v>
      </c>
      <c r="C476" t="s">
        <v>1597</v>
      </c>
      <c r="D476" t="str" cm="1">
        <f t="array" ref="D476">_xlfn.TEXTJOIN("", TRUE, IF(ISNUMBER(SEARCH($K$1379:$K$1423, C476)), $K$1379:$K$1423, ""))</f>
        <v>Mission</v>
      </c>
      <c r="E476" t="str">
        <f t="shared" si="14"/>
        <v>Bread</v>
      </c>
      <c r="F476" t="str">
        <f t="shared" si="15"/>
        <v>Grain</v>
      </c>
      <c r="G476" s="3">
        <v>6.99</v>
      </c>
      <c r="H476" t="s">
        <v>1529</v>
      </c>
      <c r="I476" s="2" t="s">
        <v>1362</v>
      </c>
    </row>
    <row r="477" spans="1:13" x14ac:dyDescent="0.25">
      <c r="A477" t="s">
        <v>1598</v>
      </c>
      <c r="B477" t="s">
        <v>1599</v>
      </c>
      <c r="C477" t="s">
        <v>1600</v>
      </c>
      <c r="D477" t="str" cm="1">
        <f t="array" ref="D477">_xlfn.TEXTJOIN("", TRUE, IF(ISNUMBER(SEARCH($K$1379:$K$1423, C477)), $K$1379:$K$1423, ""))</f>
        <v>Mission</v>
      </c>
      <c r="E477" t="str">
        <f t="shared" si="14"/>
        <v>Bread</v>
      </c>
      <c r="F477" t="str">
        <f t="shared" si="15"/>
        <v>Grain</v>
      </c>
      <c r="G477" s="3">
        <v>4.79</v>
      </c>
      <c r="H477" t="s">
        <v>1234</v>
      </c>
      <c r="I477" s="2" t="s">
        <v>1505</v>
      </c>
    </row>
    <row r="478" spans="1:13" x14ac:dyDescent="0.25">
      <c r="A478" t="s">
        <v>1601</v>
      </c>
      <c r="B478" t="s">
        <v>1602</v>
      </c>
      <c r="C478" t="s">
        <v>1603</v>
      </c>
      <c r="D478" t="str" cm="1">
        <f t="array" ref="D478">_xlfn.TEXTJOIN("", TRUE, IF(ISNUMBER(SEARCH($K$1379:$K$1423, C478)), $K$1379:$K$1423, ""))</f>
        <v>Mission</v>
      </c>
      <c r="E478" t="str">
        <f t="shared" si="14"/>
        <v>Bread</v>
      </c>
      <c r="F478" t="str">
        <f t="shared" si="15"/>
        <v>Grain</v>
      </c>
      <c r="G478" s="3">
        <v>3.59</v>
      </c>
      <c r="H478" t="s">
        <v>897</v>
      </c>
      <c r="I478" s="2" t="s">
        <v>1144</v>
      </c>
      <c r="M478" s="1"/>
    </row>
    <row r="479" spans="1:13" x14ac:dyDescent="0.25">
      <c r="A479" t="s">
        <v>1604</v>
      </c>
      <c r="B479" t="s">
        <v>1605</v>
      </c>
      <c r="C479" t="s">
        <v>1606</v>
      </c>
      <c r="D479" t="str" cm="1">
        <f t="array" ref="D479">_xlfn.TEXTJOIN("", TRUE, IF(ISNUMBER(SEARCH($K$1379:$K$1423, C479)), $K$1379:$K$1423, ""))</f>
        <v>Mission</v>
      </c>
      <c r="E479" t="str">
        <f t="shared" si="14"/>
        <v>Bread</v>
      </c>
      <c r="F479" t="str">
        <f t="shared" si="15"/>
        <v>Grain</v>
      </c>
      <c r="G479" s="3">
        <v>3.59</v>
      </c>
      <c r="H479" t="s">
        <v>897</v>
      </c>
      <c r="I479" s="2" t="s">
        <v>1144</v>
      </c>
    </row>
    <row r="480" spans="1:13" x14ac:dyDescent="0.25">
      <c r="A480" t="s">
        <v>1607</v>
      </c>
      <c r="B480" t="s">
        <v>1608</v>
      </c>
      <c r="C480" t="s">
        <v>1609</v>
      </c>
      <c r="D480" t="str" cm="1">
        <f t="array" ref="D480">_xlfn.TEXTJOIN("", TRUE, IF(ISNUMBER(SEARCH($K$1379:$K$1423, C480)), $K$1379:$K$1423, ""))</f>
        <v>Mission</v>
      </c>
      <c r="E480" t="str">
        <f t="shared" si="14"/>
        <v>Bread</v>
      </c>
      <c r="F480" t="str">
        <f t="shared" si="15"/>
        <v>Grain</v>
      </c>
      <c r="G480" s="3">
        <v>3.59</v>
      </c>
      <c r="H480" t="s">
        <v>897</v>
      </c>
      <c r="I480" s="2" t="s">
        <v>1144</v>
      </c>
    </row>
    <row r="481" spans="1:13" x14ac:dyDescent="0.25">
      <c r="A481" t="s">
        <v>1610</v>
      </c>
      <c r="B481" t="s">
        <v>1611</v>
      </c>
      <c r="C481" t="s">
        <v>1612</v>
      </c>
      <c r="D481" t="str" cm="1">
        <f t="array" ref="D481">_xlfn.TEXTJOIN("", TRUE, IF(ISNUMBER(SEARCH($K$1379:$K$1423, C481)), $K$1379:$K$1423, ""))</f>
        <v>Mission</v>
      </c>
      <c r="E481" t="str">
        <f t="shared" si="14"/>
        <v>Bread</v>
      </c>
      <c r="F481" t="str">
        <f t="shared" si="15"/>
        <v>Grain</v>
      </c>
      <c r="G481" s="3">
        <v>3.59</v>
      </c>
      <c r="H481" t="s">
        <v>897</v>
      </c>
      <c r="I481" s="2" t="s">
        <v>1144</v>
      </c>
      <c r="M481" s="1"/>
    </row>
    <row r="482" spans="1:13" x14ac:dyDescent="0.25">
      <c r="A482" t="s">
        <v>1613</v>
      </c>
      <c r="B482" t="s">
        <v>1614</v>
      </c>
      <c r="C482" t="s">
        <v>1615</v>
      </c>
      <c r="D482" t="str" cm="1">
        <f t="array" ref="D482">_xlfn.TEXTJOIN("", TRUE, IF(ISNUMBER(SEARCH($K$1379:$K$1423, C482)), $K$1379:$K$1423, ""))</f>
        <v>Mission</v>
      </c>
      <c r="E482" t="str">
        <f t="shared" si="14"/>
        <v>Bread</v>
      </c>
      <c r="F482" t="str">
        <f t="shared" si="15"/>
        <v>Grain</v>
      </c>
      <c r="G482" s="3">
        <v>3.49</v>
      </c>
      <c r="H482" t="s">
        <v>1616</v>
      </c>
      <c r="I482" s="2" t="s">
        <v>79</v>
      </c>
    </row>
    <row r="483" spans="1:13" x14ac:dyDescent="0.25">
      <c r="A483" t="s">
        <v>1617</v>
      </c>
      <c r="B483" t="s">
        <v>1618</v>
      </c>
      <c r="C483" t="s">
        <v>1619</v>
      </c>
      <c r="D483" t="str" cm="1">
        <f t="array" ref="D483">_xlfn.TEXTJOIN("", TRUE, IF(ISNUMBER(SEARCH($K$1379:$K$1423, C483)), $K$1379:$K$1423, ""))</f>
        <v>Mission</v>
      </c>
      <c r="E483" t="str">
        <f t="shared" si="14"/>
        <v>Bread</v>
      </c>
      <c r="F483" t="str">
        <f t="shared" si="15"/>
        <v>Grain</v>
      </c>
      <c r="G483" s="3">
        <v>3.49</v>
      </c>
      <c r="H483" t="s">
        <v>1616</v>
      </c>
      <c r="I483" s="2" t="s">
        <v>79</v>
      </c>
      <c r="M483" s="1"/>
    </row>
    <row r="484" spans="1:13" x14ac:dyDescent="0.25">
      <c r="A484" t="s">
        <v>1620</v>
      </c>
      <c r="B484" t="s">
        <v>1621</v>
      </c>
      <c r="C484" t="s">
        <v>1622</v>
      </c>
      <c r="D484" t="str" cm="1">
        <f t="array" ref="D484">_xlfn.TEXTJOIN("", TRUE, IF(ISNUMBER(SEARCH($K$1379:$K$1423, C484)), $K$1379:$K$1423, ""))</f>
        <v>Mission</v>
      </c>
      <c r="E484" t="str">
        <f t="shared" si="14"/>
        <v>Bread</v>
      </c>
      <c r="F484" t="str">
        <f t="shared" si="15"/>
        <v>Grain</v>
      </c>
      <c r="G484" s="3">
        <v>3.49</v>
      </c>
      <c r="H484" t="s">
        <v>1616</v>
      </c>
      <c r="I484" s="2" t="s">
        <v>79</v>
      </c>
      <c r="M484" s="1"/>
    </row>
    <row r="485" spans="1:13" x14ac:dyDescent="0.25">
      <c r="A485" t="s">
        <v>1623</v>
      </c>
      <c r="B485" t="s">
        <v>1624</v>
      </c>
      <c r="C485" t="s">
        <v>1625</v>
      </c>
      <c r="D485" t="str" cm="1">
        <f t="array" ref="D485">_xlfn.TEXTJOIN("", TRUE, IF(ISNUMBER(SEARCH($K$1379:$K$1423, C485)), $K$1379:$K$1423, ""))</f>
        <v>Mott's</v>
      </c>
      <c r="E485" t="str">
        <f t="shared" si="14"/>
        <v>Canned Fruit</v>
      </c>
      <c r="F485" t="str">
        <f t="shared" si="15"/>
        <v>Fruit &amp; Vegetables</v>
      </c>
      <c r="G485" s="3">
        <v>3.19</v>
      </c>
      <c r="H485" t="s">
        <v>1267</v>
      </c>
      <c r="I485" s="2" t="s">
        <v>918</v>
      </c>
    </row>
    <row r="486" spans="1:13" x14ac:dyDescent="0.25">
      <c r="A486" t="s">
        <v>1627</v>
      </c>
      <c r="B486" t="s">
        <v>1628</v>
      </c>
      <c r="C486" t="s">
        <v>1629</v>
      </c>
      <c r="D486" t="str" cm="1">
        <f t="array" ref="D486">_xlfn.TEXTJOIN("", TRUE, IF(ISNUMBER(SEARCH($K$1379:$K$1423, C486)), $K$1379:$K$1423, ""))</f>
        <v>Mott's</v>
      </c>
      <c r="E486" t="str">
        <f t="shared" si="14"/>
        <v>Canned Fruit</v>
      </c>
      <c r="F486" t="str">
        <f t="shared" si="15"/>
        <v>Fruit &amp; Vegetables</v>
      </c>
      <c r="G486" s="3">
        <v>3.19</v>
      </c>
      <c r="H486" t="s">
        <v>1267</v>
      </c>
      <c r="I486" s="2" t="s">
        <v>918</v>
      </c>
    </row>
    <row r="487" spans="1:13" x14ac:dyDescent="0.25">
      <c r="A487" t="s">
        <v>1630</v>
      </c>
      <c r="B487" t="s">
        <v>1631</v>
      </c>
      <c r="C487" t="s">
        <v>1632</v>
      </c>
      <c r="D487" t="str" cm="1">
        <f t="array" ref="D487">_xlfn.TEXTJOIN("", TRUE, IF(ISNUMBER(SEARCH($K$1379:$K$1423, C487)), $K$1379:$K$1423, ""))</f>
        <v>Mott's</v>
      </c>
      <c r="E487" t="str">
        <f t="shared" si="14"/>
        <v>Canned Fruit</v>
      </c>
      <c r="F487" t="str">
        <f t="shared" si="15"/>
        <v>Fruit &amp; Vegetables</v>
      </c>
      <c r="G487" s="3">
        <v>3.19</v>
      </c>
      <c r="H487" t="s">
        <v>1633</v>
      </c>
      <c r="I487" s="2" t="s">
        <v>436</v>
      </c>
    </row>
    <row r="488" spans="1:13" x14ac:dyDescent="0.25">
      <c r="A488" t="s">
        <v>1634</v>
      </c>
      <c r="B488" t="s">
        <v>1635</v>
      </c>
      <c r="C488" t="s">
        <v>1636</v>
      </c>
      <c r="D488" t="str" cm="1">
        <f t="array" ref="D488">_xlfn.TEXTJOIN("", TRUE, IF(ISNUMBER(SEARCH($K$1379:$K$1423, C488)), $K$1379:$K$1423, ""))</f>
        <v>Mott's</v>
      </c>
      <c r="E488" t="str">
        <f t="shared" si="14"/>
        <v>Canned Fruit</v>
      </c>
      <c r="F488" t="str">
        <f t="shared" si="15"/>
        <v>Fruit &amp; Vegetables</v>
      </c>
      <c r="G488" s="3">
        <v>3.19</v>
      </c>
      <c r="H488" t="s">
        <v>1267</v>
      </c>
      <c r="I488" s="2" t="s">
        <v>918</v>
      </c>
    </row>
    <row r="489" spans="1:13" x14ac:dyDescent="0.25">
      <c r="A489" t="s">
        <v>1637</v>
      </c>
      <c r="B489" t="s">
        <v>1638</v>
      </c>
      <c r="C489" t="s">
        <v>1639</v>
      </c>
      <c r="D489" t="str" cm="1">
        <f t="array" ref="D489">_xlfn.TEXTJOIN("", TRUE, IF(ISNUMBER(SEARCH($K$1379:$K$1423, C489)), $K$1379:$K$1423, ""))</f>
        <v>Mott's</v>
      </c>
      <c r="E489" t="str">
        <f t="shared" si="14"/>
        <v>Canned Fruit</v>
      </c>
      <c r="F489" t="str">
        <f t="shared" si="15"/>
        <v>Fruit &amp; Vegetables</v>
      </c>
      <c r="G489" s="3">
        <v>3.19</v>
      </c>
      <c r="H489" t="s">
        <v>1267</v>
      </c>
      <c r="I489" s="2" t="s">
        <v>918</v>
      </c>
    </row>
    <row r="490" spans="1:13" x14ac:dyDescent="0.25">
      <c r="A490" t="s">
        <v>1640</v>
      </c>
      <c r="B490" t="s">
        <v>1641</v>
      </c>
      <c r="C490" t="s">
        <v>1642</v>
      </c>
      <c r="D490" t="str" cm="1">
        <f t="array" ref="D490">_xlfn.TEXTJOIN("", TRUE, IF(ISNUMBER(SEARCH($K$1379:$K$1423, C490)), $K$1379:$K$1423, ""))</f>
        <v>Mott's</v>
      </c>
      <c r="E490" t="str">
        <f t="shared" si="14"/>
        <v>Canned Fruit</v>
      </c>
      <c r="F490" t="str">
        <f t="shared" si="15"/>
        <v>Fruit &amp; Vegetables</v>
      </c>
      <c r="G490" s="3">
        <v>3.19</v>
      </c>
      <c r="H490" t="s">
        <v>1633</v>
      </c>
      <c r="I490" s="2" t="s">
        <v>436</v>
      </c>
    </row>
    <row r="491" spans="1:13" x14ac:dyDescent="0.25">
      <c r="A491" t="s">
        <v>1643</v>
      </c>
      <c r="B491" t="s">
        <v>1644</v>
      </c>
      <c r="C491" t="s">
        <v>1645</v>
      </c>
      <c r="D491" t="str" cm="1">
        <f t="array" ref="D491">_xlfn.TEXTJOIN("", TRUE, IF(ISNUMBER(SEARCH($K$1379:$K$1423, C491)), $K$1379:$K$1423, ""))</f>
        <v>Mott's</v>
      </c>
      <c r="E491" t="str">
        <f t="shared" si="14"/>
        <v>Canned Fruit</v>
      </c>
      <c r="F491" t="str">
        <f t="shared" si="15"/>
        <v>Fruit &amp; Vegetables</v>
      </c>
      <c r="G491" s="3">
        <v>3.19</v>
      </c>
      <c r="H491" t="s">
        <v>1633</v>
      </c>
      <c r="I491" s="2" t="s">
        <v>436</v>
      </c>
    </row>
    <row r="492" spans="1:13" x14ac:dyDescent="0.25">
      <c r="A492" t="s">
        <v>1646</v>
      </c>
      <c r="B492" t="s">
        <v>1647</v>
      </c>
      <c r="C492" t="s">
        <v>1648</v>
      </c>
      <c r="D492" t="str" cm="1">
        <f t="array" ref="D492">_xlfn.TEXTJOIN("", TRUE, IF(ISNUMBER(SEARCH($K$1379:$K$1423, C492)), $K$1379:$K$1423, ""))</f>
        <v>Mott's</v>
      </c>
      <c r="E492" t="str">
        <f t="shared" si="14"/>
        <v>Canned Fruit</v>
      </c>
      <c r="F492" t="str">
        <f t="shared" si="15"/>
        <v>Fruit &amp; Vegetables</v>
      </c>
      <c r="G492" s="3">
        <v>3.19</v>
      </c>
      <c r="H492" t="s">
        <v>1633</v>
      </c>
      <c r="I492" s="2" t="s">
        <v>436</v>
      </c>
    </row>
    <row r="493" spans="1:13" x14ac:dyDescent="0.25">
      <c r="A493" t="s">
        <v>1649</v>
      </c>
      <c r="B493" t="s">
        <v>1650</v>
      </c>
      <c r="C493" t="s">
        <v>1651</v>
      </c>
      <c r="D493" t="str" cm="1">
        <f t="array" ref="D493">_xlfn.TEXTJOIN("", TRUE, IF(ISNUMBER(SEARCH($K$1379:$K$1423, C493)), $K$1379:$K$1423, ""))</f>
        <v>Mott's</v>
      </c>
      <c r="E493" t="str">
        <f t="shared" si="14"/>
        <v>Canned Fruit</v>
      </c>
      <c r="F493" t="str">
        <f t="shared" si="15"/>
        <v>Fruit &amp; Vegetables</v>
      </c>
      <c r="G493" s="3">
        <v>3.19</v>
      </c>
      <c r="H493" t="s">
        <v>1633</v>
      </c>
      <c r="I493" s="2" t="s">
        <v>436</v>
      </c>
    </row>
    <row r="494" spans="1:13" x14ac:dyDescent="0.25">
      <c r="A494" t="s">
        <v>1652</v>
      </c>
      <c r="B494" t="s">
        <v>1653</v>
      </c>
      <c r="C494" t="s">
        <v>1654</v>
      </c>
      <c r="D494" t="str" cm="1">
        <f t="array" ref="D494">_xlfn.TEXTJOIN("", TRUE, IF(ISNUMBER(SEARCH($K$1379:$K$1423, C494)), $K$1379:$K$1423, ""))</f>
        <v>Mott's</v>
      </c>
      <c r="E494" t="str">
        <f t="shared" si="14"/>
        <v>Canned Fruit</v>
      </c>
      <c r="F494" t="str">
        <f t="shared" si="15"/>
        <v>Fruit &amp; Vegetables</v>
      </c>
      <c r="G494" s="3">
        <v>3.19</v>
      </c>
      <c r="H494" t="s">
        <v>1633</v>
      </c>
      <c r="I494" s="2" t="s">
        <v>436</v>
      </c>
    </row>
    <row r="495" spans="1:13" x14ac:dyDescent="0.25">
      <c r="A495" t="s">
        <v>1655</v>
      </c>
      <c r="B495" t="s">
        <v>1656</v>
      </c>
      <c r="C495" t="s">
        <v>1657</v>
      </c>
      <c r="D495" t="str" cm="1">
        <f t="array" ref="D495">_xlfn.TEXTJOIN("", TRUE, IF(ISNUMBER(SEARCH($K$1379:$K$1423, C495)), $K$1379:$K$1423, ""))</f>
        <v>Mott's</v>
      </c>
      <c r="E495" t="str">
        <f t="shared" si="14"/>
        <v>Canned Fruit</v>
      </c>
      <c r="F495" t="str">
        <f t="shared" si="15"/>
        <v>Fruit &amp; Vegetables</v>
      </c>
      <c r="G495" s="3">
        <v>8.99</v>
      </c>
      <c r="H495" t="s">
        <v>1658</v>
      </c>
      <c r="I495" s="2" t="s">
        <v>32</v>
      </c>
    </row>
    <row r="496" spans="1:13" x14ac:dyDescent="0.25">
      <c r="A496" t="s">
        <v>1659</v>
      </c>
      <c r="B496" t="s">
        <v>1660</v>
      </c>
      <c r="C496" t="s">
        <v>1661</v>
      </c>
      <c r="D496" t="str" cm="1">
        <f t="array" ref="D496">_xlfn.TEXTJOIN("", TRUE, IF(ISNUMBER(SEARCH($K$1379:$K$1423, C496)), $K$1379:$K$1423, ""))</f>
        <v>Mott's</v>
      </c>
      <c r="E496" t="str">
        <f t="shared" si="14"/>
        <v>Canned Fruit</v>
      </c>
      <c r="F496" t="str">
        <f t="shared" si="15"/>
        <v>Fruit &amp; Vegetables</v>
      </c>
      <c r="G496" s="3">
        <v>8.99</v>
      </c>
      <c r="H496" t="s">
        <v>1662</v>
      </c>
      <c r="I496" s="2" t="s">
        <v>32</v>
      </c>
    </row>
    <row r="497" spans="1:9" x14ac:dyDescent="0.25">
      <c r="A497" t="s">
        <v>1663</v>
      </c>
      <c r="B497" t="s">
        <v>1664</v>
      </c>
      <c r="C497" t="s">
        <v>1665</v>
      </c>
      <c r="D497" t="str" cm="1">
        <f t="array" ref="D497">_xlfn.TEXTJOIN("", TRUE, IF(ISNUMBER(SEARCH($K$1379:$K$1423, C497)), $K$1379:$K$1423, ""))</f>
        <v>Nature's Own</v>
      </c>
      <c r="E497" t="str">
        <f t="shared" si="14"/>
        <v>Bread</v>
      </c>
      <c r="F497" t="str">
        <f t="shared" si="15"/>
        <v>Grain</v>
      </c>
      <c r="G497" s="3">
        <v>4.29</v>
      </c>
      <c r="H497" t="s">
        <v>1513</v>
      </c>
      <c r="I497" s="2" t="s">
        <v>490</v>
      </c>
    </row>
    <row r="498" spans="1:9" x14ac:dyDescent="0.25">
      <c r="A498" t="s">
        <v>1667</v>
      </c>
      <c r="B498" t="s">
        <v>1668</v>
      </c>
      <c r="C498" t="s">
        <v>1669</v>
      </c>
      <c r="D498" t="str" cm="1">
        <f t="array" ref="D498">_xlfn.TEXTJOIN("", TRUE, IF(ISNUMBER(SEARCH($K$1379:$K$1423, C498)), $K$1379:$K$1423, ""))</f>
        <v>Nature's Own</v>
      </c>
      <c r="E498" t="str">
        <f t="shared" si="14"/>
        <v>Bread</v>
      </c>
      <c r="F498" t="str">
        <f t="shared" si="15"/>
        <v>Grain</v>
      </c>
      <c r="G498" s="3">
        <v>4.29</v>
      </c>
      <c r="H498" t="s">
        <v>1513</v>
      </c>
      <c r="I498" s="2" t="s">
        <v>490</v>
      </c>
    </row>
    <row r="499" spans="1:9" x14ac:dyDescent="0.25">
      <c r="A499" t="s">
        <v>1670</v>
      </c>
      <c r="B499" t="s">
        <v>1671</v>
      </c>
      <c r="C499" t="s">
        <v>1672</v>
      </c>
      <c r="D499" t="str" cm="1">
        <f t="array" ref="D499">_xlfn.TEXTJOIN("", TRUE, IF(ISNUMBER(SEARCH($K$1379:$K$1423, C499)), $K$1379:$K$1423, ""))</f>
        <v>Nature's Own</v>
      </c>
      <c r="E499" t="str">
        <f t="shared" si="14"/>
        <v>Bread</v>
      </c>
      <c r="F499" t="str">
        <f t="shared" si="15"/>
        <v>Grain</v>
      </c>
      <c r="G499" s="3">
        <v>4.29</v>
      </c>
      <c r="H499" t="s">
        <v>1513</v>
      </c>
      <c r="I499" s="2" t="s">
        <v>490</v>
      </c>
    </row>
    <row r="500" spans="1:9" x14ac:dyDescent="0.25">
      <c r="A500" t="s">
        <v>1673</v>
      </c>
      <c r="B500" t="s">
        <v>1674</v>
      </c>
      <c r="C500" t="s">
        <v>1675</v>
      </c>
      <c r="D500" t="str" cm="1">
        <f t="array" ref="D500">_xlfn.TEXTJOIN("", TRUE, IF(ISNUMBER(SEARCH($K$1379:$K$1423, C500)), $K$1379:$K$1423, ""))</f>
        <v>Nature's Own</v>
      </c>
      <c r="E500" t="str">
        <f t="shared" si="14"/>
        <v>Bread</v>
      </c>
      <c r="F500" t="str">
        <f t="shared" si="15"/>
        <v>Grain</v>
      </c>
      <c r="G500" s="3">
        <v>4.49</v>
      </c>
      <c r="H500" t="s">
        <v>1433</v>
      </c>
      <c r="I500" s="2" t="s">
        <v>490</v>
      </c>
    </row>
    <row r="501" spans="1:9" x14ac:dyDescent="0.25">
      <c r="A501" t="s">
        <v>1676</v>
      </c>
      <c r="B501" t="s">
        <v>1677</v>
      </c>
      <c r="C501" t="s">
        <v>1678</v>
      </c>
      <c r="D501" t="str" cm="1">
        <f t="array" ref="D501">_xlfn.TEXTJOIN("", TRUE, IF(ISNUMBER(SEARCH($K$1379:$K$1423, C501)), $K$1379:$K$1423, ""))</f>
        <v>Nature's Own</v>
      </c>
      <c r="E501" t="str">
        <f t="shared" si="14"/>
        <v>Bread</v>
      </c>
      <c r="F501" t="str">
        <f t="shared" si="15"/>
        <v>Grain</v>
      </c>
      <c r="G501" s="3">
        <v>4.49</v>
      </c>
      <c r="H501" t="s">
        <v>1433</v>
      </c>
      <c r="I501" s="2" t="s">
        <v>490</v>
      </c>
    </row>
    <row r="502" spans="1:9" x14ac:dyDescent="0.25">
      <c r="A502" t="s">
        <v>1679</v>
      </c>
      <c r="B502" t="s">
        <v>1680</v>
      </c>
      <c r="C502" t="s">
        <v>1681</v>
      </c>
      <c r="D502" t="str" cm="1">
        <f t="array" ref="D502">_xlfn.TEXTJOIN("", TRUE, IF(ISNUMBER(SEARCH($K$1379:$K$1423, C502)), $K$1379:$K$1423, ""))</f>
        <v>Nature's Own</v>
      </c>
      <c r="E502" t="str">
        <f t="shared" si="14"/>
        <v>Bread</v>
      </c>
      <c r="F502" t="str">
        <f t="shared" si="15"/>
        <v>Grain</v>
      </c>
      <c r="G502" s="3">
        <v>6.99</v>
      </c>
      <c r="H502" t="s">
        <v>1682</v>
      </c>
      <c r="I502" s="2" t="s">
        <v>689</v>
      </c>
    </row>
    <row r="503" spans="1:9" x14ac:dyDescent="0.25">
      <c r="A503" t="s">
        <v>1683</v>
      </c>
      <c r="B503" t="s">
        <v>1684</v>
      </c>
      <c r="C503" t="s">
        <v>1685</v>
      </c>
      <c r="D503" t="str" cm="1">
        <f t="array" ref="D503">_xlfn.TEXTJOIN("", TRUE, IF(ISNUMBER(SEARCH($K$1379:$K$1423, C503)), $K$1379:$K$1423, ""))</f>
        <v>Nature's Own</v>
      </c>
      <c r="E503" t="str">
        <f t="shared" si="14"/>
        <v>Bread</v>
      </c>
      <c r="F503" t="str">
        <f t="shared" si="15"/>
        <v>Grain</v>
      </c>
      <c r="G503" s="3">
        <v>4.29</v>
      </c>
      <c r="H503" t="s">
        <v>1686</v>
      </c>
      <c r="I503" s="2" t="s">
        <v>490</v>
      </c>
    </row>
    <row r="504" spans="1:9" x14ac:dyDescent="0.25">
      <c r="A504" t="s">
        <v>1687</v>
      </c>
      <c r="B504" t="s">
        <v>1688</v>
      </c>
      <c r="C504" t="s">
        <v>1689</v>
      </c>
      <c r="D504" t="str" cm="1">
        <f t="array" ref="D504">_xlfn.TEXTJOIN("", TRUE, IF(ISNUMBER(SEARCH($K$1379:$K$1423, C504)), $K$1379:$K$1423, ""))</f>
        <v>Nature's Own</v>
      </c>
      <c r="E504" t="str">
        <f t="shared" si="14"/>
        <v>Bread</v>
      </c>
      <c r="F504" t="str">
        <f t="shared" si="15"/>
        <v>Grain</v>
      </c>
      <c r="G504" s="3">
        <v>4.49</v>
      </c>
      <c r="H504" t="s">
        <v>1433</v>
      </c>
      <c r="I504" s="2" t="s">
        <v>490</v>
      </c>
    </row>
    <row r="505" spans="1:9" x14ac:dyDescent="0.25">
      <c r="A505" t="s">
        <v>1690</v>
      </c>
      <c r="B505" t="s">
        <v>1691</v>
      </c>
      <c r="C505" t="s">
        <v>1692</v>
      </c>
      <c r="D505" t="str" cm="1">
        <f t="array" ref="D505">_xlfn.TEXTJOIN("", TRUE, IF(ISNUMBER(SEARCH($K$1379:$K$1423, C505)), $K$1379:$K$1423, ""))</f>
        <v>Nature's Own</v>
      </c>
      <c r="E505" t="str">
        <f t="shared" si="14"/>
        <v>Bread</v>
      </c>
      <c r="F505" t="str">
        <f t="shared" si="15"/>
        <v>Grain</v>
      </c>
      <c r="G505" s="3">
        <v>4.49</v>
      </c>
      <c r="H505" t="s">
        <v>688</v>
      </c>
      <c r="I505" s="2" t="s">
        <v>149</v>
      </c>
    </row>
    <row r="506" spans="1:9" x14ac:dyDescent="0.25">
      <c r="A506" t="s">
        <v>1693</v>
      </c>
      <c r="B506" t="s">
        <v>1694</v>
      </c>
      <c r="C506" t="s">
        <v>1695</v>
      </c>
      <c r="D506" t="str" cm="1">
        <f t="array" ref="D506">_xlfn.TEXTJOIN("", TRUE, IF(ISNUMBER(SEARCH($K$1379:$K$1423, C506)), $K$1379:$K$1423, ""))</f>
        <v>Nature's Own</v>
      </c>
      <c r="E506" t="str">
        <f t="shared" si="14"/>
        <v>Bread</v>
      </c>
      <c r="F506" t="str">
        <f t="shared" si="15"/>
        <v>Grain</v>
      </c>
      <c r="G506" s="3">
        <v>6.99</v>
      </c>
      <c r="H506" t="s">
        <v>138</v>
      </c>
      <c r="I506" s="2" t="s">
        <v>361</v>
      </c>
    </row>
    <row r="507" spans="1:9" x14ac:dyDescent="0.25">
      <c r="A507" t="s">
        <v>1696</v>
      </c>
      <c r="B507" t="s">
        <v>1697</v>
      </c>
      <c r="C507" t="s">
        <v>1698</v>
      </c>
      <c r="D507" t="str" cm="1">
        <f t="array" ref="D507">_xlfn.TEXTJOIN("", TRUE, IF(ISNUMBER(SEARCH($K$1379:$K$1423, C507)), $K$1379:$K$1423, ""))</f>
        <v>Nature's Own</v>
      </c>
      <c r="E507" t="str">
        <f t="shared" si="14"/>
        <v>Bread</v>
      </c>
      <c r="F507" t="str">
        <f t="shared" si="15"/>
        <v>Grain</v>
      </c>
      <c r="G507" s="3">
        <v>4.29</v>
      </c>
      <c r="H507" t="s">
        <v>897</v>
      </c>
      <c r="I507" s="2" t="s">
        <v>308</v>
      </c>
    </row>
    <row r="508" spans="1:9" x14ac:dyDescent="0.25">
      <c r="A508" t="s">
        <v>1699</v>
      </c>
      <c r="B508" t="s">
        <v>1700</v>
      </c>
      <c r="C508" t="s">
        <v>1701</v>
      </c>
      <c r="D508" t="str" cm="1">
        <f t="array" ref="D508">_xlfn.TEXTJOIN("", TRUE, IF(ISNUMBER(SEARCH($K$1379:$K$1423, C508)), $K$1379:$K$1423, ""))</f>
        <v>Philadelphia</v>
      </c>
      <c r="E508" t="str">
        <f t="shared" si="14"/>
        <v>Cheese</v>
      </c>
      <c r="F508" t="str">
        <f t="shared" si="15"/>
        <v>Dairy</v>
      </c>
      <c r="G508" s="3">
        <v>3.69</v>
      </c>
      <c r="H508" t="s">
        <v>211</v>
      </c>
      <c r="I508" s="2" t="s">
        <v>1703</v>
      </c>
    </row>
    <row r="509" spans="1:9" x14ac:dyDescent="0.25">
      <c r="A509" t="s">
        <v>1704</v>
      </c>
      <c r="B509" t="s">
        <v>1705</v>
      </c>
      <c r="C509" t="s">
        <v>1706</v>
      </c>
      <c r="D509" t="str" cm="1">
        <f t="array" ref="D509">_xlfn.TEXTJOIN("", TRUE, IF(ISNUMBER(SEARCH($K$1379:$K$1423, C509)), $K$1379:$K$1423, ""))</f>
        <v>Philadelphia</v>
      </c>
      <c r="E509" t="str">
        <f t="shared" si="14"/>
        <v>Cheese</v>
      </c>
      <c r="F509" t="str">
        <f t="shared" si="15"/>
        <v>Dairy</v>
      </c>
      <c r="G509" s="3">
        <v>5.5</v>
      </c>
      <c r="H509" t="s">
        <v>223</v>
      </c>
      <c r="I509" s="2" t="s">
        <v>1707</v>
      </c>
    </row>
    <row r="510" spans="1:9" x14ac:dyDescent="0.25">
      <c r="A510" t="s">
        <v>1708</v>
      </c>
      <c r="B510" t="s">
        <v>1709</v>
      </c>
      <c r="C510" t="s">
        <v>1710</v>
      </c>
      <c r="D510" t="str" cm="1">
        <f t="array" ref="D510">_xlfn.TEXTJOIN("", TRUE, IF(ISNUMBER(SEARCH($K$1379:$K$1423, C510)), $K$1379:$K$1423, ""))</f>
        <v>Philadelphia</v>
      </c>
      <c r="E510" t="str">
        <f t="shared" si="14"/>
        <v>Cheese</v>
      </c>
      <c r="F510" t="str">
        <f t="shared" si="15"/>
        <v>Dairy</v>
      </c>
      <c r="G510" s="3">
        <v>4.99</v>
      </c>
      <c r="H510" t="s">
        <v>220</v>
      </c>
      <c r="I510" s="2" t="s">
        <v>1711</v>
      </c>
    </row>
    <row r="511" spans="1:9" x14ac:dyDescent="0.25">
      <c r="A511" t="s">
        <v>1712</v>
      </c>
      <c r="B511" t="s">
        <v>1713</v>
      </c>
      <c r="C511" t="s">
        <v>1714</v>
      </c>
      <c r="D511" t="str" cm="1">
        <f t="array" ref="D511">_xlfn.TEXTJOIN("", TRUE, IF(ISNUMBER(SEARCH($K$1379:$K$1423, C511)), $K$1379:$K$1423, ""))</f>
        <v>Philadelphia</v>
      </c>
      <c r="E511" t="str">
        <f t="shared" si="14"/>
        <v>Cheese</v>
      </c>
      <c r="F511" t="str">
        <f t="shared" si="15"/>
        <v>Dairy</v>
      </c>
      <c r="G511" s="3">
        <v>4.99</v>
      </c>
      <c r="H511" t="s">
        <v>220</v>
      </c>
      <c r="I511" s="2" t="s">
        <v>1711</v>
      </c>
    </row>
    <row r="512" spans="1:9" x14ac:dyDescent="0.25">
      <c r="A512" t="s">
        <v>1715</v>
      </c>
      <c r="B512" t="s">
        <v>1716</v>
      </c>
      <c r="C512" t="s">
        <v>1710</v>
      </c>
      <c r="D512" t="str" cm="1">
        <f t="array" ref="D512">_xlfn.TEXTJOIN("", TRUE, IF(ISNUMBER(SEARCH($K$1379:$K$1423, C512)), $K$1379:$K$1423, ""))</f>
        <v>Philadelphia</v>
      </c>
      <c r="E512" t="str">
        <f t="shared" si="14"/>
        <v>Cheese</v>
      </c>
      <c r="F512" t="str">
        <f t="shared" si="15"/>
        <v>Dairy</v>
      </c>
      <c r="G512" s="3">
        <v>8.7899999999999991</v>
      </c>
      <c r="H512" t="s">
        <v>290</v>
      </c>
      <c r="I512" s="2" t="s">
        <v>1717</v>
      </c>
    </row>
    <row r="513" spans="1:9" x14ac:dyDescent="0.25">
      <c r="A513" t="s">
        <v>1718</v>
      </c>
      <c r="B513" t="s">
        <v>1719</v>
      </c>
      <c r="C513" t="s">
        <v>1720</v>
      </c>
      <c r="D513" t="str" cm="1">
        <f t="array" ref="D513">_xlfn.TEXTJOIN("", TRUE, IF(ISNUMBER(SEARCH($K$1379:$K$1423, C513)), $K$1379:$K$1423, ""))</f>
        <v>Philadelphia</v>
      </c>
      <c r="E513" t="str">
        <f t="shared" si="14"/>
        <v>Cheese</v>
      </c>
      <c r="F513" t="str">
        <f t="shared" si="15"/>
        <v>Dairy</v>
      </c>
      <c r="G513" s="3">
        <v>4.99</v>
      </c>
      <c r="H513" t="s">
        <v>1721</v>
      </c>
      <c r="I513" s="2" t="s">
        <v>1362</v>
      </c>
    </row>
    <row r="514" spans="1:9" x14ac:dyDescent="0.25">
      <c r="A514" t="s">
        <v>1722</v>
      </c>
      <c r="B514" t="s">
        <v>1723</v>
      </c>
      <c r="C514" t="s">
        <v>1714</v>
      </c>
      <c r="D514" t="str" cm="1">
        <f t="array" ref="D514">_xlfn.TEXTJOIN("", TRUE, IF(ISNUMBER(SEARCH($K$1379:$K$1423, C514)), $K$1379:$K$1423, ""))</f>
        <v>Philadelphia</v>
      </c>
      <c r="E514" t="str">
        <f t="shared" ref="E514:E577" si="16">IF(OR(D514="Mission",D514="Nature's Own",D514="Sara Lee"),"Bread",
IF(OR(D514="Del Monte",D514="Dole",D514="Mott's"),"Canned Fruit",
IF(OR(D514="Goya",D514="Hunt's",D514="Birds Eye"),"Canned Vegetables",
IF(OR(D514="fairlife",D514="Horizon Organic",D514="Lactaid",D514="Ben &amp; Jerry's"),"Milk",
IF(OR(D514="BelGioioso",D514="Kraft",D514="Philadelphia"),"Cheese",
IF(OR(D514="Chobani",D514="Oikos",D514="Dannon Light + Fit"),"Yogurt",
IF(OR(D514="Barilla",D514="Annie's",D514="Rao's Homemade"),"Pasta",
IF(OR(D514="Hershey's",D514="Lay's",D514="Totino's",D514="Cheerios",D514="Jif",D514="Skippy",D514="Nature Valley",D514="OREO",D514="DiGiorno",D514="Eggo"),"Prepared Food",
IF(OR(D514="Ben's Original",D514="Lundberg",D514="Quaker"),"Rice",
IF(OR(D514="Bush's",D514="Hillshire Farm",D514="Oscar Mayer",D514="SPAM"),"Protein",
IF(OR(D514="Starbucks",D514="Sparkling Ice",D514="Coca-Cola",D514="San Pellegrino",D514="Gatorade",D514="Arizona"),"Beverages",
"Other")))))))))))</f>
        <v>Cheese</v>
      </c>
      <c r="F514" t="str">
        <f t="shared" ref="F514:F577" si="17">IF(OR(E514="Bread",E514="Rice",E514="Pasta"), "Grain",
IF(OR(E514="Milk",E514="Cheese",E514="Yogurt"), "Dairy",
IF(OR(E514="Canned Fruit",E514="Canned Vegetables"), "Fruit &amp; Vegetables",
IF(E514="Prepared Food", "Prepared Food",
IF(E514="Protein", "Protein",
IF(E514="Beverages", "Beverages",
"Other"))))))</f>
        <v>Dairy</v>
      </c>
      <c r="G514" s="3">
        <v>6.99</v>
      </c>
      <c r="H514" t="s">
        <v>262</v>
      </c>
      <c r="I514" s="2" t="s">
        <v>1724</v>
      </c>
    </row>
    <row r="515" spans="1:9" x14ac:dyDescent="0.25">
      <c r="A515" t="s">
        <v>1725</v>
      </c>
      <c r="B515" t="s">
        <v>1726</v>
      </c>
      <c r="C515" t="s">
        <v>1727</v>
      </c>
      <c r="D515" t="str" cm="1">
        <f t="array" ref="D515">_xlfn.TEXTJOIN("", TRUE, IF(ISNUMBER(SEARCH($K$1379:$K$1423, C515)), $K$1379:$K$1423, ""))</f>
        <v>Philadelphia</v>
      </c>
      <c r="E515" t="str">
        <f t="shared" si="16"/>
        <v>Cheese</v>
      </c>
      <c r="F515" t="str">
        <f t="shared" si="17"/>
        <v>Dairy</v>
      </c>
      <c r="G515" s="3">
        <v>4.99</v>
      </c>
      <c r="H515" t="s">
        <v>220</v>
      </c>
      <c r="I515" s="2" t="s">
        <v>1711</v>
      </c>
    </row>
    <row r="516" spans="1:9" x14ac:dyDescent="0.25">
      <c r="A516" t="s">
        <v>1728</v>
      </c>
      <c r="B516" t="s">
        <v>1729</v>
      </c>
      <c r="C516" t="s">
        <v>1710</v>
      </c>
      <c r="D516" t="str" cm="1">
        <f t="array" ref="D516">_xlfn.TEXTJOIN("", TRUE, IF(ISNUMBER(SEARCH($K$1379:$K$1423, C516)), $K$1379:$K$1423, ""))</f>
        <v>Philadelphia</v>
      </c>
      <c r="E516" t="str">
        <f t="shared" si="16"/>
        <v>Cheese</v>
      </c>
      <c r="F516" t="str">
        <f t="shared" si="17"/>
        <v>Dairy</v>
      </c>
      <c r="G516" s="3">
        <v>6.99</v>
      </c>
      <c r="H516" t="s">
        <v>262</v>
      </c>
      <c r="I516" s="2" t="s">
        <v>1724</v>
      </c>
    </row>
    <row r="517" spans="1:9" x14ac:dyDescent="0.25">
      <c r="A517" t="s">
        <v>1730</v>
      </c>
      <c r="B517" t="s">
        <v>1731</v>
      </c>
      <c r="C517" t="s">
        <v>1732</v>
      </c>
      <c r="D517" t="str" cm="1">
        <f t="array" ref="D517">_xlfn.TEXTJOIN("", TRUE, IF(ISNUMBER(SEARCH($K$1379:$K$1423, C517)), $K$1379:$K$1423, ""))</f>
        <v>Philadelphia</v>
      </c>
      <c r="E517" t="str">
        <f t="shared" si="16"/>
        <v>Cheese</v>
      </c>
      <c r="F517" t="str">
        <f t="shared" si="17"/>
        <v>Dairy</v>
      </c>
      <c r="G517" s="3">
        <v>4.99</v>
      </c>
      <c r="H517" t="s">
        <v>1721</v>
      </c>
      <c r="I517" s="2" t="s">
        <v>1362</v>
      </c>
    </row>
    <row r="518" spans="1:9" x14ac:dyDescent="0.25">
      <c r="A518" t="s">
        <v>1733</v>
      </c>
      <c r="B518" t="s">
        <v>1734</v>
      </c>
      <c r="C518" t="s">
        <v>1735</v>
      </c>
      <c r="D518" t="str" cm="1">
        <f t="array" ref="D518">_xlfn.TEXTJOIN("", TRUE, IF(ISNUMBER(SEARCH($K$1379:$K$1423, C518)), $K$1379:$K$1423, ""))</f>
        <v>Philadelphia</v>
      </c>
      <c r="E518" t="str">
        <f t="shared" si="16"/>
        <v>Cheese</v>
      </c>
      <c r="F518" t="str">
        <f t="shared" si="17"/>
        <v>Dairy</v>
      </c>
      <c r="G518" s="3">
        <v>4.99</v>
      </c>
      <c r="H518" t="s">
        <v>1721</v>
      </c>
      <c r="I518" s="2" t="s">
        <v>1362</v>
      </c>
    </row>
    <row r="519" spans="1:9" x14ac:dyDescent="0.25">
      <c r="A519" t="s">
        <v>1736</v>
      </c>
      <c r="B519" t="s">
        <v>1737</v>
      </c>
      <c r="C519" t="s">
        <v>1738</v>
      </c>
      <c r="D519" t="str" cm="1">
        <f t="array" ref="D519">_xlfn.TEXTJOIN("", TRUE, IF(ISNUMBER(SEARCH($K$1379:$K$1423, C519)), $K$1379:$K$1423, ""))</f>
        <v>Philadelphia</v>
      </c>
      <c r="E519" t="str">
        <f t="shared" si="16"/>
        <v>Cheese</v>
      </c>
      <c r="F519" t="str">
        <f t="shared" si="17"/>
        <v>Dairy</v>
      </c>
      <c r="G519" s="3">
        <v>4.99</v>
      </c>
      <c r="H519" t="s">
        <v>1721</v>
      </c>
      <c r="I519" s="2" t="s">
        <v>1362</v>
      </c>
    </row>
    <row r="520" spans="1:9" x14ac:dyDescent="0.25">
      <c r="A520" t="s">
        <v>1739</v>
      </c>
      <c r="B520" t="s">
        <v>1740</v>
      </c>
      <c r="C520" t="s">
        <v>1727</v>
      </c>
      <c r="D520" t="str" cm="1">
        <f t="array" ref="D520">_xlfn.TEXTJOIN("", TRUE, IF(ISNUMBER(SEARCH($K$1379:$K$1423, C520)), $K$1379:$K$1423, ""))</f>
        <v>Philadelphia</v>
      </c>
      <c r="E520" t="str">
        <f t="shared" si="16"/>
        <v>Cheese</v>
      </c>
      <c r="F520" t="str">
        <f t="shared" si="17"/>
        <v>Dairy</v>
      </c>
      <c r="G520" s="3">
        <v>6.99</v>
      </c>
      <c r="H520" t="s">
        <v>262</v>
      </c>
      <c r="I520" s="2" t="s">
        <v>1724</v>
      </c>
    </row>
    <row r="521" spans="1:9" x14ac:dyDescent="0.25">
      <c r="A521" t="s">
        <v>1741</v>
      </c>
      <c r="B521" t="s">
        <v>1742</v>
      </c>
      <c r="C521" t="s">
        <v>1743</v>
      </c>
      <c r="D521" t="str" cm="1">
        <f t="array" ref="D521">_xlfn.TEXTJOIN("", TRUE, IF(ISNUMBER(SEARCH($K$1379:$K$1423, C521)), $K$1379:$K$1423, ""))</f>
        <v>Philadelphia</v>
      </c>
      <c r="E521" t="str">
        <f t="shared" si="16"/>
        <v>Cheese</v>
      </c>
      <c r="F521" t="str">
        <f t="shared" si="17"/>
        <v>Dairy</v>
      </c>
      <c r="G521" s="3">
        <v>4.99</v>
      </c>
      <c r="H521" t="s">
        <v>1721</v>
      </c>
      <c r="I521" s="2" t="s">
        <v>1362</v>
      </c>
    </row>
    <row r="522" spans="1:9" x14ac:dyDescent="0.25">
      <c r="A522" t="s">
        <v>1744</v>
      </c>
      <c r="B522" t="s">
        <v>1745</v>
      </c>
      <c r="C522" t="s">
        <v>1746</v>
      </c>
      <c r="D522" t="str" cm="1">
        <f t="array" ref="D522">_xlfn.TEXTJOIN("", TRUE, IF(ISNUMBER(SEARCH($K$1379:$K$1423, C522)), $K$1379:$K$1423, ""))</f>
        <v>Philadelphia</v>
      </c>
      <c r="E522" t="str">
        <f t="shared" si="16"/>
        <v>Cheese</v>
      </c>
      <c r="F522" t="str">
        <f t="shared" si="17"/>
        <v>Dairy</v>
      </c>
      <c r="G522" s="3">
        <v>4.99</v>
      </c>
      <c r="H522" t="s">
        <v>1721</v>
      </c>
      <c r="I522" s="2" t="s">
        <v>1362</v>
      </c>
    </row>
    <row r="523" spans="1:9" x14ac:dyDescent="0.25">
      <c r="A523" t="s">
        <v>1747</v>
      </c>
      <c r="B523" t="s">
        <v>1748</v>
      </c>
      <c r="C523" t="s">
        <v>1749</v>
      </c>
      <c r="D523" t="str" cm="1">
        <f t="array" ref="D523">_xlfn.TEXTJOIN("", TRUE, IF(ISNUMBER(SEARCH($K$1379:$K$1423, C523)), $K$1379:$K$1423, ""))</f>
        <v>Philadelphia</v>
      </c>
      <c r="E523" t="str">
        <f t="shared" si="16"/>
        <v>Cheese</v>
      </c>
      <c r="F523" t="str">
        <f t="shared" si="17"/>
        <v>Dairy</v>
      </c>
      <c r="G523" s="3">
        <v>4.99</v>
      </c>
      <c r="H523" t="s">
        <v>1721</v>
      </c>
      <c r="I523" s="2" t="s">
        <v>1362</v>
      </c>
    </row>
    <row r="524" spans="1:9" x14ac:dyDescent="0.25">
      <c r="A524" t="s">
        <v>1750</v>
      </c>
      <c r="B524" t="s">
        <v>1751</v>
      </c>
      <c r="C524" t="s">
        <v>1727</v>
      </c>
      <c r="D524" t="str" cm="1">
        <f t="array" ref="D524">_xlfn.TEXTJOIN("", TRUE, IF(ISNUMBER(SEARCH($K$1379:$K$1423, C524)), $K$1379:$K$1423, ""))</f>
        <v>Philadelphia</v>
      </c>
      <c r="E524" t="str">
        <f t="shared" si="16"/>
        <v>Cheese</v>
      </c>
      <c r="F524" t="str">
        <f t="shared" si="17"/>
        <v>Dairy</v>
      </c>
      <c r="G524" s="3">
        <v>8.7899999999999991</v>
      </c>
      <c r="H524" t="s">
        <v>290</v>
      </c>
      <c r="I524" s="2" t="s">
        <v>1717</v>
      </c>
    </row>
    <row r="525" spans="1:9" x14ac:dyDescent="0.25">
      <c r="A525" t="s">
        <v>1752</v>
      </c>
      <c r="B525" t="s">
        <v>1753</v>
      </c>
      <c r="C525" t="s">
        <v>1754</v>
      </c>
      <c r="D525" t="str" cm="1">
        <f t="array" ref="D525">_xlfn.TEXTJOIN("", TRUE, IF(ISNUMBER(SEARCH($K$1379:$K$1423, C525)), $K$1379:$K$1423, ""))</f>
        <v>Philadelphia</v>
      </c>
      <c r="E525" t="str">
        <f t="shared" si="16"/>
        <v>Cheese</v>
      </c>
      <c r="F525" t="str">
        <f t="shared" si="17"/>
        <v>Dairy</v>
      </c>
      <c r="G525" s="3">
        <v>4.99</v>
      </c>
      <c r="H525" t="s">
        <v>1721</v>
      </c>
      <c r="I525" s="2" t="s">
        <v>1362</v>
      </c>
    </row>
    <row r="526" spans="1:9" x14ac:dyDescent="0.25">
      <c r="A526" t="s">
        <v>1755</v>
      </c>
      <c r="B526" t="s">
        <v>1756</v>
      </c>
      <c r="C526" t="s">
        <v>1757</v>
      </c>
      <c r="D526" t="str" cm="1">
        <f t="array" ref="D526">_xlfn.TEXTJOIN("", TRUE, IF(ISNUMBER(SEARCH($K$1379:$K$1423, C526)), $K$1379:$K$1423, ""))</f>
        <v>Philadelphia</v>
      </c>
      <c r="E526" t="str">
        <f t="shared" si="16"/>
        <v>Cheese</v>
      </c>
      <c r="F526" t="str">
        <f t="shared" si="17"/>
        <v>Dairy</v>
      </c>
      <c r="G526" s="3">
        <v>4.99</v>
      </c>
      <c r="H526" t="s">
        <v>1721</v>
      </c>
      <c r="I526" s="2" t="s">
        <v>1362</v>
      </c>
    </row>
    <row r="527" spans="1:9" x14ac:dyDescent="0.25">
      <c r="A527" t="s">
        <v>1758</v>
      </c>
      <c r="B527" t="s">
        <v>1759</v>
      </c>
      <c r="C527" t="s">
        <v>1760</v>
      </c>
      <c r="D527" t="str" cm="1">
        <f t="array" ref="D527">_xlfn.TEXTJOIN("", TRUE, IF(ISNUMBER(SEARCH($K$1379:$K$1423, C527)), $K$1379:$K$1423, ""))</f>
        <v>Philadelphia</v>
      </c>
      <c r="E527" t="str">
        <f t="shared" si="16"/>
        <v>Cheese</v>
      </c>
      <c r="F527" t="str">
        <f t="shared" si="17"/>
        <v>Dairy</v>
      </c>
      <c r="G527" s="3">
        <v>3.69</v>
      </c>
      <c r="H527" t="s">
        <v>211</v>
      </c>
      <c r="I527" s="2" t="s">
        <v>1703</v>
      </c>
    </row>
    <row r="528" spans="1:9" x14ac:dyDescent="0.25">
      <c r="A528" t="s">
        <v>1761</v>
      </c>
      <c r="B528" t="s">
        <v>1762</v>
      </c>
      <c r="C528" t="s">
        <v>1763</v>
      </c>
      <c r="D528" t="str" cm="1">
        <f t="array" ref="D528">_xlfn.TEXTJOIN("", TRUE, IF(ISNUMBER(SEARCH($K$1379:$K$1423, C528)), $K$1379:$K$1423, ""))</f>
        <v>Philadelphia</v>
      </c>
      <c r="E528" t="str">
        <f t="shared" si="16"/>
        <v>Cheese</v>
      </c>
      <c r="F528" t="str">
        <f t="shared" si="17"/>
        <v>Dairy</v>
      </c>
      <c r="G528" s="3">
        <v>6.59</v>
      </c>
      <c r="H528" t="s">
        <v>1764</v>
      </c>
      <c r="I528" s="2" t="s">
        <v>79</v>
      </c>
    </row>
    <row r="529" spans="1:10" x14ac:dyDescent="0.25">
      <c r="A529" t="s">
        <v>1765</v>
      </c>
      <c r="B529" t="s">
        <v>1766</v>
      </c>
      <c r="C529" t="s">
        <v>1767</v>
      </c>
      <c r="D529" t="str" cm="1">
        <f t="array" ref="D529">_xlfn.TEXTJOIN("", TRUE, IF(ISNUMBER(SEARCH($K$1379:$K$1423, C529)), $K$1379:$K$1423, ""))</f>
        <v>Sara Lee</v>
      </c>
      <c r="E529" t="str">
        <f t="shared" si="16"/>
        <v>Bread</v>
      </c>
      <c r="F529" t="str">
        <f t="shared" si="17"/>
        <v>Grain</v>
      </c>
      <c r="G529" s="3">
        <v>4.49</v>
      </c>
      <c r="H529" t="s">
        <v>1513</v>
      </c>
      <c r="I529" s="2" t="s">
        <v>490</v>
      </c>
    </row>
    <row r="530" spans="1:10" x14ac:dyDescent="0.25">
      <c r="A530" t="s">
        <v>1769</v>
      </c>
      <c r="B530" t="s">
        <v>1770</v>
      </c>
      <c r="C530" t="s">
        <v>1771</v>
      </c>
      <c r="D530" t="str" cm="1">
        <f t="array" ref="D530">_xlfn.TEXTJOIN("", TRUE, IF(ISNUMBER(SEARCH($K$1379:$K$1423, C530)), $K$1379:$K$1423, ""))</f>
        <v>Sara Lee</v>
      </c>
      <c r="E530" t="str">
        <f t="shared" si="16"/>
        <v>Bread</v>
      </c>
      <c r="F530" t="str">
        <f t="shared" si="17"/>
        <v>Grain</v>
      </c>
      <c r="G530" s="3">
        <v>4.49</v>
      </c>
      <c r="H530" t="s">
        <v>1513</v>
      </c>
      <c r="I530" s="2" t="s">
        <v>490</v>
      </c>
    </row>
    <row r="531" spans="1:10" x14ac:dyDescent="0.25">
      <c r="A531" t="s">
        <v>1772</v>
      </c>
      <c r="B531" t="s">
        <v>1773</v>
      </c>
      <c r="C531" t="s">
        <v>1774</v>
      </c>
      <c r="D531" t="str" cm="1">
        <f t="array" ref="D531">_xlfn.TEXTJOIN("", TRUE, IF(ISNUMBER(SEARCH($K$1379:$K$1423, C531)), $K$1379:$K$1423, ""))</f>
        <v>Sara Lee</v>
      </c>
      <c r="E531" t="str">
        <f t="shared" si="16"/>
        <v>Bread</v>
      </c>
      <c r="F531" t="str">
        <f t="shared" si="17"/>
        <v>Grain</v>
      </c>
      <c r="G531" s="3">
        <v>4.1900000000000004</v>
      </c>
      <c r="H531" t="s">
        <v>1513</v>
      </c>
      <c r="I531" s="2" t="s">
        <v>490</v>
      </c>
    </row>
    <row r="532" spans="1:10" x14ac:dyDescent="0.25">
      <c r="A532" t="s">
        <v>1775</v>
      </c>
      <c r="B532" t="s">
        <v>1776</v>
      </c>
      <c r="C532" t="s">
        <v>1777</v>
      </c>
      <c r="D532" t="str" cm="1">
        <f t="array" ref="D532">_xlfn.TEXTJOIN("", TRUE, IF(ISNUMBER(SEARCH($K$1379:$K$1423, C532)), $K$1379:$K$1423, ""))</f>
        <v>Sara Lee</v>
      </c>
      <c r="E532" t="str">
        <f t="shared" si="16"/>
        <v>Bread</v>
      </c>
      <c r="F532" t="str">
        <f t="shared" si="17"/>
        <v>Grain</v>
      </c>
      <c r="G532" s="3">
        <v>4.49</v>
      </c>
      <c r="H532" t="s">
        <v>1513</v>
      </c>
      <c r="I532" s="2" t="s">
        <v>490</v>
      </c>
    </row>
    <row r="533" spans="1:10" x14ac:dyDescent="0.25">
      <c r="A533" t="s">
        <v>1778</v>
      </c>
      <c r="B533" t="s">
        <v>1779</v>
      </c>
      <c r="C533" t="s">
        <v>1780</v>
      </c>
      <c r="D533" t="str" cm="1">
        <f t="array" ref="D533">_xlfn.TEXTJOIN("", TRUE, IF(ISNUMBER(SEARCH($K$1379:$K$1423, C533)), $K$1379:$K$1423, ""))</f>
        <v>Sara Lee</v>
      </c>
      <c r="E533" t="str">
        <f t="shared" si="16"/>
        <v>Bread</v>
      </c>
      <c r="F533" t="str">
        <f t="shared" si="17"/>
        <v>Grain</v>
      </c>
      <c r="G533" s="3">
        <v>4.49</v>
      </c>
      <c r="H533" t="s">
        <v>1513</v>
      </c>
      <c r="I533" s="2" t="s">
        <v>490</v>
      </c>
      <c r="J533" s="1"/>
    </row>
    <row r="534" spans="1:10" x14ac:dyDescent="0.25">
      <c r="A534" t="s">
        <v>1781</v>
      </c>
      <c r="B534" t="s">
        <v>1782</v>
      </c>
      <c r="C534" t="s">
        <v>1783</v>
      </c>
      <c r="D534" t="str" cm="1">
        <f t="array" ref="D534">_xlfn.TEXTJOIN("", TRUE, IF(ISNUMBER(SEARCH($K$1379:$K$1423, C534)), $K$1379:$K$1423, ""))</f>
        <v>Sara Lee</v>
      </c>
      <c r="E534" t="str">
        <f t="shared" si="16"/>
        <v>Bread</v>
      </c>
      <c r="F534" t="str">
        <f t="shared" si="17"/>
        <v>Grain</v>
      </c>
      <c r="G534" s="3">
        <v>4.1900000000000004</v>
      </c>
      <c r="H534" t="s">
        <v>1513</v>
      </c>
      <c r="I534" s="2" t="s">
        <v>490</v>
      </c>
      <c r="J534" s="1"/>
    </row>
    <row r="535" spans="1:10" x14ac:dyDescent="0.25">
      <c r="A535" t="s">
        <v>1784</v>
      </c>
      <c r="B535" t="s">
        <v>1785</v>
      </c>
      <c r="C535" t="s">
        <v>1786</v>
      </c>
      <c r="D535" t="str" cm="1">
        <f t="array" ref="D535">_xlfn.TEXTJOIN("", TRUE, IF(ISNUMBER(SEARCH($K$1379:$K$1423, C535)), $K$1379:$K$1423, ""))</f>
        <v>Sara Lee</v>
      </c>
      <c r="E535" t="str">
        <f t="shared" si="16"/>
        <v>Bread</v>
      </c>
      <c r="F535" t="str">
        <f t="shared" si="17"/>
        <v>Grain</v>
      </c>
      <c r="G535" s="3">
        <v>4.49</v>
      </c>
      <c r="H535" t="s">
        <v>1686</v>
      </c>
      <c r="I535" s="2" t="s">
        <v>490</v>
      </c>
      <c r="J535" s="1"/>
    </row>
    <row r="536" spans="1:10" x14ac:dyDescent="0.25">
      <c r="A536" t="s">
        <v>1787</v>
      </c>
      <c r="B536" t="s">
        <v>1788</v>
      </c>
      <c r="C536" t="s">
        <v>1789</v>
      </c>
      <c r="D536" t="str" cm="1">
        <f t="array" ref="D536">_xlfn.TEXTJOIN("", TRUE, IF(ISNUMBER(SEARCH($K$1379:$K$1423, C536)), $K$1379:$K$1423, ""))</f>
        <v>Sara Lee</v>
      </c>
      <c r="E536" t="str">
        <f t="shared" si="16"/>
        <v>Bread</v>
      </c>
      <c r="F536" t="str">
        <f t="shared" si="17"/>
        <v>Grain</v>
      </c>
      <c r="G536" s="3">
        <v>4.99</v>
      </c>
      <c r="H536" t="s">
        <v>1513</v>
      </c>
      <c r="I536" s="2" t="s">
        <v>18</v>
      </c>
      <c r="J536" s="1"/>
    </row>
    <row r="537" spans="1:10" x14ac:dyDescent="0.25">
      <c r="A537" t="s">
        <v>1790</v>
      </c>
      <c r="B537" t="s">
        <v>1791</v>
      </c>
      <c r="C537" t="s">
        <v>1792</v>
      </c>
      <c r="D537" t="str" cm="1">
        <f t="array" ref="D537">_xlfn.TEXTJOIN("", TRUE, IF(ISNUMBER(SEARCH($K$1379:$K$1423, C537)), $K$1379:$K$1423, ""))</f>
        <v>Sara Lee</v>
      </c>
      <c r="E537" t="str">
        <f t="shared" si="16"/>
        <v>Bread</v>
      </c>
      <c r="F537" t="str">
        <f t="shared" si="17"/>
        <v>Grain</v>
      </c>
      <c r="G537" s="3">
        <v>4.49</v>
      </c>
      <c r="H537" t="s">
        <v>1513</v>
      </c>
      <c r="I537" s="2" t="s">
        <v>490</v>
      </c>
      <c r="J537" s="1"/>
    </row>
    <row r="538" spans="1:10" x14ac:dyDescent="0.25">
      <c r="A538" t="s">
        <v>1793</v>
      </c>
      <c r="B538" t="s">
        <v>1794</v>
      </c>
      <c r="C538" t="s">
        <v>1795</v>
      </c>
      <c r="D538" t="str" cm="1">
        <f t="array" ref="D538">_xlfn.TEXTJOIN("", TRUE, IF(ISNUMBER(SEARCH($K$1379:$K$1423, C538)), $K$1379:$K$1423, ""))</f>
        <v>Sara Lee</v>
      </c>
      <c r="E538" t="str">
        <f t="shared" si="16"/>
        <v>Bread</v>
      </c>
      <c r="F538" t="str">
        <f t="shared" si="17"/>
        <v>Grain</v>
      </c>
      <c r="G538" s="3">
        <v>4.3899999999999997</v>
      </c>
      <c r="H538" t="s">
        <v>897</v>
      </c>
      <c r="I538" s="2" t="s">
        <v>308</v>
      </c>
      <c r="J538" s="1"/>
    </row>
    <row r="539" spans="1:10" x14ac:dyDescent="0.25">
      <c r="A539" t="s">
        <v>1796</v>
      </c>
      <c r="B539" t="s">
        <v>1797</v>
      </c>
      <c r="C539" t="s">
        <v>1798</v>
      </c>
      <c r="D539" t="str" cm="1">
        <f t="array" ref="D539">_xlfn.TEXTJOIN("", TRUE, IF(ISNUMBER(SEARCH($K$1379:$K$1423, C539)), $K$1379:$K$1423, ""))</f>
        <v>Skippy</v>
      </c>
      <c r="E539" t="str">
        <f t="shared" si="16"/>
        <v>Prepared Food</v>
      </c>
      <c r="F539" t="str">
        <f t="shared" si="17"/>
        <v>Prepared Food</v>
      </c>
      <c r="G539" s="3">
        <v>3.19</v>
      </c>
      <c r="H539" t="s">
        <v>1800</v>
      </c>
      <c r="I539" s="2" t="s">
        <v>490</v>
      </c>
      <c r="J539" s="1"/>
    </row>
    <row r="540" spans="1:10" x14ac:dyDescent="0.25">
      <c r="A540" t="s">
        <v>1801</v>
      </c>
      <c r="B540" t="s">
        <v>1802</v>
      </c>
      <c r="C540" t="s">
        <v>1803</v>
      </c>
      <c r="D540" t="str" cm="1">
        <f t="array" ref="D540">_xlfn.TEXTJOIN("", TRUE, IF(ISNUMBER(SEARCH($K$1379:$K$1423, C540)), $K$1379:$K$1423, ""))</f>
        <v>Skippy</v>
      </c>
      <c r="E540" t="str">
        <f t="shared" si="16"/>
        <v>Prepared Food</v>
      </c>
      <c r="F540" t="str">
        <f t="shared" si="17"/>
        <v>Prepared Food</v>
      </c>
      <c r="G540" s="3">
        <v>3.19</v>
      </c>
      <c r="H540" t="s">
        <v>1143</v>
      </c>
      <c r="I540" s="2" t="s">
        <v>868</v>
      </c>
      <c r="J540" s="1"/>
    </row>
    <row r="541" spans="1:10" x14ac:dyDescent="0.25">
      <c r="A541" t="s">
        <v>1804</v>
      </c>
      <c r="B541" t="s">
        <v>1805</v>
      </c>
      <c r="C541" t="s">
        <v>1803</v>
      </c>
      <c r="D541" t="str" cm="1">
        <f t="array" ref="D541">_xlfn.TEXTJOIN("", TRUE, IF(ISNUMBER(SEARCH($K$1379:$K$1423, C541)), $K$1379:$K$1423, ""))</f>
        <v>Skippy</v>
      </c>
      <c r="E541" t="str">
        <f t="shared" si="16"/>
        <v>Prepared Food</v>
      </c>
      <c r="F541" t="str">
        <f t="shared" si="17"/>
        <v>Prepared Food</v>
      </c>
      <c r="G541" s="3">
        <v>6.99</v>
      </c>
      <c r="H541" t="s">
        <v>1114</v>
      </c>
      <c r="I541" s="2" t="s">
        <v>468</v>
      </c>
      <c r="J541" s="1"/>
    </row>
    <row r="542" spans="1:10" x14ac:dyDescent="0.25">
      <c r="A542" t="s">
        <v>1806</v>
      </c>
      <c r="B542" t="s">
        <v>1807</v>
      </c>
      <c r="C542" t="s">
        <v>1798</v>
      </c>
      <c r="D542" t="str" cm="1">
        <f t="array" ref="D542">_xlfn.TEXTJOIN("", TRUE, IF(ISNUMBER(SEARCH($K$1379:$K$1423, C542)), $K$1379:$K$1423, ""))</f>
        <v>Skippy</v>
      </c>
      <c r="E542" t="str">
        <f t="shared" si="16"/>
        <v>Prepared Food</v>
      </c>
      <c r="F542" t="str">
        <f t="shared" si="17"/>
        <v>Prepared Food</v>
      </c>
      <c r="G542" s="3">
        <v>6.99</v>
      </c>
      <c r="H542" t="s">
        <v>1114</v>
      </c>
      <c r="I542" s="2" t="s">
        <v>468</v>
      </c>
      <c r="J542" s="1"/>
    </row>
    <row r="543" spans="1:10" x14ac:dyDescent="0.25">
      <c r="A543" t="s">
        <v>1808</v>
      </c>
      <c r="B543" t="s">
        <v>1809</v>
      </c>
      <c r="C543" t="s">
        <v>1798</v>
      </c>
      <c r="D543" t="str" cm="1">
        <f t="array" ref="D543">_xlfn.TEXTJOIN("", TRUE, IF(ISNUMBER(SEARCH($K$1379:$K$1423, C543)), $K$1379:$K$1423, ""))</f>
        <v>Skippy</v>
      </c>
      <c r="E543" t="str">
        <f t="shared" si="16"/>
        <v>Prepared Food</v>
      </c>
      <c r="F543" t="str">
        <f t="shared" si="17"/>
        <v>Prepared Food</v>
      </c>
      <c r="G543" s="3">
        <v>5.29</v>
      </c>
      <c r="H543" t="s">
        <v>1105</v>
      </c>
      <c r="I543" s="2" t="s">
        <v>170</v>
      </c>
      <c r="J543" s="1"/>
    </row>
    <row r="544" spans="1:10" x14ac:dyDescent="0.25">
      <c r="A544" t="s">
        <v>1810</v>
      </c>
      <c r="B544" t="s">
        <v>1811</v>
      </c>
      <c r="C544" t="s">
        <v>1812</v>
      </c>
      <c r="D544" t="str" cm="1">
        <f t="array" ref="D544">_xlfn.TEXTJOIN("", TRUE, IF(ISNUMBER(SEARCH($K$1379:$K$1423, C544)), $K$1379:$K$1423, ""))</f>
        <v>Skippy</v>
      </c>
      <c r="E544" t="str">
        <f t="shared" si="16"/>
        <v>Prepared Food</v>
      </c>
      <c r="F544" t="str">
        <f t="shared" si="17"/>
        <v>Prepared Food</v>
      </c>
      <c r="G544" s="3">
        <v>3.19</v>
      </c>
      <c r="H544" t="s">
        <v>1143</v>
      </c>
      <c r="I544" s="2" t="s">
        <v>868</v>
      </c>
      <c r="J544" s="1"/>
    </row>
    <row r="545" spans="1:10" x14ac:dyDescent="0.25">
      <c r="A545" t="s">
        <v>1813</v>
      </c>
      <c r="B545" t="s">
        <v>1814</v>
      </c>
      <c r="C545" t="s">
        <v>1815</v>
      </c>
      <c r="D545" t="str" cm="1">
        <f t="array" ref="D545">_xlfn.TEXTJOIN("", TRUE, IF(ISNUMBER(SEARCH($K$1379:$K$1423, C545)), $K$1379:$K$1423, ""))</f>
        <v>Skippy</v>
      </c>
      <c r="E545" t="str">
        <f t="shared" si="16"/>
        <v>Prepared Food</v>
      </c>
      <c r="F545" t="str">
        <f t="shared" si="17"/>
        <v>Prepared Food</v>
      </c>
      <c r="G545" s="3">
        <v>3.19</v>
      </c>
      <c r="H545" t="s">
        <v>1800</v>
      </c>
      <c r="I545" s="2" t="s">
        <v>490</v>
      </c>
      <c r="J545" s="1"/>
    </row>
    <row r="546" spans="1:10" x14ac:dyDescent="0.25">
      <c r="A546" t="s">
        <v>1816</v>
      </c>
      <c r="B546" t="s">
        <v>1817</v>
      </c>
      <c r="C546" t="s">
        <v>1818</v>
      </c>
      <c r="D546" t="str" cm="1">
        <f t="array" ref="D546">_xlfn.TEXTJOIN("", TRUE, IF(ISNUMBER(SEARCH($K$1379:$K$1423, C546)), $K$1379:$K$1423, ""))</f>
        <v>Skippy</v>
      </c>
      <c r="E546" t="str">
        <f t="shared" si="16"/>
        <v>Prepared Food</v>
      </c>
      <c r="F546" t="str">
        <f t="shared" si="17"/>
        <v>Prepared Food</v>
      </c>
      <c r="G546" s="3">
        <v>3.19</v>
      </c>
      <c r="H546" t="s">
        <v>1102</v>
      </c>
      <c r="I546" s="2" t="s">
        <v>490</v>
      </c>
      <c r="J546" s="1"/>
    </row>
    <row r="547" spans="1:10" x14ac:dyDescent="0.25">
      <c r="A547" t="s">
        <v>1819</v>
      </c>
      <c r="B547" t="s">
        <v>1820</v>
      </c>
      <c r="C547" t="s">
        <v>1821</v>
      </c>
      <c r="D547" t="str" cm="1">
        <f t="array" ref="D547">_xlfn.TEXTJOIN("", TRUE, IF(ISNUMBER(SEARCH($K$1379:$K$1423, C547)), $K$1379:$K$1423, ""))</f>
        <v>Skippy</v>
      </c>
      <c r="E547" t="str">
        <f t="shared" si="16"/>
        <v>Prepared Food</v>
      </c>
      <c r="F547" t="str">
        <f t="shared" si="17"/>
        <v>Prepared Food</v>
      </c>
      <c r="G547" s="3">
        <v>12.79</v>
      </c>
      <c r="H547" t="s">
        <v>1133</v>
      </c>
      <c r="I547" s="2" t="s">
        <v>372</v>
      </c>
    </row>
    <row r="548" spans="1:10" x14ac:dyDescent="0.25">
      <c r="A548" t="s">
        <v>1822</v>
      </c>
      <c r="B548" t="s">
        <v>1823</v>
      </c>
      <c r="C548" t="s">
        <v>1824</v>
      </c>
      <c r="D548" t="str" cm="1">
        <f t="array" ref="D548">_xlfn.TEXTJOIN("", TRUE, IF(ISNUMBER(SEARCH($K$1379:$K$1423, C548)), $K$1379:$K$1423, ""))</f>
        <v>Skippy</v>
      </c>
      <c r="E548" t="str">
        <f t="shared" si="16"/>
        <v>Prepared Food</v>
      </c>
      <c r="F548" t="str">
        <f t="shared" si="17"/>
        <v>Prepared Food</v>
      </c>
      <c r="G548" s="3">
        <v>3.19</v>
      </c>
      <c r="H548" t="s">
        <v>1143</v>
      </c>
      <c r="I548" s="2" t="s">
        <v>868</v>
      </c>
    </row>
    <row r="549" spans="1:10" x14ac:dyDescent="0.25">
      <c r="A549" t="s">
        <v>1825</v>
      </c>
      <c r="B549" t="s">
        <v>1826</v>
      </c>
      <c r="C549" t="s">
        <v>1815</v>
      </c>
      <c r="D549" t="str" cm="1">
        <f t="array" ref="D549">_xlfn.TEXTJOIN("", TRUE, IF(ISNUMBER(SEARCH($K$1379:$K$1423, C549)), $K$1379:$K$1423, ""))</f>
        <v>Skippy</v>
      </c>
      <c r="E549" t="str">
        <f t="shared" si="16"/>
        <v>Prepared Food</v>
      </c>
      <c r="F549" t="str">
        <f t="shared" si="17"/>
        <v>Prepared Food</v>
      </c>
      <c r="G549" s="3">
        <v>6.99</v>
      </c>
      <c r="H549" t="s">
        <v>1114</v>
      </c>
      <c r="I549" s="2" t="s">
        <v>468</v>
      </c>
      <c r="J549" s="1"/>
    </row>
    <row r="550" spans="1:10" x14ac:dyDescent="0.25">
      <c r="A550" t="s">
        <v>1827</v>
      </c>
      <c r="B550" t="s">
        <v>1828</v>
      </c>
      <c r="C550" t="s">
        <v>1829</v>
      </c>
      <c r="D550" t="str" cm="1">
        <f t="array" ref="D550">_xlfn.TEXTJOIN("", TRUE, IF(ISNUMBER(SEARCH($K$1379:$K$1423, C550)), $K$1379:$K$1423, ""))</f>
        <v>Skippy</v>
      </c>
      <c r="E550" t="str">
        <f t="shared" si="16"/>
        <v>Prepared Food</v>
      </c>
      <c r="F550" t="str">
        <f t="shared" si="17"/>
        <v>Prepared Food</v>
      </c>
      <c r="G550" s="3">
        <v>6.99</v>
      </c>
      <c r="H550" t="s">
        <v>1114</v>
      </c>
      <c r="I550" s="2" t="s">
        <v>468</v>
      </c>
      <c r="J550" s="1"/>
    </row>
    <row r="551" spans="1:10" x14ac:dyDescent="0.25">
      <c r="A551" t="s">
        <v>1830</v>
      </c>
      <c r="B551" t="s">
        <v>1831</v>
      </c>
      <c r="C551" t="s">
        <v>1803</v>
      </c>
      <c r="D551" t="str" cm="1">
        <f t="array" ref="D551">_xlfn.TEXTJOIN("", TRUE, IF(ISNUMBER(SEARCH($K$1379:$K$1423, C551)), $K$1379:$K$1423, ""))</f>
        <v>Skippy</v>
      </c>
      <c r="E551" t="str">
        <f t="shared" si="16"/>
        <v>Prepared Food</v>
      </c>
      <c r="F551" t="str">
        <f t="shared" si="17"/>
        <v>Prepared Food</v>
      </c>
      <c r="G551" s="3">
        <v>5.29</v>
      </c>
      <c r="H551" t="s">
        <v>1832</v>
      </c>
      <c r="I551" s="2" t="s">
        <v>490</v>
      </c>
    </row>
    <row r="552" spans="1:10" x14ac:dyDescent="0.25">
      <c r="A552" t="s">
        <v>1833</v>
      </c>
      <c r="B552" t="s">
        <v>1834</v>
      </c>
      <c r="C552" t="s">
        <v>1835</v>
      </c>
      <c r="D552" t="str" cm="1">
        <f t="array" ref="D552">_xlfn.TEXTJOIN("", TRUE, IF(ISNUMBER(SEARCH($K$1379:$K$1423, C552)), $K$1379:$K$1423, ""))</f>
        <v>Skippy</v>
      </c>
      <c r="E552" t="str">
        <f t="shared" si="16"/>
        <v>Prepared Food</v>
      </c>
      <c r="F552" t="str">
        <f t="shared" si="17"/>
        <v>Prepared Food</v>
      </c>
      <c r="G552" s="3">
        <v>3.19</v>
      </c>
      <c r="H552" t="s">
        <v>1800</v>
      </c>
      <c r="I552" s="2" t="s">
        <v>490</v>
      </c>
      <c r="J552" s="1"/>
    </row>
    <row r="553" spans="1:10" x14ac:dyDescent="0.25">
      <c r="A553" t="s">
        <v>1836</v>
      </c>
      <c r="B553" t="s">
        <v>1837</v>
      </c>
      <c r="C553" t="s">
        <v>1838</v>
      </c>
      <c r="D553" t="str" cm="1">
        <f t="array" ref="D553">_xlfn.TEXTJOIN("", TRUE, IF(ISNUMBER(SEARCH($K$1379:$K$1423, C553)), $K$1379:$K$1423, ""))</f>
        <v>Skippy</v>
      </c>
      <c r="E553" t="str">
        <f t="shared" si="16"/>
        <v>Prepared Food</v>
      </c>
      <c r="F553" t="str">
        <f t="shared" si="17"/>
        <v>Prepared Food</v>
      </c>
      <c r="G553" s="3">
        <v>12.79</v>
      </c>
      <c r="H553" t="s">
        <v>1133</v>
      </c>
      <c r="I553" s="2" t="s">
        <v>372</v>
      </c>
      <c r="J553" s="1"/>
    </row>
    <row r="554" spans="1:10" x14ac:dyDescent="0.25">
      <c r="A554" t="s">
        <v>1839</v>
      </c>
      <c r="B554" t="s">
        <v>1840</v>
      </c>
      <c r="C554" t="s">
        <v>1841</v>
      </c>
      <c r="D554" t="str" cm="1">
        <f t="array" ref="D554">_xlfn.TEXTJOIN("", TRUE, IF(ISNUMBER(SEARCH($K$1379:$K$1423, C554)), $K$1379:$K$1423, ""))</f>
        <v>Skippy</v>
      </c>
      <c r="E554" t="str">
        <f t="shared" si="16"/>
        <v>Prepared Food</v>
      </c>
      <c r="F554" t="str">
        <f t="shared" si="17"/>
        <v>Prepared Food</v>
      </c>
      <c r="G554" s="3">
        <v>3.19</v>
      </c>
      <c r="H554" t="s">
        <v>1800</v>
      </c>
      <c r="I554" s="2" t="s">
        <v>490</v>
      </c>
      <c r="J554" s="1"/>
    </row>
    <row r="555" spans="1:10" x14ac:dyDescent="0.25">
      <c r="A555" t="s">
        <v>1842</v>
      </c>
      <c r="B555" t="s">
        <v>1843</v>
      </c>
      <c r="C555" t="s">
        <v>1844</v>
      </c>
      <c r="D555" t="str" cm="1">
        <f t="array" ref="D555">_xlfn.TEXTJOIN("", TRUE, IF(ISNUMBER(SEARCH($K$1379:$K$1423, C555)), $K$1379:$K$1423, ""))</f>
        <v>Skippy</v>
      </c>
      <c r="E555" t="str">
        <f t="shared" si="16"/>
        <v>Prepared Food</v>
      </c>
      <c r="F555" t="str">
        <f t="shared" si="17"/>
        <v>Prepared Food</v>
      </c>
      <c r="G555" s="3">
        <v>3.19</v>
      </c>
      <c r="H555" t="s">
        <v>1102</v>
      </c>
      <c r="I555" s="2" t="s">
        <v>490</v>
      </c>
    </row>
    <row r="556" spans="1:10" x14ac:dyDescent="0.25">
      <c r="A556" t="s">
        <v>1845</v>
      </c>
      <c r="B556" t="s">
        <v>1846</v>
      </c>
      <c r="C556" t="s">
        <v>1818</v>
      </c>
      <c r="D556" t="str" cm="1">
        <f t="array" ref="D556">_xlfn.TEXTJOIN("", TRUE, IF(ISNUMBER(SEARCH($K$1379:$K$1423, C556)), $K$1379:$K$1423, ""))</f>
        <v>Skippy</v>
      </c>
      <c r="E556" t="str">
        <f t="shared" si="16"/>
        <v>Prepared Food</v>
      </c>
      <c r="F556" t="str">
        <f t="shared" si="17"/>
        <v>Prepared Food</v>
      </c>
      <c r="G556" s="3">
        <v>6.99</v>
      </c>
      <c r="H556" t="s">
        <v>1114</v>
      </c>
      <c r="I556" s="2" t="s">
        <v>468</v>
      </c>
    </row>
    <row r="557" spans="1:10" x14ac:dyDescent="0.25">
      <c r="A557" t="s">
        <v>1847</v>
      </c>
      <c r="B557" t="s">
        <v>1848</v>
      </c>
      <c r="C557" t="s">
        <v>1849</v>
      </c>
      <c r="D557" t="str" cm="1">
        <f t="array" ref="D557">_xlfn.TEXTJOIN("", TRUE, IF(ISNUMBER(SEARCH($K$1379:$K$1423, C557)), $K$1379:$K$1423, ""))</f>
        <v>Skippy</v>
      </c>
      <c r="E557" t="str">
        <f t="shared" si="16"/>
        <v>Prepared Food</v>
      </c>
      <c r="F557" t="str">
        <f t="shared" si="17"/>
        <v>Prepared Food</v>
      </c>
      <c r="G557" s="3">
        <v>2.99</v>
      </c>
      <c r="H557" t="s">
        <v>1850</v>
      </c>
      <c r="I557" s="2" t="s">
        <v>361</v>
      </c>
    </row>
    <row r="558" spans="1:10" x14ac:dyDescent="0.25">
      <c r="A558" t="s">
        <v>1851</v>
      </c>
      <c r="B558" t="s">
        <v>1852</v>
      </c>
      <c r="C558" t="s">
        <v>1815</v>
      </c>
      <c r="D558" t="str" cm="1">
        <f t="array" ref="D558">_xlfn.TEXTJOIN("", TRUE, IF(ISNUMBER(SEARCH($K$1379:$K$1423, C558)), $K$1379:$K$1423, ""))</f>
        <v>Skippy</v>
      </c>
      <c r="E558" t="str">
        <f t="shared" si="16"/>
        <v>Prepared Food</v>
      </c>
      <c r="F558" t="str">
        <f t="shared" si="17"/>
        <v>Prepared Food</v>
      </c>
      <c r="G558" s="3">
        <v>5.29</v>
      </c>
      <c r="H558" t="s">
        <v>1105</v>
      </c>
      <c r="I558" s="2" t="s">
        <v>170</v>
      </c>
      <c r="J558" s="1"/>
    </row>
    <row r="559" spans="1:10" x14ac:dyDescent="0.25">
      <c r="A559" t="s">
        <v>1853</v>
      </c>
      <c r="B559" t="s">
        <v>1854</v>
      </c>
      <c r="C559" t="s">
        <v>1855</v>
      </c>
      <c r="D559" t="str" cm="1">
        <f t="array" ref="D559">_xlfn.TEXTJOIN("", TRUE, IF(ISNUMBER(SEARCH($K$1379:$K$1423, C559)), $K$1379:$K$1423, ""))</f>
        <v>Skippy</v>
      </c>
      <c r="E559" t="str">
        <f t="shared" si="16"/>
        <v>Prepared Food</v>
      </c>
      <c r="F559" t="str">
        <f t="shared" si="17"/>
        <v>Prepared Food</v>
      </c>
      <c r="G559" s="3">
        <v>2.99</v>
      </c>
      <c r="H559" t="s">
        <v>1850</v>
      </c>
      <c r="I559" s="2" t="s">
        <v>361</v>
      </c>
      <c r="J559" s="1"/>
    </row>
    <row r="560" spans="1:10" x14ac:dyDescent="0.25">
      <c r="A560" t="s">
        <v>1856</v>
      </c>
      <c r="B560" t="s">
        <v>1857</v>
      </c>
      <c r="C560" t="s">
        <v>1858</v>
      </c>
      <c r="D560" t="str" cm="1">
        <f t="array" ref="D560">_xlfn.TEXTJOIN("", TRUE, IF(ISNUMBER(SEARCH($K$1379:$K$1423, C560)), $K$1379:$K$1423, ""))</f>
        <v>Skippy</v>
      </c>
      <c r="E560" t="str">
        <f t="shared" si="16"/>
        <v>Prepared Food</v>
      </c>
      <c r="F560" t="str">
        <f t="shared" si="17"/>
        <v>Prepared Food</v>
      </c>
      <c r="G560" s="3">
        <v>3.99</v>
      </c>
      <c r="H560" t="s">
        <v>1859</v>
      </c>
      <c r="I560" s="2" t="s">
        <v>1860</v>
      </c>
      <c r="J560" s="1"/>
    </row>
    <row r="561" spans="1:10" x14ac:dyDescent="0.25">
      <c r="A561" t="s">
        <v>1861</v>
      </c>
      <c r="B561" t="s">
        <v>1862</v>
      </c>
      <c r="C561" t="s">
        <v>1863</v>
      </c>
      <c r="D561" t="str" cm="1">
        <f t="array" ref="D561">_xlfn.TEXTJOIN("", TRUE, IF(ISNUMBER(SEARCH($K$1379:$K$1423, C561)), $K$1379:$K$1423, ""))</f>
        <v>Skippy</v>
      </c>
      <c r="E561" t="str">
        <f t="shared" si="16"/>
        <v>Prepared Food</v>
      </c>
      <c r="F561" t="str">
        <f t="shared" si="17"/>
        <v>Prepared Food</v>
      </c>
      <c r="G561" s="3">
        <v>3.99</v>
      </c>
      <c r="H561" t="s">
        <v>270</v>
      </c>
      <c r="I561" s="2" t="s">
        <v>1362</v>
      </c>
      <c r="J561" s="1"/>
    </row>
    <row r="562" spans="1:10" x14ac:dyDescent="0.25">
      <c r="A562" t="s">
        <v>1864</v>
      </c>
      <c r="B562" t="s">
        <v>1865</v>
      </c>
      <c r="C562" t="s">
        <v>1866</v>
      </c>
      <c r="D562" t="str" cm="1">
        <f t="array" ref="D562">_xlfn.TEXTJOIN("", TRUE, IF(ISNUMBER(SEARCH($K$1379:$K$1423, C562)), $K$1379:$K$1423, ""))</f>
        <v>Ben &amp; Jerry's</v>
      </c>
      <c r="E562" t="str">
        <f t="shared" si="16"/>
        <v>Milk</v>
      </c>
      <c r="F562" t="str">
        <f t="shared" si="17"/>
        <v>Dairy</v>
      </c>
      <c r="G562" s="1">
        <v>5.49</v>
      </c>
      <c r="H562" s="3" t="s">
        <v>1868</v>
      </c>
      <c r="I562" t="s">
        <v>149</v>
      </c>
    </row>
    <row r="563" spans="1:10" x14ac:dyDescent="0.25">
      <c r="A563" t="s">
        <v>1869</v>
      </c>
      <c r="B563" t="s">
        <v>1870</v>
      </c>
      <c r="C563" t="s">
        <v>1871</v>
      </c>
      <c r="D563" t="str" cm="1">
        <f t="array" ref="D563">_xlfn.TEXTJOIN("", TRUE, IF(ISNUMBER(SEARCH($K$1379:$K$1423, C563)), $K$1379:$K$1423, ""))</f>
        <v>Ben &amp; Jerry's</v>
      </c>
      <c r="E563" t="str">
        <f t="shared" si="16"/>
        <v>Milk</v>
      </c>
      <c r="F563" t="str">
        <f t="shared" si="17"/>
        <v>Dairy</v>
      </c>
      <c r="G563" s="1">
        <v>5.49</v>
      </c>
      <c r="H563" s="3" t="s">
        <v>1868</v>
      </c>
      <c r="I563" t="s">
        <v>149</v>
      </c>
    </row>
    <row r="564" spans="1:10" x14ac:dyDescent="0.25">
      <c r="A564" t="s">
        <v>1872</v>
      </c>
      <c r="B564" t="s">
        <v>1873</v>
      </c>
      <c r="C564" t="s">
        <v>1874</v>
      </c>
      <c r="D564" t="str" cm="1">
        <f t="array" ref="D564">_xlfn.TEXTJOIN("", TRUE, IF(ISNUMBER(SEARCH($K$1379:$K$1423, C564)), $K$1379:$K$1423, ""))</f>
        <v>Ben &amp; Jerry's</v>
      </c>
      <c r="E564" t="str">
        <f t="shared" si="16"/>
        <v>Milk</v>
      </c>
      <c r="F564" t="str">
        <f t="shared" si="17"/>
        <v>Dairy</v>
      </c>
      <c r="G564" s="1">
        <v>5.49</v>
      </c>
      <c r="H564" s="3" t="s">
        <v>1868</v>
      </c>
      <c r="I564" t="s">
        <v>149</v>
      </c>
    </row>
    <row r="565" spans="1:10" x14ac:dyDescent="0.25">
      <c r="A565" t="s">
        <v>1875</v>
      </c>
      <c r="B565" t="s">
        <v>1876</v>
      </c>
      <c r="C565" t="s">
        <v>1877</v>
      </c>
      <c r="D565" t="str" cm="1">
        <f t="array" ref="D565">_xlfn.TEXTJOIN("", TRUE, IF(ISNUMBER(SEARCH($K$1379:$K$1423, C565)), $K$1379:$K$1423, ""))</f>
        <v>Ben &amp; Jerry's</v>
      </c>
      <c r="E565" t="str">
        <f t="shared" si="16"/>
        <v>Milk</v>
      </c>
      <c r="F565" t="str">
        <f t="shared" si="17"/>
        <v>Dairy</v>
      </c>
      <c r="G565" s="1">
        <v>5.49</v>
      </c>
      <c r="H565" s="3" t="s">
        <v>1868</v>
      </c>
      <c r="I565" t="s">
        <v>149</v>
      </c>
    </row>
    <row r="566" spans="1:10" x14ac:dyDescent="0.25">
      <c r="A566" t="s">
        <v>1878</v>
      </c>
      <c r="B566" t="s">
        <v>1879</v>
      </c>
      <c r="C566" t="s">
        <v>1880</v>
      </c>
      <c r="D566" t="str" cm="1">
        <f t="array" ref="D566">_xlfn.TEXTJOIN("", TRUE, IF(ISNUMBER(SEARCH($K$1379:$K$1423, C566)), $K$1379:$K$1423, ""))</f>
        <v>Ben &amp; Jerry's</v>
      </c>
      <c r="E566" t="str">
        <f t="shared" si="16"/>
        <v>Milk</v>
      </c>
      <c r="F566" t="str">
        <f t="shared" si="17"/>
        <v>Dairy</v>
      </c>
      <c r="G566" s="1">
        <v>5.49</v>
      </c>
      <c r="H566" s="3" t="s">
        <v>1868</v>
      </c>
      <c r="I566" t="s">
        <v>149</v>
      </c>
    </row>
    <row r="567" spans="1:10" x14ac:dyDescent="0.25">
      <c r="A567" t="s">
        <v>1881</v>
      </c>
      <c r="B567" t="s">
        <v>1882</v>
      </c>
      <c r="C567" t="s">
        <v>1883</v>
      </c>
      <c r="D567" t="str" cm="1">
        <f t="array" ref="D567">_xlfn.TEXTJOIN("", TRUE, IF(ISNUMBER(SEARCH($K$1379:$K$1423, C567)), $K$1379:$K$1423, ""))</f>
        <v>Ben &amp; Jerry's</v>
      </c>
      <c r="E567" t="str">
        <f t="shared" si="16"/>
        <v>Milk</v>
      </c>
      <c r="F567" t="str">
        <f t="shared" si="17"/>
        <v>Dairy</v>
      </c>
      <c r="G567" s="1">
        <v>5.49</v>
      </c>
      <c r="H567" s="3" t="s">
        <v>1868</v>
      </c>
      <c r="I567" t="s">
        <v>149</v>
      </c>
    </row>
    <row r="568" spans="1:10" x14ac:dyDescent="0.25">
      <c r="A568" t="s">
        <v>1884</v>
      </c>
      <c r="B568" t="s">
        <v>1885</v>
      </c>
      <c r="C568" t="s">
        <v>1886</v>
      </c>
      <c r="D568" t="str" cm="1">
        <f t="array" ref="D568">_xlfn.TEXTJOIN("", TRUE, IF(ISNUMBER(SEARCH($K$1379:$K$1423, C568)), $K$1379:$K$1423, ""))</f>
        <v>Ben &amp; Jerry's</v>
      </c>
      <c r="E568" t="str">
        <f t="shared" si="16"/>
        <v>Milk</v>
      </c>
      <c r="F568" t="str">
        <f t="shared" si="17"/>
        <v>Dairy</v>
      </c>
      <c r="G568" s="1">
        <v>5.49</v>
      </c>
      <c r="H568" s="3" t="s">
        <v>1868</v>
      </c>
      <c r="I568" t="s">
        <v>149</v>
      </c>
    </row>
    <row r="569" spans="1:10" x14ac:dyDescent="0.25">
      <c r="A569" t="s">
        <v>1887</v>
      </c>
      <c r="B569" t="s">
        <v>1888</v>
      </c>
      <c r="C569" t="s">
        <v>1889</v>
      </c>
      <c r="D569" t="str" cm="1">
        <f t="array" ref="D569">_xlfn.TEXTJOIN("", TRUE, IF(ISNUMBER(SEARCH($K$1379:$K$1423, C569)), $K$1379:$K$1423, ""))</f>
        <v>Ben &amp; Jerry's</v>
      </c>
      <c r="E569" t="str">
        <f t="shared" si="16"/>
        <v>Milk</v>
      </c>
      <c r="F569" t="str">
        <f t="shared" si="17"/>
        <v>Dairy</v>
      </c>
      <c r="G569" s="1">
        <v>5.49</v>
      </c>
      <c r="H569" s="3" t="s">
        <v>1868</v>
      </c>
      <c r="I569" t="s">
        <v>149</v>
      </c>
    </row>
    <row r="570" spans="1:10" x14ac:dyDescent="0.25">
      <c r="A570" t="s">
        <v>1890</v>
      </c>
      <c r="B570" t="s">
        <v>1891</v>
      </c>
      <c r="C570" t="s">
        <v>1892</v>
      </c>
      <c r="D570" t="str" cm="1">
        <f t="array" ref="D570">_xlfn.TEXTJOIN("", TRUE, IF(ISNUMBER(SEARCH($K$1379:$K$1423, C570)), $K$1379:$K$1423, ""))</f>
        <v>Ben &amp; Jerry's</v>
      </c>
      <c r="E570" t="str">
        <f t="shared" si="16"/>
        <v>Milk</v>
      </c>
      <c r="F570" t="str">
        <f t="shared" si="17"/>
        <v>Dairy</v>
      </c>
      <c r="G570" s="1">
        <v>5.49</v>
      </c>
      <c r="H570" s="3" t="s">
        <v>1868</v>
      </c>
      <c r="I570" t="s">
        <v>149</v>
      </c>
    </row>
    <row r="571" spans="1:10" x14ac:dyDescent="0.25">
      <c r="A571" t="s">
        <v>1893</v>
      </c>
      <c r="B571" t="s">
        <v>1894</v>
      </c>
      <c r="C571" t="s">
        <v>1895</v>
      </c>
      <c r="D571" t="str" cm="1">
        <f t="array" ref="D571">_xlfn.TEXTJOIN("", TRUE, IF(ISNUMBER(SEARCH($K$1379:$K$1423, C571)), $K$1379:$K$1423, ""))</f>
        <v>Ben &amp; Jerry's</v>
      </c>
      <c r="E571" t="str">
        <f t="shared" si="16"/>
        <v>Milk</v>
      </c>
      <c r="F571" t="str">
        <f t="shared" si="17"/>
        <v>Dairy</v>
      </c>
      <c r="G571" s="1">
        <v>5.49</v>
      </c>
      <c r="H571" s="3" t="s">
        <v>1868</v>
      </c>
      <c r="I571" t="s">
        <v>149</v>
      </c>
    </row>
    <row r="572" spans="1:10" x14ac:dyDescent="0.25">
      <c r="A572" t="s">
        <v>1896</v>
      </c>
      <c r="B572" t="s">
        <v>1897</v>
      </c>
      <c r="C572" t="s">
        <v>1898</v>
      </c>
      <c r="D572" t="str" cm="1">
        <f t="array" ref="D572">_xlfn.TEXTJOIN("", TRUE, IF(ISNUMBER(SEARCH($K$1379:$K$1423, C572)), $K$1379:$K$1423, ""))</f>
        <v>Ben &amp; Jerry's</v>
      </c>
      <c r="E572" t="str">
        <f t="shared" si="16"/>
        <v>Milk</v>
      </c>
      <c r="F572" t="str">
        <f t="shared" si="17"/>
        <v>Dairy</v>
      </c>
      <c r="G572" s="1">
        <v>5.49</v>
      </c>
      <c r="H572" s="3" t="s">
        <v>1868</v>
      </c>
      <c r="I572" t="s">
        <v>149</v>
      </c>
    </row>
    <row r="573" spans="1:10" x14ac:dyDescent="0.25">
      <c r="A573" t="s">
        <v>1899</v>
      </c>
      <c r="B573" t="s">
        <v>1900</v>
      </c>
      <c r="C573" t="s">
        <v>1901</v>
      </c>
      <c r="D573" t="str" cm="1">
        <f t="array" ref="D573">_xlfn.TEXTJOIN("", TRUE, IF(ISNUMBER(SEARCH($K$1379:$K$1423, C573)), $K$1379:$K$1423, ""))</f>
        <v>Ben &amp; Jerry's</v>
      </c>
      <c r="E573" t="str">
        <f t="shared" si="16"/>
        <v>Milk</v>
      </c>
      <c r="F573" t="str">
        <f t="shared" si="17"/>
        <v>Dairy</v>
      </c>
      <c r="G573" s="1">
        <v>5.49</v>
      </c>
      <c r="H573" s="3" t="s">
        <v>1868</v>
      </c>
      <c r="I573" t="s">
        <v>149</v>
      </c>
    </row>
    <row r="574" spans="1:10" x14ac:dyDescent="0.25">
      <c r="A574" t="s">
        <v>1902</v>
      </c>
      <c r="B574" t="s">
        <v>1903</v>
      </c>
      <c r="C574" t="s">
        <v>1904</v>
      </c>
      <c r="D574" t="str" cm="1">
        <f t="array" ref="D574">_xlfn.TEXTJOIN("", TRUE, IF(ISNUMBER(SEARCH($K$1379:$K$1423, C574)), $K$1379:$K$1423, ""))</f>
        <v>Ben &amp; Jerry's</v>
      </c>
      <c r="E574" t="str">
        <f t="shared" si="16"/>
        <v>Milk</v>
      </c>
      <c r="F574" t="str">
        <f t="shared" si="17"/>
        <v>Dairy</v>
      </c>
      <c r="G574" s="1">
        <v>5.49</v>
      </c>
      <c r="H574" s="3" t="s">
        <v>1868</v>
      </c>
      <c r="I574" t="s">
        <v>149</v>
      </c>
    </row>
    <row r="575" spans="1:10" x14ac:dyDescent="0.25">
      <c r="A575" t="s">
        <v>1905</v>
      </c>
      <c r="B575" t="s">
        <v>1906</v>
      </c>
      <c r="C575" t="s">
        <v>1907</v>
      </c>
      <c r="D575" t="str" cm="1">
        <f t="array" ref="D575">_xlfn.TEXTJOIN("", TRUE, IF(ISNUMBER(SEARCH($K$1379:$K$1423, C575)), $K$1379:$K$1423, ""))</f>
        <v>Ben &amp; Jerry's</v>
      </c>
      <c r="E575" t="str">
        <f t="shared" si="16"/>
        <v>Milk</v>
      </c>
      <c r="F575" t="str">
        <f t="shared" si="17"/>
        <v>Dairy</v>
      </c>
      <c r="G575" s="1">
        <v>5.49</v>
      </c>
      <c r="H575" s="3" t="s">
        <v>1868</v>
      </c>
      <c r="I575" t="s">
        <v>149</v>
      </c>
    </row>
    <row r="576" spans="1:10" x14ac:dyDescent="0.25">
      <c r="A576" t="s">
        <v>1908</v>
      </c>
      <c r="B576" t="s">
        <v>1909</v>
      </c>
      <c r="C576" t="s">
        <v>1910</v>
      </c>
      <c r="D576" t="str" cm="1">
        <f t="array" ref="D576">_xlfn.TEXTJOIN("", TRUE, IF(ISNUMBER(SEARCH($K$1379:$K$1423, C576)), $K$1379:$K$1423, ""))</f>
        <v>Ben &amp; Jerry's</v>
      </c>
      <c r="E576" t="str">
        <f t="shared" si="16"/>
        <v>Milk</v>
      </c>
      <c r="F576" t="str">
        <f t="shared" si="17"/>
        <v>Dairy</v>
      </c>
      <c r="G576" s="1">
        <v>8.99</v>
      </c>
      <c r="H576" s="3" t="s">
        <v>1911</v>
      </c>
      <c r="I576" t="s">
        <v>149</v>
      </c>
    </row>
    <row r="577" spans="1:9" x14ac:dyDescent="0.25">
      <c r="A577" t="s">
        <v>1912</v>
      </c>
      <c r="B577" t="s">
        <v>1913</v>
      </c>
      <c r="C577" t="s">
        <v>1914</v>
      </c>
      <c r="D577" t="str" cm="1">
        <f t="array" ref="D577">_xlfn.TEXTJOIN("", TRUE, IF(ISNUMBER(SEARCH($K$1379:$K$1423, C577)), $K$1379:$K$1423, ""))</f>
        <v>Ben &amp; Jerry's</v>
      </c>
      <c r="E577" t="str">
        <f t="shared" si="16"/>
        <v>Milk</v>
      </c>
      <c r="F577" t="str">
        <f t="shared" si="17"/>
        <v>Dairy</v>
      </c>
      <c r="G577" s="1">
        <v>5.49</v>
      </c>
      <c r="H577" s="3" t="s">
        <v>1915</v>
      </c>
      <c r="I577" t="s">
        <v>551</v>
      </c>
    </row>
    <row r="578" spans="1:9" x14ac:dyDescent="0.25">
      <c r="A578" t="s">
        <v>1916</v>
      </c>
      <c r="B578" t="s">
        <v>1917</v>
      </c>
      <c r="C578" t="s">
        <v>1918</v>
      </c>
      <c r="D578" t="str" cm="1">
        <f t="array" ref="D578">_xlfn.TEXTJOIN("", TRUE, IF(ISNUMBER(SEARCH($K$1379:$K$1423, C578)), $K$1379:$K$1423, ""))</f>
        <v>Ben &amp; Jerry's</v>
      </c>
      <c r="E578" t="str">
        <f t="shared" ref="E578:E641" si="18">IF(OR(D578="Mission",D578="Nature's Own",D578="Sara Lee"),"Bread",
IF(OR(D578="Del Monte",D578="Dole",D578="Mott's"),"Canned Fruit",
IF(OR(D578="Goya",D578="Hunt's",D578="Birds Eye"),"Canned Vegetables",
IF(OR(D578="fairlife",D578="Horizon Organic",D578="Lactaid",D578="Ben &amp; Jerry's"),"Milk",
IF(OR(D578="BelGioioso",D578="Kraft",D578="Philadelphia"),"Cheese",
IF(OR(D578="Chobani",D578="Oikos",D578="Dannon Light + Fit"),"Yogurt",
IF(OR(D578="Barilla",D578="Annie's",D578="Rao's Homemade"),"Pasta",
IF(OR(D578="Hershey's",D578="Lay's",D578="Totino's",D578="Cheerios",D578="Jif",D578="Skippy",D578="Nature Valley",D578="OREO",D578="DiGiorno",D578="Eggo"),"Prepared Food",
IF(OR(D578="Ben's Original",D578="Lundberg",D578="Quaker"),"Rice",
IF(OR(D578="Bush's",D578="Hillshire Farm",D578="Oscar Mayer",D578="SPAM"),"Protein",
IF(OR(D578="Starbucks",D578="Sparkling Ice",D578="Coca-Cola",D578="San Pellegrino",D578="Gatorade",D578="Arizona"),"Beverages",
"Other")))))))))))</f>
        <v>Milk</v>
      </c>
      <c r="F578" t="str">
        <f t="shared" ref="F578:F641" si="19">IF(OR(E578="Bread",E578="Rice",E578="Pasta"), "Grain",
IF(OR(E578="Milk",E578="Cheese",E578="Yogurt"), "Dairy",
IF(OR(E578="Canned Fruit",E578="Canned Vegetables"), "Fruit &amp; Vegetables",
IF(E578="Prepared Food", "Prepared Food",
IF(E578="Protein", "Protein",
IF(E578="Beverages", "Beverages",
"Other"))))))</f>
        <v>Dairy</v>
      </c>
      <c r="G578" s="1">
        <v>5.49</v>
      </c>
      <c r="H578" s="3" t="s">
        <v>1868</v>
      </c>
      <c r="I578" t="s">
        <v>149</v>
      </c>
    </row>
    <row r="579" spans="1:9" x14ac:dyDescent="0.25">
      <c r="A579" t="s">
        <v>1919</v>
      </c>
      <c r="B579" t="s">
        <v>1920</v>
      </c>
      <c r="C579" t="s">
        <v>1921</v>
      </c>
      <c r="D579" t="str" cm="1">
        <f t="array" ref="D579">_xlfn.TEXTJOIN("", TRUE, IF(ISNUMBER(SEARCH($K$1379:$K$1423, C579)), $K$1379:$K$1423, ""))</f>
        <v>Ben &amp; Jerry's</v>
      </c>
      <c r="E579" t="str">
        <f t="shared" si="18"/>
        <v>Milk</v>
      </c>
      <c r="F579" t="str">
        <f t="shared" si="19"/>
        <v>Dairy</v>
      </c>
      <c r="G579" s="1">
        <v>5.49</v>
      </c>
      <c r="H579" s="3" t="s">
        <v>1868</v>
      </c>
      <c r="I579" t="s">
        <v>149</v>
      </c>
    </row>
    <row r="580" spans="1:9" x14ac:dyDescent="0.25">
      <c r="A580" t="s">
        <v>1922</v>
      </c>
      <c r="B580" t="s">
        <v>1923</v>
      </c>
      <c r="C580" t="s">
        <v>1924</v>
      </c>
      <c r="D580" t="str" cm="1">
        <f t="array" ref="D580">_xlfn.TEXTJOIN("", TRUE, IF(ISNUMBER(SEARCH($K$1379:$K$1423, C580)), $K$1379:$K$1423, ""))</f>
        <v>Ben &amp; Jerry's</v>
      </c>
      <c r="E580" t="str">
        <f t="shared" si="18"/>
        <v>Milk</v>
      </c>
      <c r="F580" t="str">
        <f t="shared" si="19"/>
        <v>Dairy</v>
      </c>
      <c r="G580" s="1">
        <v>5.49</v>
      </c>
      <c r="H580" s="3" t="s">
        <v>1868</v>
      </c>
      <c r="I580" t="s">
        <v>149</v>
      </c>
    </row>
    <row r="581" spans="1:9" x14ac:dyDescent="0.25">
      <c r="A581" t="s">
        <v>1925</v>
      </c>
      <c r="B581" t="s">
        <v>1926</v>
      </c>
      <c r="C581" t="s">
        <v>1927</v>
      </c>
      <c r="D581" t="str" cm="1">
        <f t="array" ref="D581">_xlfn.TEXTJOIN("", TRUE, IF(ISNUMBER(SEARCH($K$1379:$K$1423, C581)), $K$1379:$K$1423, ""))</f>
        <v>Ben &amp; Jerry's</v>
      </c>
      <c r="E581" t="str">
        <f t="shared" si="18"/>
        <v>Milk</v>
      </c>
      <c r="F581" t="str">
        <f t="shared" si="19"/>
        <v>Dairy</v>
      </c>
      <c r="G581" s="1">
        <v>5.49</v>
      </c>
      <c r="H581" s="3" t="s">
        <v>1868</v>
      </c>
      <c r="I581" t="s">
        <v>149</v>
      </c>
    </row>
    <row r="582" spans="1:9" x14ac:dyDescent="0.25">
      <c r="A582" t="s">
        <v>1928</v>
      </c>
      <c r="B582" t="s">
        <v>1929</v>
      </c>
      <c r="C582" t="s">
        <v>1930</v>
      </c>
      <c r="D582" t="str" cm="1">
        <f t="array" ref="D582">_xlfn.TEXTJOIN("", TRUE, IF(ISNUMBER(SEARCH($K$1379:$K$1423, C582)), $K$1379:$K$1423, ""))</f>
        <v>Ben &amp; Jerry's</v>
      </c>
      <c r="E582" t="str">
        <f t="shared" si="18"/>
        <v>Milk</v>
      </c>
      <c r="F582" t="str">
        <f t="shared" si="19"/>
        <v>Dairy</v>
      </c>
      <c r="G582" s="1">
        <v>5.49</v>
      </c>
      <c r="H582" s="3" t="s">
        <v>1868</v>
      </c>
      <c r="I582" t="s">
        <v>149</v>
      </c>
    </row>
    <row r="583" spans="1:9" x14ac:dyDescent="0.25">
      <c r="A583" t="s">
        <v>1931</v>
      </c>
      <c r="B583" t="s">
        <v>1932</v>
      </c>
      <c r="C583" t="s">
        <v>1933</v>
      </c>
      <c r="D583" t="str" cm="1">
        <f t="array" ref="D583">_xlfn.TEXTJOIN("", TRUE, IF(ISNUMBER(SEARCH($K$1379:$K$1423, C583)), $K$1379:$K$1423, ""))</f>
        <v>Ben &amp; Jerry's</v>
      </c>
      <c r="E583" t="str">
        <f t="shared" si="18"/>
        <v>Milk</v>
      </c>
      <c r="F583" t="str">
        <f t="shared" si="19"/>
        <v>Dairy</v>
      </c>
      <c r="G583" s="1">
        <v>5.49</v>
      </c>
      <c r="H583" s="3" t="s">
        <v>1868</v>
      </c>
      <c r="I583" t="s">
        <v>149</v>
      </c>
    </row>
    <row r="584" spans="1:9" x14ac:dyDescent="0.25">
      <c r="A584" t="s">
        <v>1934</v>
      </c>
      <c r="B584" t="s">
        <v>1935</v>
      </c>
      <c r="C584" t="s">
        <v>1936</v>
      </c>
      <c r="D584" t="str" cm="1">
        <f t="array" ref="D584">_xlfn.TEXTJOIN("", TRUE, IF(ISNUMBER(SEARCH($K$1379:$K$1423, C584)), $K$1379:$K$1423, ""))</f>
        <v>Ben &amp; Jerry's</v>
      </c>
      <c r="E584" t="str">
        <f t="shared" si="18"/>
        <v>Milk</v>
      </c>
      <c r="F584" t="str">
        <f t="shared" si="19"/>
        <v>Dairy</v>
      </c>
      <c r="G584" s="1">
        <v>5.49</v>
      </c>
      <c r="H584" s="3" t="s">
        <v>1868</v>
      </c>
      <c r="I584" t="s">
        <v>149</v>
      </c>
    </row>
    <row r="585" spans="1:9" x14ac:dyDescent="0.25">
      <c r="A585" t="s">
        <v>1937</v>
      </c>
      <c r="B585" t="s">
        <v>1938</v>
      </c>
      <c r="C585" t="s">
        <v>1939</v>
      </c>
      <c r="D585" t="str" cm="1">
        <f t="array" ref="D585">_xlfn.TEXTJOIN("", TRUE, IF(ISNUMBER(SEARCH($K$1379:$K$1423, C585)), $K$1379:$K$1423, ""))</f>
        <v>Ben &amp; Jerry's</v>
      </c>
      <c r="E585" t="str">
        <f t="shared" si="18"/>
        <v>Milk</v>
      </c>
      <c r="F585" t="str">
        <f t="shared" si="19"/>
        <v>Dairy</v>
      </c>
      <c r="G585" s="1">
        <v>8.99</v>
      </c>
      <c r="H585" s="3" t="s">
        <v>1911</v>
      </c>
      <c r="I585" t="s">
        <v>149</v>
      </c>
    </row>
    <row r="586" spans="1:9" x14ac:dyDescent="0.25">
      <c r="A586" t="s">
        <v>1940</v>
      </c>
      <c r="B586" t="s">
        <v>1941</v>
      </c>
      <c r="C586" t="s">
        <v>1942</v>
      </c>
      <c r="D586" t="str" cm="1">
        <f t="array" ref="D586">_xlfn.TEXTJOIN("", TRUE, IF(ISNUMBER(SEARCH($K$1379:$K$1423, C586)), $K$1379:$K$1423, ""))</f>
        <v>Ben &amp; Jerry's</v>
      </c>
      <c r="E586" t="str">
        <f t="shared" si="18"/>
        <v>Milk</v>
      </c>
      <c r="F586" t="str">
        <f t="shared" si="19"/>
        <v>Dairy</v>
      </c>
      <c r="G586" s="1">
        <v>8.99</v>
      </c>
      <c r="H586" s="3" t="s">
        <v>1911</v>
      </c>
      <c r="I586" t="s">
        <v>149</v>
      </c>
    </row>
    <row r="587" spans="1:9" x14ac:dyDescent="0.25">
      <c r="A587" t="s">
        <v>1943</v>
      </c>
      <c r="B587" t="s">
        <v>1944</v>
      </c>
      <c r="C587" t="s">
        <v>1945</v>
      </c>
      <c r="D587" t="str" cm="1">
        <f t="array" ref="D587">_xlfn.TEXTJOIN("", TRUE, IF(ISNUMBER(SEARCH($K$1379:$K$1423, C587)), $K$1379:$K$1423, ""))</f>
        <v>Ben &amp; Jerry's</v>
      </c>
      <c r="E587" t="str">
        <f t="shared" si="18"/>
        <v>Milk</v>
      </c>
      <c r="F587" t="str">
        <f t="shared" si="19"/>
        <v>Dairy</v>
      </c>
      <c r="G587" s="1">
        <v>5.49</v>
      </c>
      <c r="H587" s="3" t="s">
        <v>1868</v>
      </c>
      <c r="I587" t="s">
        <v>149</v>
      </c>
    </row>
    <row r="588" spans="1:9" x14ac:dyDescent="0.25">
      <c r="A588" t="s">
        <v>1946</v>
      </c>
      <c r="B588" t="s">
        <v>1947</v>
      </c>
      <c r="C588" t="s">
        <v>1948</v>
      </c>
      <c r="D588" t="str" cm="1">
        <f t="array" ref="D588">_xlfn.TEXTJOIN("", TRUE, IF(ISNUMBER(SEARCH($K$1379:$K$1423, C588)), $K$1379:$K$1423, ""))</f>
        <v>Ben &amp; Jerry's</v>
      </c>
      <c r="E588" t="str">
        <f t="shared" si="18"/>
        <v>Milk</v>
      </c>
      <c r="F588" t="str">
        <f t="shared" si="19"/>
        <v>Dairy</v>
      </c>
      <c r="G588" s="1">
        <v>8.99</v>
      </c>
      <c r="H588" s="3" t="s">
        <v>1911</v>
      </c>
      <c r="I588" t="s">
        <v>149</v>
      </c>
    </row>
    <row r="589" spans="1:9" x14ac:dyDescent="0.25">
      <c r="A589" t="s">
        <v>1949</v>
      </c>
      <c r="B589" t="s">
        <v>1950</v>
      </c>
      <c r="C589" t="s">
        <v>1951</v>
      </c>
      <c r="D589" t="str" cm="1">
        <f t="array" ref="D589">_xlfn.TEXTJOIN("", TRUE, IF(ISNUMBER(SEARCH($K$1379:$K$1423, C589)), $K$1379:$K$1423, ""))</f>
        <v>Ben &amp; Jerry's</v>
      </c>
      <c r="E589" t="str">
        <f t="shared" si="18"/>
        <v>Milk</v>
      </c>
      <c r="F589" t="str">
        <f t="shared" si="19"/>
        <v>Dairy</v>
      </c>
      <c r="G589" s="1">
        <v>5.49</v>
      </c>
      <c r="H589" s="3" t="s">
        <v>1868</v>
      </c>
      <c r="I589" t="s">
        <v>149</v>
      </c>
    </row>
    <row r="590" spans="1:9" x14ac:dyDescent="0.25">
      <c r="A590" t="s">
        <v>1952</v>
      </c>
      <c r="B590" t="s">
        <v>1953</v>
      </c>
      <c r="C590" t="s">
        <v>1954</v>
      </c>
      <c r="D590" t="str" cm="1">
        <f t="array" ref="D590">_xlfn.TEXTJOIN("", TRUE, IF(ISNUMBER(SEARCH($K$1379:$K$1423, C590)), $K$1379:$K$1423, ""))</f>
        <v>Ben &amp; Jerry's</v>
      </c>
      <c r="E590" t="str">
        <f t="shared" si="18"/>
        <v>Milk</v>
      </c>
      <c r="F590" t="str">
        <f t="shared" si="19"/>
        <v>Dairy</v>
      </c>
      <c r="G590" s="1">
        <v>5.49</v>
      </c>
      <c r="H590" s="3" t="s">
        <v>1868</v>
      </c>
      <c r="I590" t="s">
        <v>149</v>
      </c>
    </row>
    <row r="591" spans="1:9" x14ac:dyDescent="0.25">
      <c r="A591" t="s">
        <v>1955</v>
      </c>
      <c r="B591" t="s">
        <v>1956</v>
      </c>
      <c r="C591" t="s">
        <v>1957</v>
      </c>
      <c r="D591" t="str" cm="1">
        <f t="array" ref="D591">_xlfn.TEXTJOIN("", TRUE, IF(ISNUMBER(SEARCH($K$1379:$K$1423, C591)), $K$1379:$K$1423, ""))</f>
        <v>Ben &amp; Jerry's</v>
      </c>
      <c r="E591" t="str">
        <f t="shared" si="18"/>
        <v>Milk</v>
      </c>
      <c r="F591" t="str">
        <f t="shared" si="19"/>
        <v>Dairy</v>
      </c>
      <c r="G591" s="1">
        <v>5.49</v>
      </c>
      <c r="H591" s="3" t="s">
        <v>1868</v>
      </c>
      <c r="I591" t="s">
        <v>149</v>
      </c>
    </row>
    <row r="592" spans="1:9" x14ac:dyDescent="0.25">
      <c r="A592" t="s">
        <v>1958</v>
      </c>
      <c r="B592" t="s">
        <v>1959</v>
      </c>
      <c r="C592" t="s">
        <v>1960</v>
      </c>
      <c r="D592" t="str" cm="1">
        <f t="array" ref="D592">_xlfn.TEXTJOIN("", TRUE, IF(ISNUMBER(SEARCH($K$1379:$K$1423, C592)), $K$1379:$K$1423, ""))</f>
        <v>Ben &amp; Jerry's</v>
      </c>
      <c r="E592" t="str">
        <f t="shared" si="18"/>
        <v>Milk</v>
      </c>
      <c r="F592" t="str">
        <f t="shared" si="19"/>
        <v>Dairy</v>
      </c>
      <c r="G592" s="1">
        <v>5.49</v>
      </c>
      <c r="H592" s="3" t="s">
        <v>1868</v>
      </c>
      <c r="I592" t="s">
        <v>149</v>
      </c>
    </row>
    <row r="593" spans="1:9" x14ac:dyDescent="0.25">
      <c r="A593" t="s">
        <v>1961</v>
      </c>
      <c r="B593" t="s">
        <v>1962</v>
      </c>
      <c r="C593" t="s">
        <v>1963</v>
      </c>
      <c r="D593" t="str" cm="1">
        <f t="array" ref="D593">_xlfn.TEXTJOIN("", TRUE, IF(ISNUMBER(SEARCH($K$1379:$K$1423, C593)), $K$1379:$K$1423, ""))</f>
        <v>Ben &amp; Jerry's</v>
      </c>
      <c r="E593" t="str">
        <f t="shared" si="18"/>
        <v>Milk</v>
      </c>
      <c r="F593" t="str">
        <f t="shared" si="19"/>
        <v>Dairy</v>
      </c>
      <c r="G593" s="1">
        <v>5.49</v>
      </c>
      <c r="H593" s="3" t="s">
        <v>1868</v>
      </c>
      <c r="I593" t="s">
        <v>149</v>
      </c>
    </row>
    <row r="594" spans="1:9" x14ac:dyDescent="0.25">
      <c r="A594" t="s">
        <v>1964</v>
      </c>
      <c r="B594" t="s">
        <v>1965</v>
      </c>
      <c r="C594" t="s">
        <v>1966</v>
      </c>
      <c r="D594" t="str" cm="1">
        <f t="array" ref="D594">_xlfn.TEXTJOIN("", TRUE, IF(ISNUMBER(SEARCH($K$1379:$K$1423, C594)), $K$1379:$K$1423, ""))</f>
        <v>Ben &amp; Jerry's</v>
      </c>
      <c r="E594" t="str">
        <f t="shared" si="18"/>
        <v>Milk</v>
      </c>
      <c r="F594" t="str">
        <f t="shared" si="19"/>
        <v>Dairy</v>
      </c>
      <c r="G594" s="1">
        <v>5.49</v>
      </c>
      <c r="H594" s="3" t="s">
        <v>1868</v>
      </c>
      <c r="I594" t="s">
        <v>149</v>
      </c>
    </row>
    <row r="595" spans="1:9" x14ac:dyDescent="0.25">
      <c r="A595" t="s">
        <v>1967</v>
      </c>
      <c r="B595" t="s">
        <v>1968</v>
      </c>
      <c r="C595" t="s">
        <v>1969</v>
      </c>
      <c r="D595" t="str" cm="1">
        <f t="array" ref="D595">_xlfn.TEXTJOIN("", TRUE, IF(ISNUMBER(SEARCH($K$1379:$K$1423, C595)), $K$1379:$K$1423, ""))</f>
        <v>Ben &amp; Jerry's</v>
      </c>
      <c r="E595" t="str">
        <f t="shared" si="18"/>
        <v>Milk</v>
      </c>
      <c r="F595" t="str">
        <f t="shared" si="19"/>
        <v>Dairy</v>
      </c>
      <c r="G595" s="1">
        <v>5.49</v>
      </c>
      <c r="H595" s="3" t="s">
        <v>1915</v>
      </c>
      <c r="I595" t="s">
        <v>551</v>
      </c>
    </row>
    <row r="596" spans="1:9" x14ac:dyDescent="0.25">
      <c r="A596" t="s">
        <v>1970</v>
      </c>
      <c r="B596" t="s">
        <v>1971</v>
      </c>
      <c r="C596" t="s">
        <v>1972</v>
      </c>
      <c r="D596" t="str" cm="1">
        <f t="array" ref="D596">_xlfn.TEXTJOIN("", TRUE, IF(ISNUMBER(SEARCH($K$1379:$K$1423, C596)), $K$1379:$K$1423, ""))</f>
        <v>Ben &amp; Jerry's</v>
      </c>
      <c r="E596" t="str">
        <f t="shared" si="18"/>
        <v>Milk</v>
      </c>
      <c r="F596" t="str">
        <f t="shared" si="19"/>
        <v>Dairy</v>
      </c>
      <c r="G596" s="1">
        <v>5.49</v>
      </c>
      <c r="H596" s="3" t="s">
        <v>1868</v>
      </c>
      <c r="I596" t="s">
        <v>149</v>
      </c>
    </row>
    <row r="597" spans="1:9" x14ac:dyDescent="0.25">
      <c r="A597" t="s">
        <v>1973</v>
      </c>
      <c r="B597" t="s">
        <v>1974</v>
      </c>
      <c r="C597" t="s">
        <v>1975</v>
      </c>
      <c r="D597" t="str" cm="1">
        <f t="array" ref="D597">_xlfn.TEXTJOIN("", TRUE, IF(ISNUMBER(SEARCH($K$1379:$K$1423, C597)), $K$1379:$K$1423, ""))</f>
        <v>Ben &amp; Jerry's</v>
      </c>
      <c r="E597" t="str">
        <f t="shared" si="18"/>
        <v>Milk</v>
      </c>
      <c r="F597" t="str">
        <f t="shared" si="19"/>
        <v>Dairy</v>
      </c>
      <c r="G597" s="1">
        <v>5.49</v>
      </c>
      <c r="H597" s="3" t="s">
        <v>1868</v>
      </c>
      <c r="I597" t="s">
        <v>149</v>
      </c>
    </row>
    <row r="598" spans="1:9" x14ac:dyDescent="0.25">
      <c r="A598" t="s">
        <v>1976</v>
      </c>
      <c r="B598" t="s">
        <v>1977</v>
      </c>
      <c r="C598" t="s">
        <v>1978</v>
      </c>
      <c r="D598" t="str" cm="1">
        <f t="array" ref="D598">_xlfn.TEXTJOIN("", TRUE, IF(ISNUMBER(SEARCH($K$1379:$K$1423, C598)), $K$1379:$K$1423, ""))</f>
        <v>Ben &amp; Jerry's</v>
      </c>
      <c r="E598" t="str">
        <f t="shared" si="18"/>
        <v>Milk</v>
      </c>
      <c r="F598" t="str">
        <f t="shared" si="19"/>
        <v>Dairy</v>
      </c>
      <c r="G598" s="1">
        <v>5.49</v>
      </c>
      <c r="H598" s="3" t="s">
        <v>1868</v>
      </c>
      <c r="I598" t="s">
        <v>149</v>
      </c>
    </row>
    <row r="599" spans="1:9" x14ac:dyDescent="0.25">
      <c r="A599" t="s">
        <v>1979</v>
      </c>
      <c r="B599" t="s">
        <v>1980</v>
      </c>
      <c r="C599" t="s">
        <v>1981</v>
      </c>
      <c r="D599" t="str" cm="1">
        <f t="array" ref="D599">_xlfn.TEXTJOIN("", TRUE, IF(ISNUMBER(SEARCH($K$1379:$K$1423, C599)), $K$1379:$K$1423, ""))</f>
        <v>Ben &amp; Jerry's</v>
      </c>
      <c r="E599" t="str">
        <f t="shared" si="18"/>
        <v>Milk</v>
      </c>
      <c r="F599" t="str">
        <f t="shared" si="19"/>
        <v>Dairy</v>
      </c>
      <c r="G599" s="1">
        <v>5.49</v>
      </c>
      <c r="H599" s="3" t="s">
        <v>1868</v>
      </c>
      <c r="I599" t="s">
        <v>149</v>
      </c>
    </row>
    <row r="600" spans="1:9" x14ac:dyDescent="0.25">
      <c r="A600" t="s">
        <v>1982</v>
      </c>
      <c r="B600" t="s">
        <v>1983</v>
      </c>
      <c r="C600" t="s">
        <v>1984</v>
      </c>
      <c r="D600" t="str" cm="1">
        <f t="array" ref="D600">_xlfn.TEXTJOIN("", TRUE, IF(ISNUMBER(SEARCH($K$1379:$K$1423, C600)), $K$1379:$K$1423, ""))</f>
        <v>Ben &amp; Jerry's</v>
      </c>
      <c r="E600" t="str">
        <f t="shared" si="18"/>
        <v>Milk</v>
      </c>
      <c r="F600" t="str">
        <f t="shared" si="19"/>
        <v>Dairy</v>
      </c>
      <c r="G600" s="1">
        <v>5.49</v>
      </c>
      <c r="H600" s="3" t="s">
        <v>1985</v>
      </c>
      <c r="I600" t="s">
        <v>320</v>
      </c>
    </row>
    <row r="601" spans="1:9" x14ac:dyDescent="0.25">
      <c r="A601" t="s">
        <v>1986</v>
      </c>
      <c r="B601" t="s">
        <v>1987</v>
      </c>
      <c r="C601" t="s">
        <v>1988</v>
      </c>
      <c r="D601" t="str" cm="1">
        <f t="array" ref="D601">_xlfn.TEXTJOIN("", TRUE, IF(ISNUMBER(SEARCH($K$1379:$K$1423, C601)), $K$1379:$K$1423, ""))</f>
        <v>Ben &amp; Jerry's</v>
      </c>
      <c r="E601" t="str">
        <f t="shared" si="18"/>
        <v>Milk</v>
      </c>
      <c r="F601" t="str">
        <f t="shared" si="19"/>
        <v>Dairy</v>
      </c>
      <c r="G601" s="1">
        <v>5.49</v>
      </c>
      <c r="H601" s="3" t="s">
        <v>1868</v>
      </c>
      <c r="I601" t="s">
        <v>149</v>
      </c>
    </row>
    <row r="602" spans="1:9" x14ac:dyDescent="0.25">
      <c r="A602" t="s">
        <v>1989</v>
      </c>
      <c r="B602" t="s">
        <v>1990</v>
      </c>
      <c r="C602" t="s">
        <v>1991</v>
      </c>
      <c r="D602" t="str" cm="1">
        <f t="array" ref="D602">_xlfn.TEXTJOIN("", TRUE, IF(ISNUMBER(SEARCH($K$1379:$K$1423, C602)), $K$1379:$K$1423, ""))</f>
        <v>Ben &amp; Jerry's</v>
      </c>
      <c r="E602" t="str">
        <f t="shared" si="18"/>
        <v>Milk</v>
      </c>
      <c r="F602" t="str">
        <f t="shared" si="19"/>
        <v>Dairy</v>
      </c>
      <c r="G602" s="1">
        <v>5.49</v>
      </c>
      <c r="H602" s="3" t="s">
        <v>1868</v>
      </c>
      <c r="I602" t="s">
        <v>149</v>
      </c>
    </row>
    <row r="603" spans="1:9" x14ac:dyDescent="0.25">
      <c r="A603" t="s">
        <v>1992</v>
      </c>
      <c r="B603" t="s">
        <v>1993</v>
      </c>
      <c r="C603" t="s">
        <v>1994</v>
      </c>
      <c r="D603" t="str" cm="1">
        <f t="array" ref="D603">_xlfn.TEXTJOIN("", TRUE, IF(ISNUMBER(SEARCH($K$1379:$K$1423, C603)), $K$1379:$K$1423, ""))</f>
        <v>Ben &amp; Jerry's</v>
      </c>
      <c r="E603" t="str">
        <f t="shared" si="18"/>
        <v>Milk</v>
      </c>
      <c r="F603" t="str">
        <f t="shared" si="19"/>
        <v>Dairy</v>
      </c>
      <c r="G603" s="1">
        <v>5.49</v>
      </c>
      <c r="H603" s="3" t="s">
        <v>1868</v>
      </c>
      <c r="I603" t="s">
        <v>149</v>
      </c>
    </row>
    <row r="604" spans="1:9" x14ac:dyDescent="0.25">
      <c r="A604" t="s">
        <v>1995</v>
      </c>
      <c r="B604" t="s">
        <v>1996</v>
      </c>
      <c r="C604" t="s">
        <v>1997</v>
      </c>
      <c r="D604" t="str" cm="1">
        <f t="array" ref="D604">_xlfn.TEXTJOIN("", TRUE, IF(ISNUMBER(SEARCH($K$1379:$K$1423, C604)), $K$1379:$K$1423, ""))</f>
        <v>Ben &amp; Jerry's</v>
      </c>
      <c r="E604" t="str">
        <f t="shared" si="18"/>
        <v>Milk</v>
      </c>
      <c r="F604" t="str">
        <f t="shared" si="19"/>
        <v>Dairy</v>
      </c>
      <c r="G604" s="1">
        <v>5.49</v>
      </c>
      <c r="H604" s="3" t="s">
        <v>1868</v>
      </c>
      <c r="I604" t="s">
        <v>149</v>
      </c>
    </row>
    <row r="605" spans="1:9" x14ac:dyDescent="0.25">
      <c r="A605" t="s">
        <v>1998</v>
      </c>
      <c r="B605" t="s">
        <v>1999</v>
      </c>
      <c r="C605" t="s">
        <v>2000</v>
      </c>
      <c r="D605" t="str" cm="1">
        <f t="array" ref="D605">_xlfn.TEXTJOIN("", TRUE, IF(ISNUMBER(SEARCH($K$1379:$K$1423, C605)), $K$1379:$K$1423, ""))</f>
        <v>Ben &amp; Jerry's</v>
      </c>
      <c r="E605" t="str">
        <f t="shared" si="18"/>
        <v>Milk</v>
      </c>
      <c r="F605" t="str">
        <f t="shared" si="19"/>
        <v>Dairy</v>
      </c>
      <c r="G605" s="1">
        <v>5.49</v>
      </c>
      <c r="H605" s="3" t="s">
        <v>1868</v>
      </c>
      <c r="I605" t="s">
        <v>149</v>
      </c>
    </row>
    <row r="606" spans="1:9" x14ac:dyDescent="0.25">
      <c r="A606" t="s">
        <v>2001</v>
      </c>
      <c r="B606" t="s">
        <v>2002</v>
      </c>
      <c r="C606" t="s">
        <v>2003</v>
      </c>
      <c r="D606" t="str" cm="1">
        <f t="array" ref="D606">_xlfn.TEXTJOIN("", TRUE, IF(ISNUMBER(SEARCH($K$1379:$K$1423, C606)), $K$1379:$K$1423, ""))</f>
        <v>Ben &amp; Jerry's</v>
      </c>
      <c r="E606" t="str">
        <f t="shared" si="18"/>
        <v>Milk</v>
      </c>
      <c r="F606" t="str">
        <f t="shared" si="19"/>
        <v>Dairy</v>
      </c>
      <c r="G606" s="1">
        <v>5.49</v>
      </c>
      <c r="H606" s="3" t="s">
        <v>1868</v>
      </c>
      <c r="I606" t="s">
        <v>149</v>
      </c>
    </row>
    <row r="607" spans="1:9" x14ac:dyDescent="0.25">
      <c r="A607" t="s">
        <v>2004</v>
      </c>
      <c r="B607" t="s">
        <v>2005</v>
      </c>
      <c r="C607" t="s">
        <v>2006</v>
      </c>
      <c r="D607" t="str" cm="1">
        <f t="array" ref="D607">_xlfn.TEXTJOIN("", TRUE, IF(ISNUMBER(SEARCH($K$1379:$K$1423, C607)), $K$1379:$K$1423, ""))</f>
        <v>Ben &amp; Jerry's</v>
      </c>
      <c r="E607" t="str">
        <f t="shared" si="18"/>
        <v>Milk</v>
      </c>
      <c r="F607" t="str">
        <f t="shared" si="19"/>
        <v>Dairy</v>
      </c>
      <c r="G607" s="1">
        <v>5.49</v>
      </c>
      <c r="H607" s="3" t="s">
        <v>1985</v>
      </c>
      <c r="I607" t="s">
        <v>320</v>
      </c>
    </row>
    <row r="608" spans="1:9" x14ac:dyDescent="0.25">
      <c r="A608" t="s">
        <v>2007</v>
      </c>
      <c r="B608" t="s">
        <v>2008</v>
      </c>
      <c r="C608" t="s">
        <v>2009</v>
      </c>
      <c r="D608" t="str" cm="1">
        <f t="array" ref="D608">_xlfn.TEXTJOIN("", TRUE, IF(ISNUMBER(SEARCH($K$1379:$K$1423, C608)), $K$1379:$K$1423, ""))</f>
        <v>Ben &amp; Jerry's</v>
      </c>
      <c r="E608" t="str">
        <f t="shared" si="18"/>
        <v>Milk</v>
      </c>
      <c r="F608" t="str">
        <f t="shared" si="19"/>
        <v>Dairy</v>
      </c>
      <c r="G608" s="1">
        <v>5.49</v>
      </c>
      <c r="H608" s="3" t="s">
        <v>1868</v>
      </c>
      <c r="I608" t="s">
        <v>149</v>
      </c>
    </row>
    <row r="609" spans="1:9" x14ac:dyDescent="0.25">
      <c r="A609" t="s">
        <v>2010</v>
      </c>
      <c r="B609" t="s">
        <v>2011</v>
      </c>
      <c r="C609" t="s">
        <v>2012</v>
      </c>
      <c r="D609" t="str" cm="1">
        <f t="array" ref="D609">_xlfn.TEXTJOIN("", TRUE, IF(ISNUMBER(SEARCH($K$1379:$K$1423, C609)), $K$1379:$K$1423, ""))</f>
        <v>Ben &amp; Jerry's</v>
      </c>
      <c r="E609" t="str">
        <f t="shared" si="18"/>
        <v>Milk</v>
      </c>
      <c r="F609" t="str">
        <f t="shared" si="19"/>
        <v>Dairy</v>
      </c>
      <c r="G609" s="1">
        <v>5.49</v>
      </c>
      <c r="H609" s="3" t="s">
        <v>1985</v>
      </c>
      <c r="I609" t="s">
        <v>320</v>
      </c>
    </row>
    <row r="610" spans="1:9" x14ac:dyDescent="0.25">
      <c r="A610" t="s">
        <v>2013</v>
      </c>
      <c r="B610" t="s">
        <v>2014</v>
      </c>
      <c r="C610" t="s">
        <v>2015</v>
      </c>
      <c r="D610" t="str" cm="1">
        <f t="array" ref="D610">_xlfn.TEXTJOIN("", TRUE, IF(ISNUMBER(SEARCH($K$1379:$K$1423, C610)), $K$1379:$K$1423, ""))</f>
        <v>Ben &amp; Jerry's</v>
      </c>
      <c r="E610" t="str">
        <f t="shared" si="18"/>
        <v>Milk</v>
      </c>
      <c r="F610" t="str">
        <f t="shared" si="19"/>
        <v>Dairy</v>
      </c>
      <c r="G610" s="1">
        <v>5.49</v>
      </c>
      <c r="H610" s="3" t="s">
        <v>1868</v>
      </c>
      <c r="I610" t="s">
        <v>149</v>
      </c>
    </row>
    <row r="611" spans="1:9" x14ac:dyDescent="0.25">
      <c r="A611" t="s">
        <v>2016</v>
      </c>
      <c r="B611" t="s">
        <v>2017</v>
      </c>
      <c r="C611" t="s">
        <v>2018</v>
      </c>
      <c r="D611" t="str" cm="1">
        <f t="array" ref="D611">_xlfn.TEXTJOIN("", TRUE, IF(ISNUMBER(SEARCH($K$1379:$K$1423, C611)), $K$1379:$K$1423, ""))</f>
        <v>Ben &amp; Jerry's</v>
      </c>
      <c r="E611" t="str">
        <f t="shared" si="18"/>
        <v>Milk</v>
      </c>
      <c r="F611" t="str">
        <f t="shared" si="19"/>
        <v>Dairy</v>
      </c>
      <c r="G611" s="1">
        <v>5.49</v>
      </c>
      <c r="H611" s="3" t="s">
        <v>1915</v>
      </c>
      <c r="I611" t="s">
        <v>551</v>
      </c>
    </row>
    <row r="612" spans="1:9" x14ac:dyDescent="0.25">
      <c r="A612" t="s">
        <v>2019</v>
      </c>
      <c r="B612" t="s">
        <v>2020</v>
      </c>
      <c r="C612" t="s">
        <v>2021</v>
      </c>
      <c r="D612" t="str" cm="1">
        <f t="array" ref="D612">_xlfn.TEXTJOIN("", TRUE, IF(ISNUMBER(SEARCH($K$1379:$K$1423, C612)), $K$1379:$K$1423, ""))</f>
        <v>Ben &amp; Jerry's</v>
      </c>
      <c r="E612" t="str">
        <f t="shared" si="18"/>
        <v>Milk</v>
      </c>
      <c r="F612" t="str">
        <f t="shared" si="19"/>
        <v>Dairy</v>
      </c>
      <c r="G612" s="1">
        <v>5.49</v>
      </c>
      <c r="H612" s="3" t="s">
        <v>1868</v>
      </c>
      <c r="I612" t="s">
        <v>149</v>
      </c>
    </row>
    <row r="613" spans="1:9" x14ac:dyDescent="0.25">
      <c r="A613" t="s">
        <v>2022</v>
      </c>
      <c r="B613" t="s">
        <v>2023</v>
      </c>
      <c r="C613" t="s">
        <v>2024</v>
      </c>
      <c r="D613" t="str" cm="1">
        <f t="array" ref="D613">_xlfn.TEXTJOIN("", TRUE, IF(ISNUMBER(SEARCH($K$1379:$K$1423, C613)), $K$1379:$K$1423, ""))</f>
        <v>Ben &amp; Jerry's</v>
      </c>
      <c r="E613" t="str">
        <f t="shared" si="18"/>
        <v>Milk</v>
      </c>
      <c r="F613" t="str">
        <f t="shared" si="19"/>
        <v>Dairy</v>
      </c>
      <c r="G613" s="1">
        <v>5.49</v>
      </c>
      <c r="H613" s="3" t="s">
        <v>1868</v>
      </c>
      <c r="I613" t="s">
        <v>149</v>
      </c>
    </row>
    <row r="614" spans="1:9" x14ac:dyDescent="0.25">
      <c r="A614" t="s">
        <v>2025</v>
      </c>
      <c r="B614" t="s">
        <v>2026</v>
      </c>
      <c r="C614" t="s">
        <v>2027</v>
      </c>
      <c r="D614" t="str" cm="1">
        <f t="array" ref="D614">_xlfn.TEXTJOIN("", TRUE, IF(ISNUMBER(SEARCH($K$1379:$K$1423, C614)), $K$1379:$K$1423, ""))</f>
        <v>Ben &amp; Jerry's</v>
      </c>
      <c r="E614" t="str">
        <f t="shared" si="18"/>
        <v>Milk</v>
      </c>
      <c r="F614" t="str">
        <f t="shared" si="19"/>
        <v>Dairy</v>
      </c>
      <c r="G614" s="1">
        <v>5.49</v>
      </c>
      <c r="H614" s="3" t="s">
        <v>1868</v>
      </c>
      <c r="I614" t="s">
        <v>149</v>
      </c>
    </row>
    <row r="615" spans="1:9" x14ac:dyDescent="0.25">
      <c r="A615" t="s">
        <v>2028</v>
      </c>
      <c r="B615" t="s">
        <v>2029</v>
      </c>
      <c r="C615" t="s">
        <v>2030</v>
      </c>
      <c r="D615" t="str" cm="1">
        <f t="array" ref="D615">_xlfn.TEXTJOIN("", TRUE, IF(ISNUMBER(SEARCH($K$1379:$K$1423, C615)), $K$1379:$K$1423, ""))</f>
        <v>Ben &amp; Jerry's</v>
      </c>
      <c r="E615" t="str">
        <f t="shared" si="18"/>
        <v>Milk</v>
      </c>
      <c r="F615" t="str">
        <f t="shared" si="19"/>
        <v>Dairy</v>
      </c>
      <c r="G615" s="1">
        <v>5.49</v>
      </c>
      <c r="H615" s="3" t="s">
        <v>1868</v>
      </c>
      <c r="I615" t="s">
        <v>149</v>
      </c>
    </row>
    <row r="616" spans="1:9" x14ac:dyDescent="0.25">
      <c r="A616" t="s">
        <v>2031</v>
      </c>
      <c r="B616" t="s">
        <v>2032</v>
      </c>
      <c r="C616" t="s">
        <v>2033</v>
      </c>
      <c r="D616" t="str" cm="1">
        <f t="array" ref="D616">_xlfn.TEXTJOIN("", TRUE, IF(ISNUMBER(SEARCH($K$1379:$K$1423, C616)), $K$1379:$K$1423, ""))</f>
        <v>Ben &amp; Jerry's</v>
      </c>
      <c r="E616" t="str">
        <f t="shared" si="18"/>
        <v>Milk</v>
      </c>
      <c r="F616" t="str">
        <f t="shared" si="19"/>
        <v>Dairy</v>
      </c>
      <c r="G616" s="1">
        <v>5.49</v>
      </c>
      <c r="H616" s="3" t="s">
        <v>1868</v>
      </c>
      <c r="I616" t="s">
        <v>149</v>
      </c>
    </row>
    <row r="617" spans="1:9" x14ac:dyDescent="0.25">
      <c r="A617" t="s">
        <v>2034</v>
      </c>
      <c r="B617" t="s">
        <v>2035</v>
      </c>
      <c r="C617" t="s">
        <v>2036</v>
      </c>
      <c r="D617" t="str" cm="1">
        <f t="array" ref="D617">_xlfn.TEXTJOIN("", TRUE, IF(ISNUMBER(SEARCH($K$1379:$K$1423, C617)), $K$1379:$K$1423, ""))</f>
        <v>Ben &amp; Jerry's</v>
      </c>
      <c r="E617" t="str">
        <f t="shared" si="18"/>
        <v>Milk</v>
      </c>
      <c r="F617" t="str">
        <f t="shared" si="19"/>
        <v>Dairy</v>
      </c>
      <c r="G617" s="1">
        <v>5.49</v>
      </c>
      <c r="H617" s="3" t="s">
        <v>1868</v>
      </c>
      <c r="I617" t="s">
        <v>149</v>
      </c>
    </row>
    <row r="618" spans="1:9" x14ac:dyDescent="0.25">
      <c r="A618" t="s">
        <v>2037</v>
      </c>
      <c r="B618" t="s">
        <v>2038</v>
      </c>
      <c r="C618" t="s">
        <v>2039</v>
      </c>
      <c r="D618" t="str" cm="1">
        <f t="array" ref="D618">_xlfn.TEXTJOIN("", TRUE, IF(ISNUMBER(SEARCH($K$1379:$K$1423, C618)), $K$1379:$K$1423, ""))</f>
        <v>Ben &amp; Jerry's</v>
      </c>
      <c r="E618" t="str">
        <f t="shared" si="18"/>
        <v>Milk</v>
      </c>
      <c r="F618" t="str">
        <f t="shared" si="19"/>
        <v>Dairy</v>
      </c>
      <c r="G618" s="1">
        <v>5.49</v>
      </c>
      <c r="H618" s="3" t="s">
        <v>1868</v>
      </c>
      <c r="I618" t="s">
        <v>149</v>
      </c>
    </row>
    <row r="619" spans="1:9" x14ac:dyDescent="0.25">
      <c r="A619" t="s">
        <v>2040</v>
      </c>
      <c r="B619" t="s">
        <v>2041</v>
      </c>
      <c r="C619" t="s">
        <v>2042</v>
      </c>
      <c r="D619" t="str" cm="1">
        <f t="array" ref="D619">_xlfn.TEXTJOIN("", TRUE, IF(ISNUMBER(SEARCH($K$1379:$K$1423, C619)), $K$1379:$K$1423, ""))</f>
        <v>Ben &amp; Jerry's</v>
      </c>
      <c r="E619" t="str">
        <f t="shared" si="18"/>
        <v>Milk</v>
      </c>
      <c r="F619" t="str">
        <f t="shared" si="19"/>
        <v>Dairy</v>
      </c>
      <c r="G619" s="1">
        <v>5.49</v>
      </c>
      <c r="H619" s="3" t="s">
        <v>1868</v>
      </c>
      <c r="I619" t="s">
        <v>149</v>
      </c>
    </row>
    <row r="620" spans="1:9" x14ac:dyDescent="0.25">
      <c r="A620" t="s">
        <v>2043</v>
      </c>
      <c r="B620" t="s">
        <v>2044</v>
      </c>
      <c r="C620" t="s">
        <v>2045</v>
      </c>
      <c r="D620" t="str" cm="1">
        <f t="array" ref="D620">_xlfn.TEXTJOIN("", TRUE, IF(ISNUMBER(SEARCH($K$1379:$K$1423, C620)), $K$1379:$K$1423, ""))</f>
        <v>Ben &amp; Jerry's</v>
      </c>
      <c r="E620" t="str">
        <f t="shared" si="18"/>
        <v>Milk</v>
      </c>
      <c r="F620" t="str">
        <f t="shared" si="19"/>
        <v>Dairy</v>
      </c>
      <c r="G620" s="1">
        <v>5.49</v>
      </c>
      <c r="H620" s="3" t="s">
        <v>1868</v>
      </c>
      <c r="I620" t="s">
        <v>149</v>
      </c>
    </row>
    <row r="621" spans="1:9" x14ac:dyDescent="0.25">
      <c r="A621" t="s">
        <v>2046</v>
      </c>
      <c r="B621" t="s">
        <v>2047</v>
      </c>
      <c r="C621" t="s">
        <v>2048</v>
      </c>
      <c r="D621" t="str" cm="1">
        <f t="array" ref="D621">_xlfn.TEXTJOIN("", TRUE, IF(ISNUMBER(SEARCH($K$1379:$K$1423, C621)), $K$1379:$K$1423, ""))</f>
        <v>Ben &amp; Jerry's</v>
      </c>
      <c r="E621" t="str">
        <f t="shared" si="18"/>
        <v>Milk</v>
      </c>
      <c r="F621" t="str">
        <f t="shared" si="19"/>
        <v>Dairy</v>
      </c>
      <c r="G621" s="1">
        <v>5.49</v>
      </c>
      <c r="H621" s="3" t="s">
        <v>1868</v>
      </c>
      <c r="I621" t="s">
        <v>149</v>
      </c>
    </row>
    <row r="622" spans="1:9" x14ac:dyDescent="0.25">
      <c r="A622" t="s">
        <v>2049</v>
      </c>
      <c r="B622" t="s">
        <v>2050</v>
      </c>
      <c r="C622" t="s">
        <v>2051</v>
      </c>
      <c r="D622" t="str" cm="1">
        <f t="array" ref="D622">_xlfn.TEXTJOIN("", TRUE, IF(ISNUMBER(SEARCH($K$1379:$K$1423, C622)), $K$1379:$K$1423, ""))</f>
        <v>Ben &amp; Jerry's</v>
      </c>
      <c r="E622" t="str">
        <f t="shared" si="18"/>
        <v>Milk</v>
      </c>
      <c r="F622" t="str">
        <f t="shared" si="19"/>
        <v>Dairy</v>
      </c>
      <c r="G622" s="1">
        <v>5.49</v>
      </c>
      <c r="H622" s="3" t="s">
        <v>1868</v>
      </c>
      <c r="I622" t="s">
        <v>149</v>
      </c>
    </row>
    <row r="623" spans="1:9" x14ac:dyDescent="0.25">
      <c r="A623" t="s">
        <v>2052</v>
      </c>
      <c r="B623" t="s">
        <v>2053</v>
      </c>
      <c r="C623" t="s">
        <v>2054</v>
      </c>
      <c r="D623" t="str" cm="1">
        <f t="array" ref="D623">_xlfn.TEXTJOIN("", TRUE, IF(ISNUMBER(SEARCH($K$1379:$K$1423, C623)), $K$1379:$K$1423, ""))</f>
        <v>Ben &amp; Jerry's</v>
      </c>
      <c r="E623" t="str">
        <f t="shared" si="18"/>
        <v>Milk</v>
      </c>
      <c r="F623" t="str">
        <f t="shared" si="19"/>
        <v>Dairy</v>
      </c>
      <c r="G623" s="1">
        <v>5.49</v>
      </c>
      <c r="H623" s="3" t="s">
        <v>1868</v>
      </c>
      <c r="I623" t="s">
        <v>149</v>
      </c>
    </row>
    <row r="624" spans="1:9" x14ac:dyDescent="0.25">
      <c r="A624" t="s">
        <v>2055</v>
      </c>
      <c r="B624" t="s">
        <v>2056</v>
      </c>
      <c r="C624" t="s">
        <v>2057</v>
      </c>
      <c r="D624" t="str" cm="1">
        <f t="array" ref="D624">_xlfn.TEXTJOIN("", TRUE, IF(ISNUMBER(SEARCH($K$1379:$K$1423, C624)), $K$1379:$K$1423, ""))</f>
        <v>Annie's</v>
      </c>
      <c r="E624" t="str">
        <f t="shared" si="18"/>
        <v>Pasta</v>
      </c>
      <c r="F624" t="str">
        <f t="shared" si="19"/>
        <v>Grain</v>
      </c>
      <c r="G624" s="1">
        <v>2.4900000000000002</v>
      </c>
      <c r="H624" t="s">
        <v>2060</v>
      </c>
      <c r="I624" s="3" t="s">
        <v>2061</v>
      </c>
    </row>
    <row r="625" spans="1:9" x14ac:dyDescent="0.25">
      <c r="A625" t="s">
        <v>2062</v>
      </c>
      <c r="B625" t="s">
        <v>2063</v>
      </c>
      <c r="C625" t="s">
        <v>2064</v>
      </c>
      <c r="D625" t="str" cm="1">
        <f t="array" ref="D625">_xlfn.TEXTJOIN("", TRUE, IF(ISNUMBER(SEARCH($K$1379:$K$1423, C625)), $K$1379:$K$1423, ""))</f>
        <v>Annie's</v>
      </c>
      <c r="E625" t="str">
        <f t="shared" si="18"/>
        <v>Pasta</v>
      </c>
      <c r="F625" t="str">
        <f t="shared" si="19"/>
        <v>Grain</v>
      </c>
      <c r="G625" s="1">
        <v>9.2899999999999991</v>
      </c>
      <c r="H625" t="s">
        <v>2065</v>
      </c>
      <c r="I625" s="3" t="s">
        <v>2066</v>
      </c>
    </row>
    <row r="626" spans="1:9" x14ac:dyDescent="0.25">
      <c r="A626" t="s">
        <v>2067</v>
      </c>
      <c r="B626" t="s">
        <v>2068</v>
      </c>
      <c r="C626" t="s">
        <v>2069</v>
      </c>
      <c r="D626" t="str" cm="1">
        <f t="array" ref="D626">_xlfn.TEXTJOIN("", TRUE, IF(ISNUMBER(SEARCH($K$1379:$K$1423, C626)), $K$1379:$K$1423, ""))</f>
        <v>Annie's</v>
      </c>
      <c r="E626" t="str">
        <f t="shared" si="18"/>
        <v>Pasta</v>
      </c>
      <c r="F626" t="str">
        <f t="shared" si="19"/>
        <v>Grain</v>
      </c>
      <c r="G626" s="1">
        <v>6.59</v>
      </c>
      <c r="H626" t="s">
        <v>2070</v>
      </c>
      <c r="I626" s="3" t="s">
        <v>2071</v>
      </c>
    </row>
    <row r="627" spans="1:9" x14ac:dyDescent="0.25">
      <c r="A627" t="s">
        <v>2072</v>
      </c>
      <c r="B627" t="s">
        <v>2073</v>
      </c>
      <c r="C627" t="s">
        <v>2074</v>
      </c>
      <c r="D627" t="str" cm="1">
        <f t="array" ref="D627">_xlfn.TEXTJOIN("", TRUE, IF(ISNUMBER(SEARCH($K$1379:$K$1423, C627)), $K$1379:$K$1423, ""))</f>
        <v>Annie's</v>
      </c>
      <c r="E627" t="str">
        <f t="shared" si="18"/>
        <v>Pasta</v>
      </c>
      <c r="F627" t="str">
        <f t="shared" si="19"/>
        <v>Grain</v>
      </c>
      <c r="G627" s="1">
        <v>9.2899999999999991</v>
      </c>
      <c r="H627" t="s">
        <v>2075</v>
      </c>
      <c r="I627" s="3" t="s">
        <v>2076</v>
      </c>
    </row>
    <row r="628" spans="1:9" x14ac:dyDescent="0.25">
      <c r="A628" t="s">
        <v>2077</v>
      </c>
      <c r="B628" t="s">
        <v>2078</v>
      </c>
      <c r="C628" t="s">
        <v>2079</v>
      </c>
      <c r="D628" t="str" cm="1">
        <f t="array" ref="D628">_xlfn.TEXTJOIN("", TRUE, IF(ISNUMBER(SEARCH($K$1379:$K$1423, C628)), $K$1379:$K$1423, ""))</f>
        <v>Annie's</v>
      </c>
      <c r="E628" t="str">
        <f t="shared" si="18"/>
        <v>Pasta</v>
      </c>
      <c r="F628" t="str">
        <f t="shared" si="19"/>
        <v>Grain</v>
      </c>
      <c r="G628" s="1">
        <v>7.99</v>
      </c>
      <c r="H628" t="s">
        <v>1437</v>
      </c>
      <c r="I628" s="3" t="s">
        <v>752</v>
      </c>
    </row>
    <row r="629" spans="1:9" x14ac:dyDescent="0.25">
      <c r="A629" t="s">
        <v>2080</v>
      </c>
      <c r="B629" t="s">
        <v>2081</v>
      </c>
      <c r="C629" t="s">
        <v>2082</v>
      </c>
      <c r="D629" t="str" cm="1">
        <f t="array" ref="D629">_xlfn.TEXTJOIN("", TRUE, IF(ISNUMBER(SEARCH($K$1379:$K$1423, C629)), $K$1379:$K$1423, ""))</f>
        <v>Annie's</v>
      </c>
      <c r="E629" t="str">
        <f t="shared" si="18"/>
        <v>Pasta</v>
      </c>
      <c r="F629" t="str">
        <f t="shared" si="19"/>
        <v>Grain</v>
      </c>
      <c r="G629" s="1">
        <v>2.99</v>
      </c>
      <c r="H629" t="s">
        <v>1307</v>
      </c>
      <c r="I629" s="3" t="s">
        <v>2083</v>
      </c>
    </row>
    <row r="630" spans="1:9" x14ac:dyDescent="0.25">
      <c r="A630" t="s">
        <v>2084</v>
      </c>
      <c r="B630" t="s">
        <v>2085</v>
      </c>
      <c r="C630" t="s">
        <v>2086</v>
      </c>
      <c r="D630" t="str" cm="1">
        <f t="array" ref="D630">_xlfn.TEXTJOIN("", TRUE, IF(ISNUMBER(SEARCH($K$1379:$K$1423, C630)), $K$1379:$K$1423, ""))</f>
        <v>Annie's</v>
      </c>
      <c r="E630" t="str">
        <f t="shared" si="18"/>
        <v>Pasta</v>
      </c>
      <c r="F630" t="str">
        <f t="shared" si="19"/>
        <v>Grain</v>
      </c>
      <c r="G630" s="1">
        <v>2.99</v>
      </c>
      <c r="H630" t="s">
        <v>360</v>
      </c>
      <c r="I630" s="3" t="s">
        <v>361</v>
      </c>
    </row>
    <row r="631" spans="1:9" x14ac:dyDescent="0.25">
      <c r="A631" t="s">
        <v>2087</v>
      </c>
      <c r="B631" t="s">
        <v>2088</v>
      </c>
      <c r="C631" t="s">
        <v>2089</v>
      </c>
      <c r="D631" t="str" cm="1">
        <f t="array" ref="D631">_xlfn.TEXTJOIN("", TRUE, IF(ISNUMBER(SEARCH($K$1379:$K$1423, C631)), $K$1379:$K$1423, ""))</f>
        <v>Annie's</v>
      </c>
      <c r="E631" t="str">
        <f t="shared" si="18"/>
        <v>Pasta</v>
      </c>
      <c r="F631" t="str">
        <f t="shared" si="19"/>
        <v>Grain</v>
      </c>
      <c r="G631" s="1">
        <v>2.99</v>
      </c>
      <c r="H631" t="s">
        <v>360</v>
      </c>
      <c r="I631" s="3" t="s">
        <v>361</v>
      </c>
    </row>
    <row r="632" spans="1:9" x14ac:dyDescent="0.25">
      <c r="A632" t="s">
        <v>2090</v>
      </c>
      <c r="B632" t="s">
        <v>2091</v>
      </c>
      <c r="C632" t="s">
        <v>2092</v>
      </c>
      <c r="D632" t="str" cm="1">
        <f t="array" ref="D632">_xlfn.TEXTJOIN("", TRUE, IF(ISNUMBER(SEARCH($K$1379:$K$1423, C632)), $K$1379:$K$1423, ""))</f>
        <v>Annie's</v>
      </c>
      <c r="E632" t="str">
        <f t="shared" si="18"/>
        <v>Pasta</v>
      </c>
      <c r="F632" t="str">
        <f t="shared" si="19"/>
        <v>Grain</v>
      </c>
      <c r="G632" s="1">
        <v>9.2899999999999991</v>
      </c>
      <c r="H632" t="s">
        <v>2093</v>
      </c>
      <c r="I632" s="3" t="s">
        <v>2094</v>
      </c>
    </row>
    <row r="633" spans="1:9" x14ac:dyDescent="0.25">
      <c r="A633" t="s">
        <v>2095</v>
      </c>
      <c r="B633" t="s">
        <v>2096</v>
      </c>
      <c r="C633" t="s">
        <v>2097</v>
      </c>
      <c r="D633" t="str" cm="1">
        <f t="array" ref="D633">_xlfn.TEXTJOIN("", TRUE, IF(ISNUMBER(SEARCH($K$1379:$K$1423, C633)), $K$1379:$K$1423, ""))</f>
        <v>Annie's</v>
      </c>
      <c r="E633" t="str">
        <f t="shared" si="18"/>
        <v>Pasta</v>
      </c>
      <c r="F633" t="str">
        <f t="shared" si="19"/>
        <v>Grain</v>
      </c>
      <c r="G633" s="1">
        <v>2.99</v>
      </c>
      <c r="H633" t="s">
        <v>360</v>
      </c>
      <c r="I633" s="3" t="s">
        <v>361</v>
      </c>
    </row>
    <row r="634" spans="1:9" x14ac:dyDescent="0.25">
      <c r="A634" t="s">
        <v>2098</v>
      </c>
      <c r="B634" t="s">
        <v>2099</v>
      </c>
      <c r="C634" t="s">
        <v>2100</v>
      </c>
      <c r="D634" t="str" cm="1">
        <f t="array" ref="D634">_xlfn.TEXTJOIN("", TRUE, IF(ISNUMBER(SEARCH($K$1379:$K$1423, C634)), $K$1379:$K$1423, ""))</f>
        <v>Annie's</v>
      </c>
      <c r="E634" t="str">
        <f t="shared" si="18"/>
        <v>Pasta</v>
      </c>
      <c r="F634" t="str">
        <f t="shared" si="19"/>
        <v>Grain</v>
      </c>
      <c r="G634" s="1">
        <v>2.99</v>
      </c>
      <c r="H634" t="s">
        <v>360</v>
      </c>
      <c r="I634" s="3" t="s">
        <v>361</v>
      </c>
    </row>
    <row r="635" spans="1:9" x14ac:dyDescent="0.25">
      <c r="A635" t="s">
        <v>2101</v>
      </c>
      <c r="B635" t="s">
        <v>2102</v>
      </c>
      <c r="C635" t="s">
        <v>2103</v>
      </c>
      <c r="D635" t="str" cm="1">
        <f t="array" ref="D635">_xlfn.TEXTJOIN("", TRUE, IF(ISNUMBER(SEARCH($K$1379:$K$1423, C635)), $K$1379:$K$1423, ""))</f>
        <v>Annie's</v>
      </c>
      <c r="E635" t="str">
        <f t="shared" si="18"/>
        <v>Pasta</v>
      </c>
      <c r="F635" t="str">
        <f t="shared" si="19"/>
        <v>Grain</v>
      </c>
      <c r="G635" s="1">
        <v>7.99</v>
      </c>
      <c r="H635" t="s">
        <v>1437</v>
      </c>
      <c r="I635" s="3" t="s">
        <v>752</v>
      </c>
    </row>
    <row r="636" spans="1:9" x14ac:dyDescent="0.25">
      <c r="A636" t="s">
        <v>2104</v>
      </c>
      <c r="B636" t="s">
        <v>2105</v>
      </c>
      <c r="C636" t="s">
        <v>2106</v>
      </c>
      <c r="D636" t="str" cm="1">
        <f t="array" ref="D636">_xlfn.TEXTJOIN("", TRUE, IF(ISNUMBER(SEARCH($K$1379:$K$1423, C636)), $K$1379:$K$1423, ""))</f>
        <v>Annie's</v>
      </c>
      <c r="E636" t="str">
        <f t="shared" si="18"/>
        <v>Pasta</v>
      </c>
      <c r="F636" t="str">
        <f t="shared" si="19"/>
        <v>Grain</v>
      </c>
      <c r="G636" s="1">
        <v>5.99</v>
      </c>
      <c r="H636" t="s">
        <v>2107</v>
      </c>
      <c r="I636" s="3" t="s">
        <v>1421</v>
      </c>
    </row>
    <row r="637" spans="1:9" x14ac:dyDescent="0.25">
      <c r="A637" t="s">
        <v>2108</v>
      </c>
      <c r="B637" t="s">
        <v>2109</v>
      </c>
      <c r="C637" t="s">
        <v>2110</v>
      </c>
      <c r="D637" t="str" cm="1">
        <f t="array" ref="D637">_xlfn.TEXTJOIN("", TRUE, IF(ISNUMBER(SEARCH($K$1379:$K$1423, C637)), $K$1379:$K$1423, ""))</f>
        <v>Annie's</v>
      </c>
      <c r="E637" t="str">
        <f t="shared" si="18"/>
        <v>Pasta</v>
      </c>
      <c r="F637" t="str">
        <f t="shared" si="19"/>
        <v>Grain</v>
      </c>
      <c r="G637" s="1">
        <v>9.2899999999999991</v>
      </c>
      <c r="H637" t="s">
        <v>2093</v>
      </c>
      <c r="I637" s="3" t="s">
        <v>2094</v>
      </c>
    </row>
    <row r="638" spans="1:9" x14ac:dyDescent="0.25">
      <c r="A638" t="s">
        <v>2111</v>
      </c>
      <c r="B638" t="s">
        <v>2112</v>
      </c>
      <c r="C638" t="s">
        <v>2113</v>
      </c>
      <c r="D638" t="str" cm="1">
        <f t="array" ref="D638">_xlfn.TEXTJOIN("", TRUE, IF(ISNUMBER(SEARCH($K$1379:$K$1423, C638)), $K$1379:$K$1423, ""))</f>
        <v>Annie's</v>
      </c>
      <c r="E638" t="str">
        <f t="shared" si="18"/>
        <v>Pasta</v>
      </c>
      <c r="F638" t="str">
        <f t="shared" si="19"/>
        <v>Grain</v>
      </c>
      <c r="G638" s="1">
        <v>2.59</v>
      </c>
      <c r="H638" t="s">
        <v>2114</v>
      </c>
      <c r="I638" s="3" t="s">
        <v>2115</v>
      </c>
    </row>
    <row r="639" spans="1:9" x14ac:dyDescent="0.25">
      <c r="A639" t="s">
        <v>2116</v>
      </c>
      <c r="B639" t="s">
        <v>2117</v>
      </c>
      <c r="C639" t="s">
        <v>2118</v>
      </c>
      <c r="D639" t="str" cm="1">
        <f t="array" ref="D639">_xlfn.TEXTJOIN("", TRUE, IF(ISNUMBER(SEARCH($K$1379:$K$1423, C639)), $K$1379:$K$1423, ""))</f>
        <v>Annie's</v>
      </c>
      <c r="E639" t="str">
        <f t="shared" si="18"/>
        <v>Pasta</v>
      </c>
      <c r="F639" t="str">
        <f t="shared" si="19"/>
        <v>Grain</v>
      </c>
      <c r="G639" s="1">
        <v>9.2899999999999991</v>
      </c>
      <c r="H639" t="s">
        <v>2075</v>
      </c>
      <c r="I639" s="3" t="s">
        <v>2076</v>
      </c>
    </row>
    <row r="640" spans="1:9" x14ac:dyDescent="0.25">
      <c r="A640" t="s">
        <v>2119</v>
      </c>
      <c r="B640" t="s">
        <v>2120</v>
      </c>
      <c r="C640" t="s">
        <v>2121</v>
      </c>
      <c r="D640" t="str" cm="1">
        <f t="array" ref="D640">_xlfn.TEXTJOIN("", TRUE, IF(ISNUMBER(SEARCH($K$1379:$K$1423, C640)), $K$1379:$K$1423, ""))</f>
        <v>Annie's</v>
      </c>
      <c r="E640" t="str">
        <f t="shared" si="18"/>
        <v>Pasta</v>
      </c>
      <c r="F640" t="str">
        <f t="shared" si="19"/>
        <v>Grain</v>
      </c>
      <c r="G640" s="1">
        <v>2.99</v>
      </c>
      <c r="H640" t="s">
        <v>360</v>
      </c>
      <c r="I640" s="3" t="s">
        <v>361</v>
      </c>
    </row>
    <row r="641" spans="1:9" x14ac:dyDescent="0.25">
      <c r="A641" t="s">
        <v>2122</v>
      </c>
      <c r="B641" t="s">
        <v>2123</v>
      </c>
      <c r="C641" t="s">
        <v>2124</v>
      </c>
      <c r="D641" t="str" cm="1">
        <f t="array" ref="D641">_xlfn.TEXTJOIN("", TRUE, IF(ISNUMBER(SEARCH($K$1379:$K$1423, C641)), $K$1379:$K$1423, ""))</f>
        <v>Annie's</v>
      </c>
      <c r="E641" t="str">
        <f t="shared" si="18"/>
        <v>Pasta</v>
      </c>
      <c r="F641" t="str">
        <f t="shared" si="19"/>
        <v>Grain</v>
      </c>
      <c r="G641" s="1">
        <v>2.99</v>
      </c>
      <c r="H641" t="s">
        <v>360</v>
      </c>
      <c r="I641" s="3" t="s">
        <v>361</v>
      </c>
    </row>
    <row r="642" spans="1:9" x14ac:dyDescent="0.25">
      <c r="A642" t="s">
        <v>2125</v>
      </c>
      <c r="B642" t="s">
        <v>2126</v>
      </c>
      <c r="C642" t="s">
        <v>2127</v>
      </c>
      <c r="D642" t="str" cm="1">
        <f t="array" ref="D642">_xlfn.TEXTJOIN("", TRUE, IF(ISNUMBER(SEARCH($K$1379:$K$1423, C642)), $K$1379:$K$1423, ""))</f>
        <v>Annie's</v>
      </c>
      <c r="E642" t="str">
        <f t="shared" ref="E642:E705" si="20">IF(OR(D642="Mission",D642="Nature's Own",D642="Sara Lee"),"Bread",
IF(OR(D642="Del Monte",D642="Dole",D642="Mott's"),"Canned Fruit",
IF(OR(D642="Goya",D642="Hunt's",D642="Birds Eye"),"Canned Vegetables",
IF(OR(D642="fairlife",D642="Horizon Organic",D642="Lactaid",D642="Ben &amp; Jerry's"),"Milk",
IF(OR(D642="BelGioioso",D642="Kraft",D642="Philadelphia"),"Cheese",
IF(OR(D642="Chobani",D642="Oikos",D642="Dannon Light + Fit"),"Yogurt",
IF(OR(D642="Barilla",D642="Annie's",D642="Rao's Homemade"),"Pasta",
IF(OR(D642="Hershey's",D642="Lay's",D642="Totino's",D642="Cheerios",D642="Jif",D642="Skippy",D642="Nature Valley",D642="OREO",D642="DiGiorno",D642="Eggo"),"Prepared Food",
IF(OR(D642="Ben's Original",D642="Lundberg",D642="Quaker"),"Rice",
IF(OR(D642="Bush's",D642="Hillshire Farm",D642="Oscar Mayer",D642="SPAM"),"Protein",
IF(OR(D642="Starbucks",D642="Sparkling Ice",D642="Coca-Cola",D642="San Pellegrino",D642="Gatorade",D642="Arizona"),"Beverages",
"Other")))))))))))</f>
        <v>Pasta</v>
      </c>
      <c r="F642" t="str">
        <f t="shared" ref="F642:F705" si="21">IF(OR(E642="Bread",E642="Rice",E642="Pasta"), "Grain",
IF(OR(E642="Milk",E642="Cheese",E642="Yogurt"), "Dairy",
IF(OR(E642="Canned Fruit",E642="Canned Vegetables"), "Fruit &amp; Vegetables",
IF(E642="Prepared Food", "Prepared Food",
IF(E642="Protein", "Protein",
IF(E642="Beverages", "Beverages",
"Other"))))))</f>
        <v>Grain</v>
      </c>
      <c r="G642" s="1">
        <v>4.3899999999999997</v>
      </c>
      <c r="H642" t="s">
        <v>360</v>
      </c>
      <c r="I642" s="3" t="s">
        <v>1860</v>
      </c>
    </row>
    <row r="643" spans="1:9" x14ac:dyDescent="0.25">
      <c r="A643" t="s">
        <v>2128</v>
      </c>
      <c r="B643" t="s">
        <v>2129</v>
      </c>
      <c r="C643" t="s">
        <v>2130</v>
      </c>
      <c r="D643" t="str" cm="1">
        <f t="array" ref="D643">_xlfn.TEXTJOIN("", TRUE, IF(ISNUMBER(SEARCH($K$1379:$K$1423, C643)), $K$1379:$K$1423, ""))</f>
        <v>Annie's</v>
      </c>
      <c r="E643" t="str">
        <f t="shared" si="20"/>
        <v>Pasta</v>
      </c>
      <c r="F643" t="str">
        <f t="shared" si="21"/>
        <v>Grain</v>
      </c>
      <c r="G643" s="1">
        <v>4.3899999999999997</v>
      </c>
      <c r="H643" t="s">
        <v>360</v>
      </c>
      <c r="I643" s="3" t="s">
        <v>1860</v>
      </c>
    </row>
    <row r="644" spans="1:9" x14ac:dyDescent="0.25">
      <c r="A644" t="s">
        <v>2131</v>
      </c>
      <c r="B644" t="s">
        <v>2132</v>
      </c>
      <c r="C644" t="s">
        <v>2133</v>
      </c>
      <c r="D644" t="str" cm="1">
        <f t="array" ref="D644">_xlfn.TEXTJOIN("", TRUE, IF(ISNUMBER(SEARCH($K$1379:$K$1423, C644)), $K$1379:$K$1423, ""))</f>
        <v>Annie's</v>
      </c>
      <c r="E644" t="str">
        <f t="shared" si="20"/>
        <v>Pasta</v>
      </c>
      <c r="F644" t="str">
        <f t="shared" si="21"/>
        <v>Grain</v>
      </c>
      <c r="G644" s="1">
        <v>9.2899999999999991</v>
      </c>
      <c r="H644" t="s">
        <v>2134</v>
      </c>
      <c r="I644" s="3" t="s">
        <v>2135</v>
      </c>
    </row>
    <row r="645" spans="1:9" x14ac:dyDescent="0.25">
      <c r="A645" t="s">
        <v>2136</v>
      </c>
      <c r="B645" t="s">
        <v>2137</v>
      </c>
      <c r="C645" t="s">
        <v>2138</v>
      </c>
      <c r="D645" t="str" cm="1">
        <f t="array" ref="D645">_xlfn.TEXTJOIN("", TRUE, IF(ISNUMBER(SEARCH($K$1379:$K$1423, C645)), $K$1379:$K$1423, ""))</f>
        <v>Annie's</v>
      </c>
      <c r="E645" t="str">
        <f t="shared" si="20"/>
        <v>Pasta</v>
      </c>
      <c r="F645" t="str">
        <f t="shared" si="21"/>
        <v>Grain</v>
      </c>
      <c r="G645" s="1">
        <v>2.99</v>
      </c>
      <c r="H645" t="s">
        <v>2139</v>
      </c>
      <c r="I645" s="3" t="s">
        <v>1421</v>
      </c>
    </row>
    <row r="646" spans="1:9" x14ac:dyDescent="0.25">
      <c r="A646" t="s">
        <v>2140</v>
      </c>
      <c r="B646" t="s">
        <v>2141</v>
      </c>
      <c r="C646" t="s">
        <v>2142</v>
      </c>
      <c r="D646" t="str" cm="1">
        <f t="array" ref="D646">_xlfn.TEXTJOIN("", TRUE, IF(ISNUMBER(SEARCH($K$1379:$K$1423, C646)), $K$1379:$K$1423, ""))</f>
        <v>Annie's</v>
      </c>
      <c r="E646" t="str">
        <f t="shared" si="20"/>
        <v>Pasta</v>
      </c>
      <c r="F646" t="str">
        <f t="shared" si="21"/>
        <v>Grain</v>
      </c>
      <c r="G646" s="1">
        <v>4.3899999999999997</v>
      </c>
      <c r="H646" t="s">
        <v>360</v>
      </c>
      <c r="I646" s="3" t="s">
        <v>1860</v>
      </c>
    </row>
    <row r="647" spans="1:9" x14ac:dyDescent="0.25">
      <c r="A647" t="s">
        <v>2143</v>
      </c>
      <c r="B647" t="s">
        <v>2144</v>
      </c>
      <c r="C647" t="s">
        <v>2145</v>
      </c>
      <c r="D647" t="str" cm="1">
        <f t="array" ref="D647">_xlfn.TEXTJOIN("", TRUE, IF(ISNUMBER(SEARCH($K$1379:$K$1423, C647)), $K$1379:$K$1423, ""))</f>
        <v>Annie's</v>
      </c>
      <c r="E647" t="str">
        <f t="shared" si="20"/>
        <v>Pasta</v>
      </c>
      <c r="F647" t="str">
        <f t="shared" si="21"/>
        <v>Grain</v>
      </c>
      <c r="G647" s="1">
        <v>4.3899999999999997</v>
      </c>
      <c r="H647" t="s">
        <v>360</v>
      </c>
      <c r="I647" s="3" t="s">
        <v>1860</v>
      </c>
    </row>
    <row r="648" spans="1:9" x14ac:dyDescent="0.25">
      <c r="A648" t="s">
        <v>2146</v>
      </c>
      <c r="B648" t="s">
        <v>2147</v>
      </c>
      <c r="C648" t="s">
        <v>2148</v>
      </c>
      <c r="D648" t="str" cm="1">
        <f t="array" ref="D648">_xlfn.TEXTJOIN("", TRUE, IF(ISNUMBER(SEARCH($K$1379:$K$1423, C648)), $K$1379:$K$1423, ""))</f>
        <v>Annie's</v>
      </c>
      <c r="E648" t="str">
        <f t="shared" si="20"/>
        <v>Pasta</v>
      </c>
      <c r="F648" t="str">
        <f t="shared" si="21"/>
        <v>Grain</v>
      </c>
      <c r="G648" s="1">
        <v>4.49</v>
      </c>
      <c r="H648" t="s">
        <v>360</v>
      </c>
      <c r="I648" s="3" t="s">
        <v>2149</v>
      </c>
    </row>
    <row r="649" spans="1:9" x14ac:dyDescent="0.25">
      <c r="A649" t="s">
        <v>2150</v>
      </c>
      <c r="B649" t="s">
        <v>2151</v>
      </c>
      <c r="C649" t="s">
        <v>2152</v>
      </c>
      <c r="D649" t="str" cm="1">
        <f t="array" ref="D649">_xlfn.TEXTJOIN("", TRUE, IF(ISNUMBER(SEARCH($K$1379:$K$1423, C649)), $K$1379:$K$1423, ""))</f>
        <v>Annie's</v>
      </c>
      <c r="E649" t="str">
        <f t="shared" si="20"/>
        <v>Pasta</v>
      </c>
      <c r="F649" t="str">
        <f t="shared" si="21"/>
        <v>Grain</v>
      </c>
      <c r="G649" s="1">
        <v>4.49</v>
      </c>
      <c r="H649" t="s">
        <v>360</v>
      </c>
      <c r="I649" s="3" t="s">
        <v>2149</v>
      </c>
    </row>
    <row r="650" spans="1:9" x14ac:dyDescent="0.25">
      <c r="A650" t="s">
        <v>2153</v>
      </c>
      <c r="B650" t="s">
        <v>2154</v>
      </c>
      <c r="C650" t="s">
        <v>2155</v>
      </c>
      <c r="D650" t="str" cm="1">
        <f t="array" ref="D650">_xlfn.TEXTJOIN("", TRUE, IF(ISNUMBER(SEARCH($K$1379:$K$1423, C650)), $K$1379:$K$1423, ""))</f>
        <v>Annie's</v>
      </c>
      <c r="E650" t="str">
        <f t="shared" si="20"/>
        <v>Pasta</v>
      </c>
      <c r="F650" t="str">
        <f t="shared" si="21"/>
        <v>Grain</v>
      </c>
      <c r="G650" s="1">
        <v>2.99</v>
      </c>
      <c r="H650" t="s">
        <v>360</v>
      </c>
      <c r="I650" s="3" t="s">
        <v>361</v>
      </c>
    </row>
    <row r="651" spans="1:9" x14ac:dyDescent="0.25">
      <c r="A651" t="s">
        <v>2156</v>
      </c>
      <c r="B651" t="s">
        <v>2157</v>
      </c>
      <c r="C651" t="s">
        <v>2158</v>
      </c>
      <c r="D651" t="str" cm="1">
        <f t="array" ref="D651">_xlfn.TEXTJOIN("", TRUE, IF(ISNUMBER(SEARCH($K$1379:$K$1423, C651)), $K$1379:$K$1423, ""))</f>
        <v>Annie's</v>
      </c>
      <c r="E651" t="str">
        <f t="shared" si="20"/>
        <v>Pasta</v>
      </c>
      <c r="F651" t="str">
        <f t="shared" si="21"/>
        <v>Grain</v>
      </c>
      <c r="G651" s="1">
        <v>9.2899999999999991</v>
      </c>
      <c r="H651" t="s">
        <v>2159</v>
      </c>
      <c r="I651" s="3" t="s">
        <v>2160</v>
      </c>
    </row>
    <row r="652" spans="1:9" x14ac:dyDescent="0.25">
      <c r="A652" t="s">
        <v>2161</v>
      </c>
      <c r="B652" t="s">
        <v>2162</v>
      </c>
      <c r="C652" t="s">
        <v>2163</v>
      </c>
      <c r="D652" t="str" cm="1">
        <f t="array" ref="D652">_xlfn.TEXTJOIN("", TRUE, IF(ISNUMBER(SEARCH($K$1379:$K$1423, C652)), $K$1379:$K$1423, ""))</f>
        <v>Rao's Homemade</v>
      </c>
      <c r="E652" t="str">
        <f t="shared" si="20"/>
        <v>Pasta</v>
      </c>
      <c r="F652" t="str">
        <f t="shared" si="21"/>
        <v>Grain</v>
      </c>
      <c r="G652" s="1">
        <v>8.99</v>
      </c>
      <c r="H652" t="s">
        <v>130</v>
      </c>
      <c r="I652" s="3" t="s">
        <v>689</v>
      </c>
    </row>
    <row r="653" spans="1:9" x14ac:dyDescent="0.25">
      <c r="A653" t="s">
        <v>2165</v>
      </c>
      <c r="B653" t="s">
        <v>2166</v>
      </c>
      <c r="C653" t="s">
        <v>2163</v>
      </c>
      <c r="D653" t="str" cm="1">
        <f t="array" ref="D653">_xlfn.TEXTJOIN("", TRUE, IF(ISNUMBER(SEARCH($K$1379:$K$1423, C653)), $K$1379:$K$1423, ""))</f>
        <v>Rao's Homemade</v>
      </c>
      <c r="E653" t="str">
        <f t="shared" si="20"/>
        <v>Pasta</v>
      </c>
      <c r="F653" t="str">
        <f t="shared" si="21"/>
        <v>Grain</v>
      </c>
      <c r="G653" s="1">
        <v>7.99</v>
      </c>
      <c r="H653" t="s">
        <v>2167</v>
      </c>
      <c r="I653" s="3" t="s">
        <v>149</v>
      </c>
    </row>
    <row r="654" spans="1:9" x14ac:dyDescent="0.25">
      <c r="A654" t="s">
        <v>2168</v>
      </c>
      <c r="B654" t="s">
        <v>2169</v>
      </c>
      <c r="C654" t="s">
        <v>2170</v>
      </c>
      <c r="D654" t="str" cm="1">
        <f t="array" ref="D654">_xlfn.TEXTJOIN("", TRUE, IF(ISNUMBER(SEARCH($K$1379:$K$1423, C654)), $K$1379:$K$1423, ""))</f>
        <v>Rao's Homemade</v>
      </c>
      <c r="E654" t="str">
        <f t="shared" si="20"/>
        <v>Pasta</v>
      </c>
      <c r="F654" t="str">
        <f t="shared" si="21"/>
        <v>Grain</v>
      </c>
      <c r="G654" s="1">
        <v>4.29</v>
      </c>
      <c r="H654" t="s">
        <v>2171</v>
      </c>
      <c r="I654" s="3" t="s">
        <v>2172</v>
      </c>
    </row>
    <row r="655" spans="1:9" x14ac:dyDescent="0.25">
      <c r="A655" t="s">
        <v>2173</v>
      </c>
      <c r="B655" t="s">
        <v>2174</v>
      </c>
      <c r="C655" t="s">
        <v>2175</v>
      </c>
      <c r="D655" t="str" cm="1">
        <f t="array" ref="D655">_xlfn.TEXTJOIN("", TRUE, IF(ISNUMBER(SEARCH($K$1379:$K$1423, C655)), $K$1379:$K$1423, ""))</f>
        <v>Rao's Homemade</v>
      </c>
      <c r="E655" t="str">
        <f t="shared" si="20"/>
        <v>Pasta</v>
      </c>
      <c r="F655" t="str">
        <f t="shared" si="21"/>
        <v>Grain</v>
      </c>
      <c r="G655" s="1">
        <v>8.99</v>
      </c>
      <c r="H655" t="s">
        <v>130</v>
      </c>
      <c r="I655" s="3" t="s">
        <v>689</v>
      </c>
    </row>
    <row r="656" spans="1:9" x14ac:dyDescent="0.25">
      <c r="A656" t="s">
        <v>2176</v>
      </c>
      <c r="B656" t="s">
        <v>2177</v>
      </c>
      <c r="C656" t="s">
        <v>2175</v>
      </c>
      <c r="D656" t="str" cm="1">
        <f t="array" ref="D656">_xlfn.TEXTJOIN("", TRUE, IF(ISNUMBER(SEARCH($K$1379:$K$1423, C656)), $K$1379:$K$1423, ""))</f>
        <v>Rao's Homemade</v>
      </c>
      <c r="E656" t="str">
        <f t="shared" si="20"/>
        <v>Pasta</v>
      </c>
      <c r="F656" t="str">
        <f t="shared" si="21"/>
        <v>Grain</v>
      </c>
      <c r="G656" s="1">
        <v>7.99</v>
      </c>
      <c r="H656" t="s">
        <v>2167</v>
      </c>
      <c r="I656" s="3" t="s">
        <v>149</v>
      </c>
    </row>
    <row r="657" spans="1:9" x14ac:dyDescent="0.25">
      <c r="A657" t="s">
        <v>2178</v>
      </c>
      <c r="B657" t="s">
        <v>2179</v>
      </c>
      <c r="C657" t="s">
        <v>2180</v>
      </c>
      <c r="D657" t="str" cm="1">
        <f t="array" ref="D657">_xlfn.TEXTJOIN("", TRUE, IF(ISNUMBER(SEARCH($K$1379:$K$1423, C657)), $K$1379:$K$1423, ""))</f>
        <v>Rao's Homemade</v>
      </c>
      <c r="E657" t="str">
        <f t="shared" si="20"/>
        <v>Pasta</v>
      </c>
      <c r="F657" t="str">
        <f t="shared" si="21"/>
        <v>Grain</v>
      </c>
      <c r="G657" s="1">
        <v>8.99</v>
      </c>
      <c r="H657" t="s">
        <v>130</v>
      </c>
      <c r="I657" s="3" t="s">
        <v>689</v>
      </c>
    </row>
    <row r="658" spans="1:9" x14ac:dyDescent="0.25">
      <c r="A658" t="s">
        <v>2181</v>
      </c>
      <c r="B658" t="s">
        <v>2182</v>
      </c>
      <c r="C658" t="s">
        <v>2183</v>
      </c>
      <c r="D658" t="str" cm="1">
        <f t="array" ref="D658">_xlfn.TEXTJOIN("", TRUE, IF(ISNUMBER(SEARCH($K$1379:$K$1423, C658)), $K$1379:$K$1423, ""))</f>
        <v>Rao's Homemade</v>
      </c>
      <c r="E658" t="str">
        <f t="shared" si="20"/>
        <v>Pasta</v>
      </c>
      <c r="F658" t="str">
        <f t="shared" si="21"/>
        <v>Grain</v>
      </c>
      <c r="G658" s="1">
        <v>8.99</v>
      </c>
      <c r="H658" t="s">
        <v>1143</v>
      </c>
      <c r="I658" s="3" t="s">
        <v>2071</v>
      </c>
    </row>
    <row r="659" spans="1:9" x14ac:dyDescent="0.25">
      <c r="A659" t="s">
        <v>2184</v>
      </c>
      <c r="B659" t="s">
        <v>2185</v>
      </c>
      <c r="C659" t="s">
        <v>2186</v>
      </c>
      <c r="D659" t="str" cm="1">
        <f t="array" ref="D659">_xlfn.TEXTJOIN("", TRUE, IF(ISNUMBER(SEARCH($K$1379:$K$1423, C659)), $K$1379:$K$1423, ""))</f>
        <v>Rao's Homemade</v>
      </c>
      <c r="E659" t="str">
        <f t="shared" si="20"/>
        <v>Pasta</v>
      </c>
      <c r="F659" t="str">
        <f t="shared" si="21"/>
        <v>Grain</v>
      </c>
      <c r="G659" s="1">
        <v>8.99</v>
      </c>
      <c r="H659" t="s">
        <v>130</v>
      </c>
      <c r="I659" s="3" t="s">
        <v>689</v>
      </c>
    </row>
    <row r="660" spans="1:9" x14ac:dyDescent="0.25">
      <c r="A660" t="s">
        <v>2187</v>
      </c>
      <c r="B660" t="s">
        <v>2188</v>
      </c>
      <c r="C660" t="s">
        <v>2189</v>
      </c>
      <c r="D660" t="str" cm="1">
        <f t="array" ref="D660">_xlfn.TEXTJOIN("", TRUE, IF(ISNUMBER(SEARCH($K$1379:$K$1423, C660)), $K$1379:$K$1423, ""))</f>
        <v>Rao's Homemade</v>
      </c>
      <c r="E660" t="str">
        <f t="shared" si="20"/>
        <v>Pasta</v>
      </c>
      <c r="F660" t="str">
        <f t="shared" si="21"/>
        <v>Grain</v>
      </c>
      <c r="G660" s="1">
        <v>8.99</v>
      </c>
      <c r="H660" t="s">
        <v>130</v>
      </c>
      <c r="I660" s="3" t="s">
        <v>689</v>
      </c>
    </row>
    <row r="661" spans="1:9" x14ac:dyDescent="0.25">
      <c r="A661" t="s">
        <v>2190</v>
      </c>
      <c r="B661" t="s">
        <v>2191</v>
      </c>
      <c r="C661" t="s">
        <v>2192</v>
      </c>
      <c r="D661" t="str" cm="1">
        <f t="array" ref="D661">_xlfn.TEXTJOIN("", TRUE, IF(ISNUMBER(SEARCH($K$1379:$K$1423, C661)), $K$1379:$K$1423, ""))</f>
        <v>Rao's Homemade</v>
      </c>
      <c r="E661" t="str">
        <f t="shared" si="20"/>
        <v>Pasta</v>
      </c>
      <c r="F661" t="str">
        <f t="shared" si="21"/>
        <v>Grain</v>
      </c>
      <c r="G661" s="1">
        <v>2.99</v>
      </c>
      <c r="H661" t="s">
        <v>223</v>
      </c>
      <c r="I661" s="3" t="s">
        <v>170</v>
      </c>
    </row>
    <row r="662" spans="1:9" x14ac:dyDescent="0.25">
      <c r="A662" t="s">
        <v>2193</v>
      </c>
      <c r="B662" t="s">
        <v>2194</v>
      </c>
      <c r="C662" t="s">
        <v>2186</v>
      </c>
      <c r="D662" t="str" cm="1">
        <f t="array" ref="D662">_xlfn.TEXTJOIN("", TRUE, IF(ISNUMBER(SEARCH($K$1379:$K$1423, C662)), $K$1379:$K$1423, ""))</f>
        <v>Rao's Homemade</v>
      </c>
      <c r="E662" t="str">
        <f t="shared" si="20"/>
        <v>Pasta</v>
      </c>
      <c r="F662" t="str">
        <f t="shared" si="21"/>
        <v>Grain</v>
      </c>
      <c r="G662" s="1">
        <v>7.99</v>
      </c>
      <c r="H662" t="s">
        <v>2167</v>
      </c>
      <c r="I662" s="3" t="s">
        <v>149</v>
      </c>
    </row>
    <row r="663" spans="1:9" x14ac:dyDescent="0.25">
      <c r="A663" t="s">
        <v>2195</v>
      </c>
      <c r="B663" t="s">
        <v>2196</v>
      </c>
      <c r="C663" t="s">
        <v>2197</v>
      </c>
      <c r="D663" t="str" cm="1">
        <f t="array" ref="D663">_xlfn.TEXTJOIN("", TRUE, IF(ISNUMBER(SEARCH($K$1379:$K$1423, C663)), $K$1379:$K$1423, ""))</f>
        <v>Rao's Homemade</v>
      </c>
      <c r="E663" t="str">
        <f t="shared" si="20"/>
        <v>Pasta</v>
      </c>
      <c r="F663" t="str">
        <f t="shared" si="21"/>
        <v>Grain</v>
      </c>
      <c r="G663" s="1">
        <v>2.99</v>
      </c>
      <c r="H663" t="s">
        <v>1682</v>
      </c>
      <c r="I663" s="3" t="s">
        <v>170</v>
      </c>
    </row>
    <row r="664" spans="1:9" x14ac:dyDescent="0.25">
      <c r="A664" t="s">
        <v>2198</v>
      </c>
      <c r="B664" t="s">
        <v>2199</v>
      </c>
      <c r="C664" t="s">
        <v>4424</v>
      </c>
      <c r="D664" t="str" cm="1">
        <f t="array" ref="D664">_xlfn.TEXTJOIN("", TRUE, IF(ISNUMBER(SEARCH($K$1379:$K$1423, C664)), $K$1379:$K$1423, ""))</f>
        <v>Rao's Homemade</v>
      </c>
      <c r="E664" t="str">
        <f t="shared" si="20"/>
        <v>Pasta</v>
      </c>
      <c r="F664" t="str">
        <f t="shared" si="21"/>
        <v>Grain</v>
      </c>
      <c r="G664" s="1">
        <v>11.99</v>
      </c>
      <c r="H664" t="s">
        <v>2200</v>
      </c>
      <c r="I664" s="3" t="s">
        <v>2201</v>
      </c>
    </row>
    <row r="665" spans="1:9" x14ac:dyDescent="0.25">
      <c r="A665" t="s">
        <v>2202</v>
      </c>
      <c r="B665" t="s">
        <v>2203</v>
      </c>
      <c r="C665" t="s">
        <v>2204</v>
      </c>
      <c r="D665" t="str" cm="1">
        <f t="array" ref="D665">_xlfn.TEXTJOIN("", TRUE, IF(ISNUMBER(SEARCH($K$1379:$K$1423, C665)), $K$1379:$K$1423, ""))</f>
        <v>Rao's Homemade</v>
      </c>
      <c r="E665" t="str">
        <f t="shared" si="20"/>
        <v>Pasta</v>
      </c>
      <c r="F665" t="str">
        <f t="shared" si="21"/>
        <v>Grain</v>
      </c>
      <c r="G665" s="1">
        <v>8.99</v>
      </c>
      <c r="H665" t="s">
        <v>130</v>
      </c>
      <c r="I665" s="3" t="s">
        <v>689</v>
      </c>
    </row>
    <row r="666" spans="1:9" x14ac:dyDescent="0.25">
      <c r="A666" t="s">
        <v>2205</v>
      </c>
      <c r="B666" t="s">
        <v>2206</v>
      </c>
      <c r="C666" t="s">
        <v>2207</v>
      </c>
      <c r="D666" t="str" cm="1">
        <f t="array" ref="D666">_xlfn.TEXTJOIN("", TRUE, IF(ISNUMBER(SEARCH($K$1379:$K$1423, C666)), $K$1379:$K$1423, ""))</f>
        <v>Rao's Homemade</v>
      </c>
      <c r="E666" t="str">
        <f t="shared" si="20"/>
        <v>Pasta</v>
      </c>
      <c r="F666" t="str">
        <f t="shared" si="21"/>
        <v>Grain</v>
      </c>
      <c r="G666" s="1">
        <v>2.99</v>
      </c>
      <c r="H666" t="s">
        <v>1682</v>
      </c>
      <c r="I666" s="3" t="s">
        <v>170</v>
      </c>
    </row>
    <row r="667" spans="1:9" x14ac:dyDescent="0.25">
      <c r="A667" t="s">
        <v>2208</v>
      </c>
      <c r="B667" t="s">
        <v>2209</v>
      </c>
      <c r="C667" t="s">
        <v>4423</v>
      </c>
      <c r="D667" t="str" cm="1">
        <f t="array" ref="D667">_xlfn.TEXTJOIN("", TRUE, IF(ISNUMBER(SEARCH($K$1379:$K$1423, C667)), $K$1379:$K$1423, ""))</f>
        <v>Rao's Homemade</v>
      </c>
      <c r="E667" t="str">
        <f t="shared" si="20"/>
        <v>Pasta</v>
      </c>
      <c r="F667" t="str">
        <f t="shared" si="21"/>
        <v>Grain</v>
      </c>
      <c r="G667" s="1">
        <v>4.8899999999999997</v>
      </c>
      <c r="H667" t="s">
        <v>2210</v>
      </c>
      <c r="I667" s="3" t="s">
        <v>2083</v>
      </c>
    </row>
    <row r="668" spans="1:9" x14ac:dyDescent="0.25">
      <c r="A668" t="s">
        <v>2211</v>
      </c>
      <c r="B668" t="s">
        <v>2212</v>
      </c>
      <c r="C668" t="s">
        <v>4422</v>
      </c>
      <c r="D668" t="str" cm="1">
        <f t="array" ref="D668">_xlfn.TEXTJOIN("", TRUE, IF(ISNUMBER(SEARCH($K$1379:$K$1423, C668)), $K$1379:$K$1423, ""))</f>
        <v>Rao's Homemade</v>
      </c>
      <c r="E668" t="str">
        <f t="shared" si="20"/>
        <v>Pasta</v>
      </c>
      <c r="F668" t="str">
        <f t="shared" si="21"/>
        <v>Grain</v>
      </c>
      <c r="G668" s="1">
        <v>4.8899999999999997</v>
      </c>
      <c r="H668" t="s">
        <v>2213</v>
      </c>
      <c r="I668" s="3" t="s">
        <v>2214</v>
      </c>
    </row>
    <row r="669" spans="1:9" x14ac:dyDescent="0.25">
      <c r="A669" t="s">
        <v>2215</v>
      </c>
      <c r="B669" t="s">
        <v>2216</v>
      </c>
      <c r="C669" t="s">
        <v>2217</v>
      </c>
      <c r="D669" t="str" cm="1">
        <f t="array" ref="D669">_xlfn.TEXTJOIN("", TRUE, IF(ISNUMBER(SEARCH($K$1379:$K$1423, C669)), $K$1379:$K$1423, ""))</f>
        <v>Rao's Homemade</v>
      </c>
      <c r="E669" t="str">
        <f t="shared" si="20"/>
        <v>Pasta</v>
      </c>
      <c r="F669" t="str">
        <f t="shared" si="21"/>
        <v>Grain</v>
      </c>
      <c r="G669" s="1">
        <v>2.99</v>
      </c>
      <c r="H669" t="s">
        <v>1682</v>
      </c>
      <c r="I669" s="3" t="s">
        <v>170</v>
      </c>
    </row>
    <row r="670" spans="1:9" x14ac:dyDescent="0.25">
      <c r="A670" t="s">
        <v>2218</v>
      </c>
      <c r="B670" t="s">
        <v>2219</v>
      </c>
      <c r="C670" t="s">
        <v>4421</v>
      </c>
      <c r="D670" t="str" cm="1">
        <f t="array" ref="D670">_xlfn.TEXTJOIN("", TRUE, IF(ISNUMBER(SEARCH($K$1379:$K$1423, C670)), $K$1379:$K$1423, ""))</f>
        <v>Rao's Homemade</v>
      </c>
      <c r="E670" t="str">
        <f t="shared" si="20"/>
        <v>Pasta</v>
      </c>
      <c r="F670" t="str">
        <f t="shared" si="21"/>
        <v>Grain</v>
      </c>
      <c r="G670" s="1">
        <v>5.79</v>
      </c>
      <c r="H670" t="s">
        <v>1102</v>
      </c>
      <c r="I670" s="3" t="s">
        <v>99</v>
      </c>
    </row>
    <row r="671" spans="1:9" x14ac:dyDescent="0.25">
      <c r="A671" t="s">
        <v>2220</v>
      </c>
      <c r="B671" t="s">
        <v>2221</v>
      </c>
      <c r="C671" t="s">
        <v>2222</v>
      </c>
      <c r="D671" t="str" cm="1">
        <f t="array" ref="D671">_xlfn.TEXTJOIN("", TRUE, IF(ISNUMBER(SEARCH($K$1379:$K$1423, C671)), $K$1379:$K$1423, ""))</f>
        <v>Rao's Homemade</v>
      </c>
      <c r="E671" t="str">
        <f t="shared" si="20"/>
        <v>Pasta</v>
      </c>
      <c r="F671" t="str">
        <f t="shared" si="21"/>
        <v>Grain</v>
      </c>
      <c r="G671" s="1">
        <v>2.99</v>
      </c>
      <c r="H671" t="s">
        <v>223</v>
      </c>
      <c r="I671" s="3" t="s">
        <v>170</v>
      </c>
    </row>
    <row r="672" spans="1:9" x14ac:dyDescent="0.25">
      <c r="A672" t="s">
        <v>2223</v>
      </c>
      <c r="B672" t="s">
        <v>2224</v>
      </c>
      <c r="C672" t="s">
        <v>2225</v>
      </c>
      <c r="D672" t="str" cm="1">
        <f t="array" ref="D672">_xlfn.TEXTJOIN("", TRUE, IF(ISNUMBER(SEARCH($K$1379:$K$1423, C672)), $K$1379:$K$1423, ""))</f>
        <v>Rao's Homemade</v>
      </c>
      <c r="E672" t="str">
        <f t="shared" si="20"/>
        <v>Pasta</v>
      </c>
      <c r="F672" t="str">
        <f t="shared" si="21"/>
        <v>Grain</v>
      </c>
      <c r="G672" s="1">
        <v>8.99</v>
      </c>
      <c r="H672" t="s">
        <v>130</v>
      </c>
      <c r="I672" s="3" t="s">
        <v>689</v>
      </c>
    </row>
    <row r="673" spans="1:9" x14ac:dyDescent="0.25">
      <c r="A673" t="s">
        <v>2226</v>
      </c>
      <c r="B673" t="s">
        <v>2227</v>
      </c>
      <c r="C673" t="s">
        <v>2189</v>
      </c>
      <c r="D673" t="str" cm="1">
        <f t="array" ref="D673">_xlfn.TEXTJOIN("", TRUE, IF(ISNUMBER(SEARCH($K$1379:$K$1423, C673)), $K$1379:$K$1423, ""))</f>
        <v>Rao's Homemade</v>
      </c>
      <c r="E673" t="str">
        <f t="shared" si="20"/>
        <v>Pasta</v>
      </c>
      <c r="F673" t="str">
        <f t="shared" si="21"/>
        <v>Grain</v>
      </c>
      <c r="G673" s="1">
        <v>7.99</v>
      </c>
      <c r="H673" t="s">
        <v>2167</v>
      </c>
      <c r="I673" s="3" t="s">
        <v>149</v>
      </c>
    </row>
    <row r="674" spans="1:9" x14ac:dyDescent="0.25">
      <c r="A674" t="s">
        <v>2228</v>
      </c>
      <c r="B674" t="s">
        <v>2229</v>
      </c>
      <c r="C674" t="s">
        <v>4414</v>
      </c>
      <c r="D674" t="str" cm="1">
        <f t="array" ref="D674">_xlfn.TEXTJOIN("", TRUE, IF(ISNUMBER(SEARCH($K$1379:$K$1423, C674)), $K$1379:$K$1423, ""))</f>
        <v>Rao's Homemade</v>
      </c>
      <c r="E674" t="str">
        <f t="shared" si="20"/>
        <v>Pasta</v>
      </c>
      <c r="F674" t="str">
        <f t="shared" si="21"/>
        <v>Grain</v>
      </c>
      <c r="G674" s="1">
        <v>4.8899999999999997</v>
      </c>
      <c r="H674" t="s">
        <v>2230</v>
      </c>
      <c r="I674" s="3" t="s">
        <v>1724</v>
      </c>
    </row>
    <row r="675" spans="1:9" x14ac:dyDescent="0.25">
      <c r="A675" t="s">
        <v>2231</v>
      </c>
      <c r="B675" t="s">
        <v>2232</v>
      </c>
      <c r="C675" t="s">
        <v>4420</v>
      </c>
      <c r="D675" t="str" cm="1">
        <f t="array" ref="D675">_xlfn.TEXTJOIN("", TRUE, IF(ISNUMBER(SEARCH($K$1379:$K$1423, C675)), $K$1379:$K$1423, ""))</f>
        <v>Rao's Homemade</v>
      </c>
      <c r="E675" t="str">
        <f t="shared" si="20"/>
        <v>Pasta</v>
      </c>
      <c r="F675" t="str">
        <f t="shared" si="21"/>
        <v>Grain</v>
      </c>
      <c r="G675" s="1">
        <v>5.79</v>
      </c>
      <c r="H675" t="s">
        <v>1102</v>
      </c>
      <c r="I675" s="3" t="s">
        <v>99</v>
      </c>
    </row>
    <row r="676" spans="1:9" x14ac:dyDescent="0.25">
      <c r="A676" t="s">
        <v>2233</v>
      </c>
      <c r="B676" t="s">
        <v>2234</v>
      </c>
      <c r="C676" t="s">
        <v>2235</v>
      </c>
      <c r="D676" t="str" cm="1">
        <f t="array" ref="D676">_xlfn.TEXTJOIN("", TRUE, IF(ISNUMBER(SEARCH($K$1379:$K$1423, C676)), $K$1379:$K$1423, ""))</f>
        <v>Rao's Homemade</v>
      </c>
      <c r="E676" t="str">
        <f t="shared" si="20"/>
        <v>Pasta</v>
      </c>
      <c r="F676" t="str">
        <f t="shared" si="21"/>
        <v>Grain</v>
      </c>
      <c r="G676" s="1">
        <v>2.99</v>
      </c>
      <c r="H676" t="s">
        <v>1682</v>
      </c>
      <c r="I676" s="3" t="s">
        <v>170</v>
      </c>
    </row>
    <row r="677" spans="1:9" x14ac:dyDescent="0.25">
      <c r="A677" t="s">
        <v>2236</v>
      </c>
      <c r="B677" t="s">
        <v>2237</v>
      </c>
      <c r="C677" t="s">
        <v>4419</v>
      </c>
      <c r="D677" t="str" cm="1">
        <f t="array" ref="D677">_xlfn.TEXTJOIN("", TRUE, IF(ISNUMBER(SEARCH($K$1379:$K$1423, C677)), $K$1379:$K$1423, ""))</f>
        <v>Rao's Homemade</v>
      </c>
      <c r="E677" t="str">
        <f t="shared" si="20"/>
        <v>Pasta</v>
      </c>
      <c r="F677" t="str">
        <f t="shared" si="21"/>
        <v>Grain</v>
      </c>
      <c r="G677" s="1">
        <v>11.99</v>
      </c>
      <c r="H677" t="s">
        <v>2238</v>
      </c>
      <c r="I677" s="3" t="s">
        <v>2239</v>
      </c>
    </row>
    <row r="678" spans="1:9" x14ac:dyDescent="0.25">
      <c r="A678" t="s">
        <v>2240</v>
      </c>
      <c r="B678" t="s">
        <v>2241</v>
      </c>
      <c r="C678" t="s">
        <v>4418</v>
      </c>
      <c r="D678" t="str" cm="1">
        <f t="array" ref="D678">_xlfn.TEXTJOIN("", TRUE, IF(ISNUMBER(SEARCH($K$1379:$K$1423, C678)), $K$1379:$K$1423, ""))</f>
        <v>Rao's Homemade</v>
      </c>
      <c r="E678" t="str">
        <f t="shared" si="20"/>
        <v>Pasta</v>
      </c>
      <c r="F678" t="str">
        <f t="shared" si="21"/>
        <v>Grain</v>
      </c>
      <c r="G678" s="1">
        <v>12.99</v>
      </c>
      <c r="H678" t="s">
        <v>1267</v>
      </c>
      <c r="I678" s="3" t="s">
        <v>2083</v>
      </c>
    </row>
    <row r="679" spans="1:9" x14ac:dyDescent="0.25">
      <c r="A679" t="s">
        <v>2242</v>
      </c>
      <c r="B679" t="s">
        <v>2243</v>
      </c>
      <c r="C679" t="s">
        <v>4417</v>
      </c>
      <c r="D679" t="str" cm="1">
        <f t="array" ref="D679">_xlfn.TEXTJOIN("", TRUE, IF(ISNUMBER(SEARCH($K$1379:$K$1423, C679)), $K$1379:$K$1423, ""))</f>
        <v>Rao's Homemade</v>
      </c>
      <c r="E679" t="str">
        <f t="shared" si="20"/>
        <v>Pasta</v>
      </c>
      <c r="F679" t="str">
        <f t="shared" si="21"/>
        <v>Grain</v>
      </c>
      <c r="G679" s="1">
        <v>12.99</v>
      </c>
      <c r="H679" t="s">
        <v>2244</v>
      </c>
      <c r="I679" s="3" t="s">
        <v>139</v>
      </c>
    </row>
    <row r="680" spans="1:9" x14ac:dyDescent="0.25">
      <c r="A680" t="s">
        <v>2245</v>
      </c>
      <c r="B680" t="s">
        <v>2246</v>
      </c>
      <c r="C680" t="s">
        <v>4417</v>
      </c>
      <c r="D680" t="str" cm="1">
        <f t="array" ref="D680">_xlfn.TEXTJOIN("", TRUE, IF(ISNUMBER(SEARCH($K$1379:$K$1423, C680)), $K$1379:$K$1423, ""))</f>
        <v>Rao's Homemade</v>
      </c>
      <c r="E680" t="str">
        <f t="shared" si="20"/>
        <v>Pasta</v>
      </c>
      <c r="F680" t="str">
        <f t="shared" si="21"/>
        <v>Grain</v>
      </c>
      <c r="G680" s="1">
        <v>4.8899999999999997</v>
      </c>
      <c r="H680" t="s">
        <v>2210</v>
      </c>
      <c r="I680" s="3" t="s">
        <v>2083</v>
      </c>
    </row>
    <row r="681" spans="1:9" x14ac:dyDescent="0.25">
      <c r="A681" t="s">
        <v>2247</v>
      </c>
      <c r="B681" t="s">
        <v>2248</v>
      </c>
      <c r="C681" t="s">
        <v>2225</v>
      </c>
      <c r="D681" t="str" cm="1">
        <f t="array" ref="D681">_xlfn.TEXTJOIN("", TRUE, IF(ISNUMBER(SEARCH($K$1379:$K$1423, C681)), $K$1379:$K$1423, ""))</f>
        <v>Rao's Homemade</v>
      </c>
      <c r="E681" t="str">
        <f t="shared" si="20"/>
        <v>Pasta</v>
      </c>
      <c r="F681" t="str">
        <f t="shared" si="21"/>
        <v>Grain</v>
      </c>
      <c r="G681" s="1">
        <v>7.99</v>
      </c>
      <c r="H681" t="s">
        <v>2167</v>
      </c>
      <c r="I681" s="3" t="s">
        <v>149</v>
      </c>
    </row>
    <row r="682" spans="1:9" x14ac:dyDescent="0.25">
      <c r="A682" t="s">
        <v>2249</v>
      </c>
      <c r="B682" t="s">
        <v>2250</v>
      </c>
      <c r="C682" t="s">
        <v>2251</v>
      </c>
      <c r="D682" t="str" cm="1">
        <f t="array" ref="D682">_xlfn.TEXTJOIN("", TRUE, IF(ISNUMBER(SEARCH($K$1379:$K$1423, C682)), $K$1379:$K$1423, ""))</f>
        <v>Rao's Homemade</v>
      </c>
      <c r="E682" t="str">
        <f t="shared" si="20"/>
        <v>Pasta</v>
      </c>
      <c r="F682" t="str">
        <f t="shared" si="21"/>
        <v>Grain</v>
      </c>
      <c r="G682" s="1">
        <v>5.49</v>
      </c>
      <c r="H682" t="s">
        <v>2252</v>
      </c>
      <c r="I682" s="3" t="s">
        <v>2253</v>
      </c>
    </row>
    <row r="683" spans="1:9" x14ac:dyDescent="0.25">
      <c r="A683" t="s">
        <v>2254</v>
      </c>
      <c r="B683" t="s">
        <v>2255</v>
      </c>
      <c r="C683" t="s">
        <v>2256</v>
      </c>
      <c r="D683" t="str" cm="1">
        <f t="array" ref="D683">_xlfn.TEXTJOIN("", TRUE, IF(ISNUMBER(SEARCH($K$1379:$K$1423, C683)), $K$1379:$K$1423, ""))</f>
        <v>Rao's Homemade</v>
      </c>
      <c r="E683" t="str">
        <f t="shared" si="20"/>
        <v>Pasta</v>
      </c>
      <c r="F683" t="str">
        <f t="shared" si="21"/>
        <v>Grain</v>
      </c>
      <c r="G683" s="1">
        <v>8.99</v>
      </c>
      <c r="H683" t="s">
        <v>1143</v>
      </c>
      <c r="I683" s="3" t="s">
        <v>2071</v>
      </c>
    </row>
    <row r="684" spans="1:9" x14ac:dyDescent="0.25">
      <c r="A684" t="s">
        <v>2257</v>
      </c>
      <c r="B684" t="s">
        <v>2258</v>
      </c>
      <c r="C684" t="s">
        <v>4416</v>
      </c>
      <c r="D684" t="str" cm="1">
        <f t="array" ref="D684">_xlfn.TEXTJOIN("", TRUE, IF(ISNUMBER(SEARCH($K$1379:$K$1423, C684)), $K$1379:$K$1423, ""))</f>
        <v>Rao's Homemade</v>
      </c>
      <c r="E684" t="str">
        <f t="shared" si="20"/>
        <v>Pasta</v>
      </c>
      <c r="F684" t="str">
        <f t="shared" si="21"/>
        <v>Grain</v>
      </c>
      <c r="G684" s="1">
        <v>8.99</v>
      </c>
      <c r="H684" t="s">
        <v>130</v>
      </c>
      <c r="I684" s="3" t="s">
        <v>689</v>
      </c>
    </row>
    <row r="685" spans="1:9" x14ac:dyDescent="0.25">
      <c r="A685" t="s">
        <v>2259</v>
      </c>
      <c r="B685" t="s">
        <v>2260</v>
      </c>
      <c r="C685" t="s">
        <v>2261</v>
      </c>
      <c r="D685" t="str" cm="1">
        <f t="array" ref="D685">_xlfn.TEXTJOIN("", TRUE, IF(ISNUMBER(SEARCH($K$1379:$K$1423, C685)), $K$1379:$K$1423, ""))</f>
        <v>Rao's Homemade</v>
      </c>
      <c r="E685" t="str">
        <f t="shared" si="20"/>
        <v>Pasta</v>
      </c>
      <c r="F685" t="str">
        <f t="shared" si="21"/>
        <v>Grain</v>
      </c>
      <c r="G685" s="1">
        <v>4.29</v>
      </c>
      <c r="H685" t="s">
        <v>2171</v>
      </c>
      <c r="I685" s="3" t="s">
        <v>2172</v>
      </c>
    </row>
    <row r="686" spans="1:9" x14ac:dyDescent="0.25">
      <c r="A686" t="s">
        <v>2262</v>
      </c>
      <c r="B686" t="s">
        <v>2263</v>
      </c>
      <c r="C686" t="s">
        <v>2264</v>
      </c>
      <c r="D686" t="str" cm="1">
        <f t="array" ref="D686">_xlfn.TEXTJOIN("", TRUE, IF(ISNUMBER(SEARCH($K$1379:$K$1423, C686)), $K$1379:$K$1423, ""))</f>
        <v>Rao's Homemade</v>
      </c>
      <c r="E686" t="str">
        <f t="shared" si="20"/>
        <v>Pasta</v>
      </c>
      <c r="F686" t="str">
        <f t="shared" si="21"/>
        <v>Grain</v>
      </c>
      <c r="G686" s="1">
        <v>8.99</v>
      </c>
      <c r="H686" t="s">
        <v>130</v>
      </c>
      <c r="I686" s="3" t="s">
        <v>689</v>
      </c>
    </row>
    <row r="687" spans="1:9" x14ac:dyDescent="0.25">
      <c r="A687" t="s">
        <v>2265</v>
      </c>
      <c r="B687" t="s">
        <v>2266</v>
      </c>
      <c r="C687" t="s">
        <v>2267</v>
      </c>
      <c r="D687" t="str" cm="1">
        <f t="array" ref="D687">_xlfn.TEXTJOIN("", TRUE, IF(ISNUMBER(SEARCH($K$1379:$K$1423, C687)), $K$1379:$K$1423, ""))</f>
        <v>Rao's Homemade</v>
      </c>
      <c r="E687" t="str">
        <f t="shared" si="20"/>
        <v>Pasta</v>
      </c>
      <c r="F687" t="str">
        <f t="shared" si="21"/>
        <v>Grain</v>
      </c>
      <c r="G687" s="1">
        <v>2.99</v>
      </c>
      <c r="H687" t="s">
        <v>223</v>
      </c>
      <c r="I687" s="3" t="s">
        <v>170</v>
      </c>
    </row>
    <row r="688" spans="1:9" x14ac:dyDescent="0.25">
      <c r="A688" t="s">
        <v>2268</v>
      </c>
      <c r="B688" t="s">
        <v>2269</v>
      </c>
      <c r="C688" t="s">
        <v>4415</v>
      </c>
      <c r="D688" t="str" cm="1">
        <f t="array" ref="D688">_xlfn.TEXTJOIN("", TRUE, IF(ISNUMBER(SEARCH($K$1379:$K$1423, C688)), $K$1379:$K$1423, ""))</f>
        <v>Rao's Homemade</v>
      </c>
      <c r="E688" t="str">
        <f t="shared" si="20"/>
        <v>Pasta</v>
      </c>
      <c r="F688" t="str">
        <f t="shared" si="21"/>
        <v>Grain</v>
      </c>
      <c r="G688" s="1">
        <v>4.8899999999999997</v>
      </c>
      <c r="H688" t="s">
        <v>2270</v>
      </c>
      <c r="I688" s="3" t="s">
        <v>1724</v>
      </c>
    </row>
    <row r="689" spans="1:9" x14ac:dyDescent="0.25">
      <c r="A689" t="s">
        <v>2271</v>
      </c>
      <c r="B689" t="s">
        <v>2272</v>
      </c>
      <c r="C689" t="s">
        <v>4414</v>
      </c>
      <c r="D689" t="str" cm="1">
        <f t="array" ref="D689">_xlfn.TEXTJOIN("", TRUE, IF(ISNUMBER(SEARCH($K$1379:$K$1423, C689)), $K$1379:$K$1423, ""))</f>
        <v>Rao's Homemade</v>
      </c>
      <c r="E689" t="str">
        <f t="shared" si="20"/>
        <v>Pasta</v>
      </c>
      <c r="F689" t="str">
        <f t="shared" si="21"/>
        <v>Grain</v>
      </c>
      <c r="G689" s="1">
        <v>12.99</v>
      </c>
      <c r="H689" t="s">
        <v>2273</v>
      </c>
      <c r="I689" s="3" t="s">
        <v>2274</v>
      </c>
    </row>
    <row r="690" spans="1:9" x14ac:dyDescent="0.25">
      <c r="A690" t="s">
        <v>2275</v>
      </c>
      <c r="B690" t="s">
        <v>2276</v>
      </c>
      <c r="C690" t="s">
        <v>4413</v>
      </c>
      <c r="D690" t="str" cm="1">
        <f t="array" ref="D690">_xlfn.TEXTJOIN("", TRUE, IF(ISNUMBER(SEARCH($K$1379:$K$1423, C690)), $K$1379:$K$1423, ""))</f>
        <v>Rao's Homemade</v>
      </c>
      <c r="E690" t="str">
        <f t="shared" si="20"/>
        <v>Pasta</v>
      </c>
      <c r="F690" t="str">
        <f t="shared" si="21"/>
        <v>Grain</v>
      </c>
      <c r="G690" s="1">
        <v>4.8899999999999997</v>
      </c>
      <c r="H690" t="s">
        <v>2213</v>
      </c>
      <c r="I690" s="3" t="s">
        <v>2214</v>
      </c>
    </row>
    <row r="691" spans="1:9" x14ac:dyDescent="0.25">
      <c r="A691" t="s">
        <v>2277</v>
      </c>
      <c r="B691" t="s">
        <v>2278</v>
      </c>
      <c r="C691" t="s">
        <v>4412</v>
      </c>
      <c r="D691" t="str" cm="1">
        <f t="array" ref="D691">_xlfn.TEXTJOIN("", TRUE, IF(ISNUMBER(SEARCH($K$1379:$K$1423, C691)), $K$1379:$K$1423, ""))</f>
        <v>Rao's Homemade</v>
      </c>
      <c r="E691" t="str">
        <f t="shared" si="20"/>
        <v>Pasta</v>
      </c>
      <c r="F691" t="str">
        <f t="shared" si="21"/>
        <v>Grain</v>
      </c>
      <c r="G691" s="1">
        <v>5.79</v>
      </c>
      <c r="H691" t="s">
        <v>1102</v>
      </c>
      <c r="I691" s="3" t="s">
        <v>99</v>
      </c>
    </row>
    <row r="692" spans="1:9" x14ac:dyDescent="0.25">
      <c r="A692" t="s">
        <v>2279</v>
      </c>
      <c r="B692" t="s">
        <v>2280</v>
      </c>
      <c r="C692" t="s">
        <v>4411</v>
      </c>
      <c r="D692" t="str" cm="1">
        <f t="array" ref="D692">_xlfn.TEXTJOIN("", TRUE, IF(ISNUMBER(SEARCH($K$1379:$K$1423, C692)), $K$1379:$K$1423, ""))</f>
        <v>Rao's Homemade</v>
      </c>
      <c r="E692" t="str">
        <f t="shared" si="20"/>
        <v>Pasta</v>
      </c>
      <c r="F692" t="str">
        <f t="shared" si="21"/>
        <v>Grain</v>
      </c>
      <c r="G692" s="1">
        <v>5.79</v>
      </c>
      <c r="H692" t="s">
        <v>1102</v>
      </c>
      <c r="I692" s="3" t="s">
        <v>99</v>
      </c>
    </row>
    <row r="693" spans="1:9" x14ac:dyDescent="0.25">
      <c r="A693" t="s">
        <v>2281</v>
      </c>
      <c r="B693" t="s">
        <v>2282</v>
      </c>
      <c r="C693" t="s">
        <v>2283</v>
      </c>
      <c r="D693" t="str" cm="1">
        <f t="array" ref="D693">_xlfn.TEXTJOIN("", TRUE, IF(ISNUMBER(SEARCH($K$1379:$K$1423, C693)), $K$1379:$K$1423, ""))</f>
        <v>Rao's Homemade</v>
      </c>
      <c r="E693" t="str">
        <f t="shared" si="20"/>
        <v>Pasta</v>
      </c>
      <c r="F693" t="str">
        <f t="shared" si="21"/>
        <v>Grain</v>
      </c>
      <c r="G693" s="1">
        <v>8.99</v>
      </c>
      <c r="H693" t="s">
        <v>1143</v>
      </c>
      <c r="I693" s="3" t="s">
        <v>2071</v>
      </c>
    </row>
    <row r="694" spans="1:9" x14ac:dyDescent="0.25">
      <c r="A694" t="s">
        <v>2284</v>
      </c>
      <c r="B694" t="s">
        <v>2285</v>
      </c>
      <c r="C694" t="s">
        <v>4410</v>
      </c>
      <c r="D694" t="str" cm="1">
        <f t="array" ref="D694">_xlfn.TEXTJOIN("", TRUE, IF(ISNUMBER(SEARCH($K$1379:$K$1423, C694)), $K$1379:$K$1423, ""))</f>
        <v>Rao's Homemade</v>
      </c>
      <c r="E694" t="str">
        <f t="shared" si="20"/>
        <v>Pasta</v>
      </c>
      <c r="F694" t="str">
        <f t="shared" si="21"/>
        <v>Grain</v>
      </c>
      <c r="G694" s="1">
        <v>8.99</v>
      </c>
      <c r="H694" t="s">
        <v>130</v>
      </c>
      <c r="I694" s="3" t="s">
        <v>689</v>
      </c>
    </row>
    <row r="695" spans="1:9" x14ac:dyDescent="0.25">
      <c r="A695" t="s">
        <v>2286</v>
      </c>
      <c r="B695" t="s">
        <v>2287</v>
      </c>
      <c r="C695" t="s">
        <v>4409</v>
      </c>
      <c r="D695" t="str" cm="1">
        <f t="array" ref="D695">_xlfn.TEXTJOIN("", TRUE, IF(ISNUMBER(SEARCH($K$1379:$K$1423, C695)), $K$1379:$K$1423, ""))</f>
        <v>Rao's Homemade</v>
      </c>
      <c r="E695" t="str">
        <f t="shared" si="20"/>
        <v>Pasta</v>
      </c>
      <c r="F695" t="str">
        <f t="shared" si="21"/>
        <v>Grain</v>
      </c>
      <c r="G695" s="1">
        <v>4.8899999999999997</v>
      </c>
      <c r="H695" t="s">
        <v>2210</v>
      </c>
      <c r="I695" s="3" t="s">
        <v>2083</v>
      </c>
    </row>
    <row r="696" spans="1:9" x14ac:dyDescent="0.25">
      <c r="A696" t="s">
        <v>2288</v>
      </c>
      <c r="B696" t="s">
        <v>2289</v>
      </c>
      <c r="C696" t="s">
        <v>2290</v>
      </c>
      <c r="D696" t="str" cm="1">
        <f t="array" ref="D696">_xlfn.TEXTJOIN("", TRUE, IF(ISNUMBER(SEARCH($K$1379:$K$1423, C696)), $K$1379:$K$1423, ""))</f>
        <v>Rao's Homemade</v>
      </c>
      <c r="E696" t="str">
        <f t="shared" si="20"/>
        <v>Pasta</v>
      </c>
      <c r="F696" t="str">
        <f t="shared" si="21"/>
        <v>Grain</v>
      </c>
      <c r="G696" s="1">
        <v>8.99</v>
      </c>
      <c r="H696" t="s">
        <v>130</v>
      </c>
      <c r="I696" s="3" t="s">
        <v>689</v>
      </c>
    </row>
    <row r="697" spans="1:9" x14ac:dyDescent="0.25">
      <c r="A697" t="s">
        <v>2291</v>
      </c>
      <c r="B697" t="s">
        <v>2292</v>
      </c>
      <c r="C697" t="s">
        <v>2293</v>
      </c>
      <c r="D697" t="str" cm="1">
        <f t="array" ref="D697">_xlfn.TEXTJOIN("", TRUE, IF(ISNUMBER(SEARCH($K$1379:$K$1423, C697)), $K$1379:$K$1423, ""))</f>
        <v>Rao's Homemade</v>
      </c>
      <c r="E697" t="str">
        <f t="shared" si="20"/>
        <v>Pasta</v>
      </c>
      <c r="F697" t="str">
        <f t="shared" si="21"/>
        <v>Grain</v>
      </c>
      <c r="G697" s="1">
        <v>8.99</v>
      </c>
      <c r="H697" t="s">
        <v>130</v>
      </c>
      <c r="I697" s="3" t="s">
        <v>689</v>
      </c>
    </row>
    <row r="698" spans="1:9" x14ac:dyDescent="0.25">
      <c r="A698" t="s">
        <v>2294</v>
      </c>
      <c r="B698" t="s">
        <v>2295</v>
      </c>
      <c r="C698" t="s">
        <v>2296</v>
      </c>
      <c r="D698" t="str" cm="1">
        <f t="array" ref="D698">_xlfn.TEXTJOIN("", TRUE, IF(ISNUMBER(SEARCH($K$1379:$K$1423, C698)), $K$1379:$K$1423, ""))</f>
        <v>Rao's Homemade</v>
      </c>
      <c r="E698" t="str">
        <f t="shared" si="20"/>
        <v>Pasta</v>
      </c>
      <c r="F698" t="str">
        <f t="shared" si="21"/>
        <v>Grain</v>
      </c>
      <c r="G698" s="1">
        <v>5.49</v>
      </c>
      <c r="H698" t="s">
        <v>2252</v>
      </c>
      <c r="I698" s="3" t="s">
        <v>2253</v>
      </c>
    </row>
    <row r="699" spans="1:9" x14ac:dyDescent="0.25">
      <c r="A699" t="s">
        <v>2297</v>
      </c>
      <c r="B699" t="s">
        <v>2298</v>
      </c>
      <c r="C699" t="s">
        <v>4408</v>
      </c>
      <c r="D699" t="str" cm="1">
        <f t="array" ref="D699">_xlfn.TEXTJOIN("", TRUE, IF(ISNUMBER(SEARCH($K$1379:$K$1423, C699)), $K$1379:$K$1423, ""))</f>
        <v>Rao's Homemade</v>
      </c>
      <c r="E699" t="str">
        <f t="shared" si="20"/>
        <v>Pasta</v>
      </c>
      <c r="F699" t="str">
        <f t="shared" si="21"/>
        <v>Grain</v>
      </c>
      <c r="G699" s="1">
        <v>12.99</v>
      </c>
      <c r="H699" t="s">
        <v>1540</v>
      </c>
      <c r="I699" s="3" t="s">
        <v>2274</v>
      </c>
    </row>
    <row r="700" spans="1:9" x14ac:dyDescent="0.25">
      <c r="A700" t="s">
        <v>2299</v>
      </c>
      <c r="B700" t="s">
        <v>2300</v>
      </c>
      <c r="C700" t="s">
        <v>4407</v>
      </c>
      <c r="D700" t="str" cm="1">
        <f t="array" ref="D700">_xlfn.TEXTJOIN("", TRUE, IF(ISNUMBER(SEARCH($K$1379:$K$1423, C700)), $K$1379:$K$1423, ""))</f>
        <v>Rao's Homemade</v>
      </c>
      <c r="E700" t="str">
        <f t="shared" si="20"/>
        <v>Pasta</v>
      </c>
      <c r="F700" t="str">
        <f t="shared" si="21"/>
        <v>Grain</v>
      </c>
      <c r="G700" s="1">
        <v>11.99</v>
      </c>
      <c r="H700" t="s">
        <v>2301</v>
      </c>
      <c r="I700" s="3" t="s">
        <v>1724</v>
      </c>
    </row>
    <row r="701" spans="1:9" x14ac:dyDescent="0.25">
      <c r="A701" t="s">
        <v>2302</v>
      </c>
      <c r="B701" t="s">
        <v>2303</v>
      </c>
      <c r="C701" t="s">
        <v>4406</v>
      </c>
      <c r="D701" t="str" cm="1">
        <f t="array" ref="D701">_xlfn.TEXTJOIN("", TRUE, IF(ISNUMBER(SEARCH($K$1379:$K$1423, C701)), $K$1379:$K$1423, ""))</f>
        <v>Rao's Homemade</v>
      </c>
      <c r="E701" t="str">
        <f t="shared" si="20"/>
        <v>Pasta</v>
      </c>
      <c r="F701" t="str">
        <f t="shared" si="21"/>
        <v>Grain</v>
      </c>
      <c r="G701" s="1">
        <v>11.99</v>
      </c>
      <c r="H701" t="s">
        <v>2304</v>
      </c>
      <c r="I701" s="3" t="s">
        <v>2305</v>
      </c>
    </row>
    <row r="702" spans="1:9" x14ac:dyDescent="0.25">
      <c r="A702" t="s">
        <v>2306</v>
      </c>
      <c r="B702" t="s">
        <v>2307</v>
      </c>
      <c r="C702" t="s">
        <v>4405</v>
      </c>
      <c r="D702" t="str" cm="1">
        <f t="array" ref="D702">_xlfn.TEXTJOIN("", TRUE, IF(ISNUMBER(SEARCH($K$1379:$K$1423, C702)), $K$1379:$K$1423, ""))</f>
        <v>Rao's Homemade</v>
      </c>
      <c r="E702" t="str">
        <f t="shared" si="20"/>
        <v>Pasta</v>
      </c>
      <c r="F702" t="str">
        <f t="shared" si="21"/>
        <v>Grain</v>
      </c>
      <c r="G702" s="1">
        <v>5.79</v>
      </c>
      <c r="H702" t="s">
        <v>1102</v>
      </c>
      <c r="I702" s="3" t="s">
        <v>99</v>
      </c>
    </row>
    <row r="703" spans="1:9" x14ac:dyDescent="0.25">
      <c r="A703" t="s">
        <v>2308</v>
      </c>
      <c r="B703" t="s">
        <v>2309</v>
      </c>
      <c r="C703" t="s">
        <v>2310</v>
      </c>
      <c r="D703" t="str" cm="1">
        <f t="array" ref="D703">_xlfn.TEXTJOIN("", TRUE, IF(ISNUMBER(SEARCH($K$1379:$K$1423, C703)), $K$1379:$K$1423, ""))</f>
        <v>Rao's Homemade</v>
      </c>
      <c r="E703" t="str">
        <f t="shared" si="20"/>
        <v>Pasta</v>
      </c>
      <c r="F703" t="str">
        <f t="shared" si="21"/>
        <v>Grain</v>
      </c>
      <c r="G703" s="1">
        <v>4.29</v>
      </c>
      <c r="H703" t="s">
        <v>2171</v>
      </c>
      <c r="I703" s="3" t="s">
        <v>2172</v>
      </c>
    </row>
    <row r="704" spans="1:9" x14ac:dyDescent="0.25">
      <c r="A704" t="s">
        <v>2311</v>
      </c>
      <c r="B704" t="s">
        <v>2312</v>
      </c>
      <c r="C704" t="s">
        <v>2313</v>
      </c>
      <c r="D704" t="str" cm="1">
        <f t="array" ref="D704">_xlfn.TEXTJOIN("", TRUE, IF(ISNUMBER(SEARCH($K$1379:$K$1423, C704)), $K$1379:$K$1423, ""))</f>
        <v>Rao's Homemade</v>
      </c>
      <c r="E704" t="str">
        <f t="shared" si="20"/>
        <v>Pasta</v>
      </c>
      <c r="F704" t="str">
        <f t="shared" si="21"/>
        <v>Grain</v>
      </c>
      <c r="G704" s="1">
        <v>8.99</v>
      </c>
      <c r="H704" t="s">
        <v>130</v>
      </c>
      <c r="I704" s="3" t="s">
        <v>689</v>
      </c>
    </row>
    <row r="705" spans="1:9" x14ac:dyDescent="0.25">
      <c r="A705" t="s">
        <v>2314</v>
      </c>
      <c r="B705" t="s">
        <v>2315</v>
      </c>
      <c r="C705" t="s">
        <v>2316</v>
      </c>
      <c r="D705" t="str" cm="1">
        <f t="array" ref="D705">_xlfn.TEXTJOIN("", TRUE, IF(ISNUMBER(SEARCH($K$1379:$K$1423, C705)), $K$1379:$K$1423, ""))</f>
        <v>Rao's Homemade</v>
      </c>
      <c r="E705" t="str">
        <f t="shared" si="20"/>
        <v>Pasta</v>
      </c>
      <c r="F705" t="str">
        <f t="shared" si="21"/>
        <v>Grain</v>
      </c>
      <c r="G705" s="1">
        <v>8.99</v>
      </c>
      <c r="H705" t="s">
        <v>1143</v>
      </c>
      <c r="I705" s="3" t="s">
        <v>2071</v>
      </c>
    </row>
    <row r="706" spans="1:9" x14ac:dyDescent="0.25">
      <c r="A706" t="s">
        <v>2317</v>
      </c>
      <c r="B706" t="s">
        <v>2318</v>
      </c>
      <c r="C706" t="s">
        <v>4404</v>
      </c>
      <c r="D706" t="str" cm="1">
        <f t="array" ref="D706">_xlfn.TEXTJOIN("", TRUE, IF(ISNUMBER(SEARCH($K$1379:$K$1423, C706)), $K$1379:$K$1423, ""))</f>
        <v>Rao's Homemade</v>
      </c>
      <c r="E706" t="str">
        <f t="shared" ref="E706:E769" si="22">IF(OR(D706="Mission",D706="Nature's Own",D706="Sara Lee"),"Bread",
IF(OR(D706="Del Monte",D706="Dole",D706="Mott's"),"Canned Fruit",
IF(OR(D706="Goya",D706="Hunt's",D706="Birds Eye"),"Canned Vegetables",
IF(OR(D706="fairlife",D706="Horizon Organic",D706="Lactaid",D706="Ben &amp; Jerry's"),"Milk",
IF(OR(D706="BelGioioso",D706="Kraft",D706="Philadelphia"),"Cheese",
IF(OR(D706="Chobani",D706="Oikos",D706="Dannon Light + Fit"),"Yogurt",
IF(OR(D706="Barilla",D706="Annie's",D706="Rao's Homemade"),"Pasta",
IF(OR(D706="Hershey's",D706="Lay's",D706="Totino's",D706="Cheerios",D706="Jif",D706="Skippy",D706="Nature Valley",D706="OREO",D706="DiGiorno",D706="Eggo"),"Prepared Food",
IF(OR(D706="Ben's Original",D706="Lundberg",D706="Quaker"),"Rice",
IF(OR(D706="Bush's",D706="Hillshire Farm",D706="Oscar Mayer",D706="SPAM"),"Protein",
IF(OR(D706="Starbucks",D706="Sparkling Ice",D706="Coca-Cola",D706="San Pellegrino",D706="Gatorade",D706="Arizona"),"Beverages",
"Other")))))))))))</f>
        <v>Pasta</v>
      </c>
      <c r="F706" t="str">
        <f t="shared" ref="F706:F769" si="23">IF(OR(E706="Bread",E706="Rice",E706="Pasta"), "Grain",
IF(OR(E706="Milk",E706="Cheese",E706="Yogurt"), "Dairy",
IF(OR(E706="Canned Fruit",E706="Canned Vegetables"), "Fruit &amp; Vegetables",
IF(E706="Prepared Food", "Prepared Food",
IF(E706="Protein", "Protein",
IF(E706="Beverages", "Beverages",
"Other"))))))</f>
        <v>Grain</v>
      </c>
      <c r="G706" s="1">
        <v>12.99</v>
      </c>
      <c r="H706" t="s">
        <v>2273</v>
      </c>
      <c r="I706" s="3" t="s">
        <v>2274</v>
      </c>
    </row>
    <row r="707" spans="1:9" x14ac:dyDescent="0.25">
      <c r="A707" t="s">
        <v>2319</v>
      </c>
      <c r="B707" t="s">
        <v>2320</v>
      </c>
      <c r="C707" t="s">
        <v>2321</v>
      </c>
      <c r="D707" t="str" cm="1">
        <f t="array" ref="D707">_xlfn.TEXTJOIN("", TRUE, IF(ISNUMBER(SEARCH($K$1379:$K$1423, C707)), $K$1379:$K$1423, ""))</f>
        <v>Rao's Homemade</v>
      </c>
      <c r="E707" t="str">
        <f t="shared" si="22"/>
        <v>Pasta</v>
      </c>
      <c r="F707" t="str">
        <f t="shared" si="23"/>
        <v>Grain</v>
      </c>
      <c r="G707" s="1">
        <v>8.99</v>
      </c>
      <c r="H707" t="s">
        <v>130</v>
      </c>
      <c r="I707" s="3" t="s">
        <v>689</v>
      </c>
    </row>
    <row r="708" spans="1:9" x14ac:dyDescent="0.25">
      <c r="A708" t="s">
        <v>2322</v>
      </c>
      <c r="B708" t="s">
        <v>2323</v>
      </c>
      <c r="C708" t="s">
        <v>2324</v>
      </c>
      <c r="D708" t="str" cm="1">
        <f t="array" ref="D708">_xlfn.TEXTJOIN("", TRUE, IF(ISNUMBER(SEARCH($K$1379:$K$1423, C708)), $K$1379:$K$1423, ""))</f>
        <v>Rao's Homemade</v>
      </c>
      <c r="E708" t="str">
        <f t="shared" si="22"/>
        <v>Pasta</v>
      </c>
      <c r="F708" t="str">
        <f t="shared" si="23"/>
        <v>Grain</v>
      </c>
      <c r="G708" s="1">
        <v>8.99</v>
      </c>
      <c r="H708" t="s">
        <v>130</v>
      </c>
      <c r="I708" s="3" t="s">
        <v>689</v>
      </c>
    </row>
    <row r="709" spans="1:9" x14ac:dyDescent="0.25">
      <c r="A709" t="s">
        <v>2325</v>
      </c>
      <c r="B709" t="s">
        <v>2326</v>
      </c>
      <c r="C709" t="s">
        <v>2327</v>
      </c>
      <c r="D709" t="str" cm="1">
        <f t="array" ref="D709">_xlfn.TEXTJOIN("", TRUE, IF(ISNUMBER(SEARCH($K$1379:$K$1423, C709)), $K$1379:$K$1423, ""))</f>
        <v>Rao's Homemade</v>
      </c>
      <c r="E709" t="str">
        <f t="shared" si="22"/>
        <v>Pasta</v>
      </c>
      <c r="F709" t="str">
        <f t="shared" si="23"/>
        <v>Grain</v>
      </c>
      <c r="G709" s="1">
        <v>6.74</v>
      </c>
      <c r="H709" t="s">
        <v>1143</v>
      </c>
      <c r="I709" s="3" t="s">
        <v>2328</v>
      </c>
    </row>
    <row r="710" spans="1:9" x14ac:dyDescent="0.25">
      <c r="A710" t="s">
        <v>2329</v>
      </c>
      <c r="B710" t="s">
        <v>2330</v>
      </c>
      <c r="C710" t="s">
        <v>2331</v>
      </c>
      <c r="D710" t="str" cm="1">
        <f t="array" ref="D710">_xlfn.TEXTJOIN("", TRUE, IF(ISNUMBER(SEARCH($K$1379:$K$1423, C710)), $K$1379:$K$1423, ""))</f>
        <v>Oikos</v>
      </c>
      <c r="E710" t="str">
        <f t="shared" si="22"/>
        <v>Yogurt</v>
      </c>
      <c r="F710" t="str">
        <f t="shared" si="23"/>
        <v>Dairy</v>
      </c>
      <c r="G710" s="1">
        <v>1.79</v>
      </c>
      <c r="H710" t="s">
        <v>502</v>
      </c>
      <c r="I710" s="3" t="s">
        <v>1707</v>
      </c>
    </row>
    <row r="711" spans="1:9" x14ac:dyDescent="0.25">
      <c r="A711" t="s">
        <v>2333</v>
      </c>
      <c r="B711" t="s">
        <v>2334</v>
      </c>
      <c r="C711" t="s">
        <v>2335</v>
      </c>
      <c r="D711" t="str" cm="1">
        <f t="array" ref="D711">_xlfn.TEXTJOIN("", TRUE, IF(ISNUMBER(SEARCH($K$1379:$K$1423, C711)), $K$1379:$K$1423, ""))</f>
        <v>Oikos</v>
      </c>
      <c r="E711" t="str">
        <f t="shared" si="22"/>
        <v>Yogurt</v>
      </c>
      <c r="F711" t="str">
        <f t="shared" si="23"/>
        <v>Dairy</v>
      </c>
      <c r="G711" s="1">
        <v>5.49</v>
      </c>
      <c r="H711" t="s">
        <v>550</v>
      </c>
      <c r="I711" s="3" t="s">
        <v>551</v>
      </c>
    </row>
    <row r="712" spans="1:9" x14ac:dyDescent="0.25">
      <c r="A712" t="s">
        <v>2336</v>
      </c>
      <c r="B712" t="s">
        <v>2337</v>
      </c>
      <c r="C712" t="s">
        <v>2338</v>
      </c>
      <c r="D712" t="str" cm="1">
        <f t="array" ref="D712">_xlfn.TEXTJOIN("", TRUE, IF(ISNUMBER(SEARCH($K$1379:$K$1423, C712)), $K$1379:$K$1423, ""))</f>
        <v>Oikos</v>
      </c>
      <c r="E712" t="str">
        <f t="shared" si="22"/>
        <v>Yogurt</v>
      </c>
      <c r="F712" t="str">
        <f t="shared" si="23"/>
        <v>Dairy</v>
      </c>
      <c r="G712" s="1">
        <v>1.25</v>
      </c>
      <c r="H712" t="s">
        <v>502</v>
      </c>
      <c r="I712" s="3" t="s">
        <v>1144</v>
      </c>
    </row>
    <row r="713" spans="1:9" x14ac:dyDescent="0.25">
      <c r="A713" t="s">
        <v>2339</v>
      </c>
      <c r="B713" t="s">
        <v>2340</v>
      </c>
      <c r="C713" t="s">
        <v>2341</v>
      </c>
      <c r="D713" t="str" cm="1">
        <f t="array" ref="D713">_xlfn.TEXTJOIN("", TRUE, IF(ISNUMBER(SEARCH($K$1379:$K$1423, C713)), $K$1379:$K$1423, ""))</f>
        <v>Oikos</v>
      </c>
      <c r="E713" t="str">
        <f t="shared" si="22"/>
        <v>Yogurt</v>
      </c>
      <c r="F713" t="str">
        <f t="shared" si="23"/>
        <v>Dairy</v>
      </c>
      <c r="G713" s="1">
        <v>1.25</v>
      </c>
      <c r="H713" t="s">
        <v>502</v>
      </c>
      <c r="I713" s="3" t="s">
        <v>1144</v>
      </c>
    </row>
    <row r="714" spans="1:9" x14ac:dyDescent="0.25">
      <c r="A714" t="s">
        <v>2342</v>
      </c>
      <c r="B714" t="s">
        <v>2343</v>
      </c>
      <c r="C714" t="s">
        <v>2344</v>
      </c>
      <c r="D714" t="str" cm="1">
        <f t="array" ref="D714">_xlfn.TEXTJOIN("", TRUE, IF(ISNUMBER(SEARCH($K$1379:$K$1423, C714)), $K$1379:$K$1423, ""))</f>
        <v>Oikos</v>
      </c>
      <c r="E714" t="str">
        <f t="shared" si="22"/>
        <v>Yogurt</v>
      </c>
      <c r="F714" t="str">
        <f t="shared" si="23"/>
        <v>Dairy</v>
      </c>
      <c r="G714" s="1">
        <v>1.25</v>
      </c>
      <c r="H714" t="s">
        <v>506</v>
      </c>
      <c r="I714" s="3" t="s">
        <v>320</v>
      </c>
    </row>
    <row r="715" spans="1:9" x14ac:dyDescent="0.25">
      <c r="A715" t="s">
        <v>2345</v>
      </c>
      <c r="B715" t="s">
        <v>2346</v>
      </c>
      <c r="C715" t="s">
        <v>2347</v>
      </c>
      <c r="D715" t="str" cm="1">
        <f t="array" ref="D715">_xlfn.TEXTJOIN("", TRUE, IF(ISNUMBER(SEARCH($K$1379:$K$1423, C715)), $K$1379:$K$1423, ""))</f>
        <v>Oikos</v>
      </c>
      <c r="E715" t="str">
        <f t="shared" si="22"/>
        <v>Yogurt</v>
      </c>
      <c r="F715" t="str">
        <f t="shared" si="23"/>
        <v>Dairy</v>
      </c>
      <c r="G715" s="1">
        <v>6.19</v>
      </c>
      <c r="H715" t="s">
        <v>523</v>
      </c>
      <c r="I715" s="3" t="s">
        <v>170</v>
      </c>
    </row>
    <row r="716" spans="1:9" x14ac:dyDescent="0.25">
      <c r="A716" t="s">
        <v>2348</v>
      </c>
      <c r="B716" t="s">
        <v>2349</v>
      </c>
      <c r="C716" t="s">
        <v>2350</v>
      </c>
      <c r="D716" t="str" cm="1">
        <f t="array" ref="D716">_xlfn.TEXTJOIN("", TRUE, IF(ISNUMBER(SEARCH($K$1379:$K$1423, C716)), $K$1379:$K$1423, ""))</f>
        <v>Oikos</v>
      </c>
      <c r="E716" t="str">
        <f t="shared" si="22"/>
        <v>Yogurt</v>
      </c>
      <c r="F716" t="str">
        <f t="shared" si="23"/>
        <v>Dairy</v>
      </c>
      <c r="G716" s="1">
        <v>1.79</v>
      </c>
      <c r="H716" t="s">
        <v>502</v>
      </c>
      <c r="I716" s="3" t="s">
        <v>1707</v>
      </c>
    </row>
    <row r="717" spans="1:9" x14ac:dyDescent="0.25">
      <c r="A717" t="s">
        <v>2351</v>
      </c>
      <c r="B717" t="s">
        <v>2352</v>
      </c>
      <c r="C717" t="s">
        <v>2353</v>
      </c>
      <c r="D717" t="str" cm="1">
        <f t="array" ref="D717">_xlfn.TEXTJOIN("", TRUE, IF(ISNUMBER(SEARCH($K$1379:$K$1423, C717)), $K$1379:$K$1423, ""))</f>
        <v>Oikos</v>
      </c>
      <c r="E717" t="str">
        <f t="shared" si="22"/>
        <v>Yogurt</v>
      </c>
      <c r="F717" t="str">
        <f t="shared" si="23"/>
        <v>Dairy</v>
      </c>
      <c r="G717" s="1">
        <v>1.25</v>
      </c>
      <c r="H717" t="s">
        <v>506</v>
      </c>
      <c r="I717" s="3" t="s">
        <v>320</v>
      </c>
    </row>
    <row r="718" spans="1:9" x14ac:dyDescent="0.25">
      <c r="A718" t="s">
        <v>2354</v>
      </c>
      <c r="B718" t="s">
        <v>2355</v>
      </c>
      <c r="C718" t="s">
        <v>2356</v>
      </c>
      <c r="D718" t="str" cm="1">
        <f t="array" ref="D718">_xlfn.TEXTJOIN("", TRUE, IF(ISNUMBER(SEARCH($K$1379:$K$1423, C718)), $K$1379:$K$1423, ""))</f>
        <v>Oikos</v>
      </c>
      <c r="E718" t="str">
        <f t="shared" si="22"/>
        <v>Yogurt</v>
      </c>
      <c r="F718" t="str">
        <f t="shared" si="23"/>
        <v>Dairy</v>
      </c>
      <c r="G718" s="1">
        <v>1.79</v>
      </c>
      <c r="H718" t="s">
        <v>502</v>
      </c>
      <c r="I718" s="3" t="s">
        <v>1707</v>
      </c>
    </row>
    <row r="719" spans="1:9" x14ac:dyDescent="0.25">
      <c r="A719" t="s">
        <v>2357</v>
      </c>
      <c r="B719" t="s">
        <v>2358</v>
      </c>
      <c r="C719" t="s">
        <v>2359</v>
      </c>
      <c r="D719" t="str" cm="1">
        <f t="array" ref="D719">_xlfn.TEXTJOIN("", TRUE, IF(ISNUMBER(SEARCH($K$1379:$K$1423, C719)), $K$1379:$K$1423, ""))</f>
        <v>Oikos</v>
      </c>
      <c r="E719" t="str">
        <f t="shared" si="22"/>
        <v>Yogurt</v>
      </c>
      <c r="F719" t="str">
        <f t="shared" si="23"/>
        <v>Dairy</v>
      </c>
      <c r="G719" s="1">
        <v>1.25</v>
      </c>
      <c r="H719" t="s">
        <v>502</v>
      </c>
      <c r="I719" s="3" t="s">
        <v>1144</v>
      </c>
    </row>
    <row r="720" spans="1:9" x14ac:dyDescent="0.25">
      <c r="A720" t="s">
        <v>2360</v>
      </c>
      <c r="B720" t="s">
        <v>2361</v>
      </c>
      <c r="C720" t="s">
        <v>2362</v>
      </c>
      <c r="D720" t="str" cm="1">
        <f t="array" ref="D720">_xlfn.TEXTJOIN("", TRUE, IF(ISNUMBER(SEARCH($K$1379:$K$1423, C720)), $K$1379:$K$1423, ""))</f>
        <v>Oikos</v>
      </c>
      <c r="E720" t="str">
        <f t="shared" si="22"/>
        <v>Yogurt</v>
      </c>
      <c r="F720" t="str">
        <f t="shared" si="23"/>
        <v>Dairy</v>
      </c>
      <c r="G720" s="1">
        <v>5.49</v>
      </c>
      <c r="H720" t="s">
        <v>550</v>
      </c>
      <c r="I720" s="3" t="s">
        <v>551</v>
      </c>
    </row>
    <row r="721" spans="1:9" x14ac:dyDescent="0.25">
      <c r="A721" t="s">
        <v>2363</v>
      </c>
      <c r="B721" t="s">
        <v>2364</v>
      </c>
      <c r="C721" t="s">
        <v>2365</v>
      </c>
      <c r="D721" t="str" cm="1">
        <f t="array" ref="D721">_xlfn.TEXTJOIN("", TRUE, IF(ISNUMBER(SEARCH($K$1379:$K$1423, C721)), $K$1379:$K$1423, ""))</f>
        <v>Oikos</v>
      </c>
      <c r="E721" t="str">
        <f t="shared" si="22"/>
        <v>Yogurt</v>
      </c>
      <c r="F721" t="str">
        <f t="shared" si="23"/>
        <v>Dairy</v>
      </c>
      <c r="G721" s="1">
        <v>1.25</v>
      </c>
      <c r="H721" t="s">
        <v>506</v>
      </c>
      <c r="I721" s="3" t="s">
        <v>320</v>
      </c>
    </row>
    <row r="722" spans="1:9" x14ac:dyDescent="0.25">
      <c r="A722" t="s">
        <v>2366</v>
      </c>
      <c r="B722" t="s">
        <v>2367</v>
      </c>
      <c r="C722" t="s">
        <v>2368</v>
      </c>
      <c r="D722" t="str" cm="1">
        <f t="array" ref="D722">_xlfn.TEXTJOIN("", TRUE, IF(ISNUMBER(SEARCH($K$1379:$K$1423, C722)), $K$1379:$K$1423, ""))</f>
        <v>Oikos</v>
      </c>
      <c r="E722" t="str">
        <f t="shared" si="22"/>
        <v>Yogurt</v>
      </c>
      <c r="F722" t="str">
        <f t="shared" si="23"/>
        <v>Dairy</v>
      </c>
      <c r="G722" s="1">
        <v>1.25</v>
      </c>
      <c r="H722" t="s">
        <v>502</v>
      </c>
      <c r="I722" s="3" t="s">
        <v>1144</v>
      </c>
    </row>
    <row r="723" spans="1:9" x14ac:dyDescent="0.25">
      <c r="A723" t="s">
        <v>2369</v>
      </c>
      <c r="B723" t="s">
        <v>2370</v>
      </c>
      <c r="C723" t="s">
        <v>2371</v>
      </c>
      <c r="D723" t="str" cm="1">
        <f t="array" ref="D723">_xlfn.TEXTJOIN("", TRUE, IF(ISNUMBER(SEARCH($K$1379:$K$1423, C723)), $K$1379:$K$1423, ""))</f>
        <v>Oikos</v>
      </c>
      <c r="E723" t="str">
        <f t="shared" si="22"/>
        <v>Yogurt</v>
      </c>
      <c r="F723" t="str">
        <f t="shared" si="23"/>
        <v>Dairy</v>
      </c>
      <c r="G723" s="1">
        <v>1.79</v>
      </c>
      <c r="H723" t="s">
        <v>502</v>
      </c>
      <c r="I723" s="3" t="s">
        <v>1707</v>
      </c>
    </row>
    <row r="724" spans="1:9" x14ac:dyDescent="0.25">
      <c r="A724" t="s">
        <v>2372</v>
      </c>
      <c r="B724" t="s">
        <v>2373</v>
      </c>
      <c r="C724" t="s">
        <v>2374</v>
      </c>
      <c r="D724" t="str" cm="1">
        <f t="array" ref="D724">_xlfn.TEXTJOIN("", TRUE, IF(ISNUMBER(SEARCH($K$1379:$K$1423, C724)), $K$1379:$K$1423, ""))</f>
        <v>Oikos</v>
      </c>
      <c r="E724" t="str">
        <f t="shared" si="22"/>
        <v>Yogurt</v>
      </c>
      <c r="F724" t="str">
        <f t="shared" si="23"/>
        <v>Dairy</v>
      </c>
      <c r="G724" s="1">
        <v>1.25</v>
      </c>
      <c r="H724" t="s">
        <v>502</v>
      </c>
      <c r="I724" s="3" t="s">
        <v>1144</v>
      </c>
    </row>
    <row r="725" spans="1:9" x14ac:dyDescent="0.25">
      <c r="A725" t="s">
        <v>2375</v>
      </c>
      <c r="B725" t="s">
        <v>2376</v>
      </c>
      <c r="C725" t="s">
        <v>2377</v>
      </c>
      <c r="D725" t="str" cm="1">
        <f t="array" ref="D725">_xlfn.TEXTJOIN("", TRUE, IF(ISNUMBER(SEARCH($K$1379:$K$1423, C725)), $K$1379:$K$1423, ""))</f>
        <v>Oikos</v>
      </c>
      <c r="E725" t="str">
        <f t="shared" si="22"/>
        <v>Yogurt</v>
      </c>
      <c r="F725" t="str">
        <f t="shared" si="23"/>
        <v>Dairy</v>
      </c>
      <c r="G725" s="1">
        <v>5.49</v>
      </c>
      <c r="H725" t="s">
        <v>550</v>
      </c>
      <c r="I725" s="3" t="s">
        <v>551</v>
      </c>
    </row>
    <row r="726" spans="1:9" x14ac:dyDescent="0.25">
      <c r="A726" t="s">
        <v>2378</v>
      </c>
      <c r="B726" t="s">
        <v>2379</v>
      </c>
      <c r="C726" t="s">
        <v>2380</v>
      </c>
      <c r="D726" t="str" cm="1">
        <f t="array" ref="D726">_xlfn.TEXTJOIN("", TRUE, IF(ISNUMBER(SEARCH($K$1379:$K$1423, C726)), $K$1379:$K$1423, ""))</f>
        <v>Oikos</v>
      </c>
      <c r="E726" t="str">
        <f t="shared" si="22"/>
        <v>Yogurt</v>
      </c>
      <c r="F726" t="str">
        <f t="shared" si="23"/>
        <v>Dairy</v>
      </c>
      <c r="G726" s="1">
        <v>1.25</v>
      </c>
      <c r="H726" t="s">
        <v>502</v>
      </c>
      <c r="I726" s="3" t="s">
        <v>1144</v>
      </c>
    </row>
    <row r="727" spans="1:9" x14ac:dyDescent="0.25">
      <c r="A727" t="s">
        <v>2381</v>
      </c>
      <c r="B727" t="s">
        <v>2382</v>
      </c>
      <c r="C727" t="s">
        <v>2383</v>
      </c>
      <c r="D727" t="str" cm="1">
        <f t="array" ref="D727">_xlfn.TEXTJOIN("", TRUE, IF(ISNUMBER(SEARCH($K$1379:$K$1423, C727)), $K$1379:$K$1423, ""))</f>
        <v>Oikos</v>
      </c>
      <c r="E727" t="str">
        <f t="shared" si="22"/>
        <v>Yogurt</v>
      </c>
      <c r="F727" t="str">
        <f t="shared" si="23"/>
        <v>Dairy</v>
      </c>
      <c r="G727" s="1">
        <v>1.79</v>
      </c>
      <c r="H727" t="s">
        <v>502</v>
      </c>
      <c r="I727" s="3" t="s">
        <v>1707</v>
      </c>
    </row>
    <row r="728" spans="1:9" x14ac:dyDescent="0.25">
      <c r="A728" t="s">
        <v>2384</v>
      </c>
      <c r="B728" t="s">
        <v>2385</v>
      </c>
      <c r="C728" t="s">
        <v>2386</v>
      </c>
      <c r="D728" t="str" cm="1">
        <f t="array" ref="D728">_xlfn.TEXTJOIN("", TRUE, IF(ISNUMBER(SEARCH($K$1379:$K$1423, C728)), $K$1379:$K$1423, ""))</f>
        <v>Oikos</v>
      </c>
      <c r="E728" t="str">
        <f t="shared" si="22"/>
        <v>Yogurt</v>
      </c>
      <c r="F728" t="str">
        <f t="shared" si="23"/>
        <v>Dairy</v>
      </c>
      <c r="G728" s="1">
        <v>5.49</v>
      </c>
      <c r="H728" t="s">
        <v>550</v>
      </c>
      <c r="I728" s="3" t="s">
        <v>551</v>
      </c>
    </row>
    <row r="729" spans="1:9" x14ac:dyDescent="0.25">
      <c r="A729" t="s">
        <v>2387</v>
      </c>
      <c r="B729" t="s">
        <v>2388</v>
      </c>
      <c r="C729" t="s">
        <v>2389</v>
      </c>
      <c r="D729" t="str" cm="1">
        <f t="array" ref="D729">_xlfn.TEXTJOIN("", TRUE, IF(ISNUMBER(SEARCH($K$1379:$K$1423, C729)), $K$1379:$K$1423, ""))</f>
        <v>Oikos</v>
      </c>
      <c r="E729" t="str">
        <f t="shared" si="22"/>
        <v>Yogurt</v>
      </c>
      <c r="F729" t="str">
        <f t="shared" si="23"/>
        <v>Dairy</v>
      </c>
      <c r="G729" s="1">
        <v>1.79</v>
      </c>
      <c r="H729" t="s">
        <v>502</v>
      </c>
      <c r="I729" s="3" t="s">
        <v>1707</v>
      </c>
    </row>
    <row r="730" spans="1:9" x14ac:dyDescent="0.25">
      <c r="A730" t="s">
        <v>2390</v>
      </c>
      <c r="B730" t="s">
        <v>2391</v>
      </c>
      <c r="C730" t="s">
        <v>2392</v>
      </c>
      <c r="D730" t="str" cm="1">
        <f t="array" ref="D730">_xlfn.TEXTJOIN("", TRUE, IF(ISNUMBER(SEARCH($K$1379:$K$1423, C730)), $K$1379:$K$1423, ""))</f>
        <v>Oikos</v>
      </c>
      <c r="E730" t="str">
        <f t="shared" si="22"/>
        <v>Yogurt</v>
      </c>
      <c r="F730" t="str">
        <f t="shared" si="23"/>
        <v>Dairy</v>
      </c>
      <c r="G730" s="1">
        <v>5.49</v>
      </c>
      <c r="H730" t="s">
        <v>550</v>
      </c>
      <c r="I730" s="3" t="s">
        <v>551</v>
      </c>
    </row>
    <row r="731" spans="1:9" x14ac:dyDescent="0.25">
      <c r="A731" t="s">
        <v>2393</v>
      </c>
      <c r="B731" t="s">
        <v>2394</v>
      </c>
      <c r="C731" t="s">
        <v>2395</v>
      </c>
      <c r="D731" t="str" cm="1">
        <f t="array" ref="D731">_xlfn.TEXTJOIN("", TRUE, IF(ISNUMBER(SEARCH($K$1379:$K$1423, C731)), $K$1379:$K$1423, ""))</f>
        <v>Oikos</v>
      </c>
      <c r="E731" t="str">
        <f t="shared" si="22"/>
        <v>Yogurt</v>
      </c>
      <c r="F731" t="str">
        <f t="shared" si="23"/>
        <v>Dairy</v>
      </c>
      <c r="G731" s="1">
        <v>1.79</v>
      </c>
      <c r="H731" t="s">
        <v>502</v>
      </c>
      <c r="I731" s="3" t="s">
        <v>1707</v>
      </c>
    </row>
    <row r="732" spans="1:9" x14ac:dyDescent="0.25">
      <c r="A732" t="s">
        <v>2396</v>
      </c>
      <c r="B732" t="s">
        <v>2397</v>
      </c>
      <c r="C732" t="s">
        <v>2398</v>
      </c>
      <c r="D732" t="str" cm="1">
        <f t="array" ref="D732">_xlfn.TEXTJOIN("", TRUE, IF(ISNUMBER(SEARCH($K$1379:$K$1423, C732)), $K$1379:$K$1423, ""))</f>
        <v>Oikos</v>
      </c>
      <c r="E732" t="str">
        <f t="shared" si="22"/>
        <v>Yogurt</v>
      </c>
      <c r="F732" t="str">
        <f t="shared" si="23"/>
        <v>Dairy</v>
      </c>
      <c r="G732" s="1">
        <v>5.49</v>
      </c>
      <c r="H732" t="s">
        <v>550</v>
      </c>
      <c r="I732" s="3" t="s">
        <v>551</v>
      </c>
    </row>
    <row r="733" spans="1:9" x14ac:dyDescent="0.25">
      <c r="A733" t="s">
        <v>2399</v>
      </c>
      <c r="B733" t="s">
        <v>2400</v>
      </c>
      <c r="C733" t="s">
        <v>2401</v>
      </c>
      <c r="D733" t="str" cm="1">
        <f t="array" ref="D733">_xlfn.TEXTJOIN("", TRUE, IF(ISNUMBER(SEARCH($K$1379:$K$1423, C733)), $K$1379:$K$1423, ""))</f>
        <v>Oikos</v>
      </c>
      <c r="E733" t="str">
        <f t="shared" si="22"/>
        <v>Yogurt</v>
      </c>
      <c r="F733" t="str">
        <f t="shared" si="23"/>
        <v>Dairy</v>
      </c>
      <c r="G733" s="1">
        <v>5.29</v>
      </c>
      <c r="H733" t="s">
        <v>2402</v>
      </c>
      <c r="I733" s="3" t="s">
        <v>149</v>
      </c>
    </row>
    <row r="734" spans="1:9" x14ac:dyDescent="0.25">
      <c r="A734" t="s">
        <v>2403</v>
      </c>
      <c r="B734" t="s">
        <v>2404</v>
      </c>
      <c r="C734" t="s">
        <v>2405</v>
      </c>
      <c r="D734" t="str" cm="1">
        <f t="array" ref="D734">_xlfn.TEXTJOIN("", TRUE, IF(ISNUMBER(SEARCH($K$1379:$K$1423, C734)), $K$1379:$K$1423, ""))</f>
        <v>Oikos</v>
      </c>
      <c r="E734" t="str">
        <f t="shared" si="22"/>
        <v>Yogurt</v>
      </c>
      <c r="F734" t="str">
        <f t="shared" si="23"/>
        <v>Dairy</v>
      </c>
      <c r="G734" s="1">
        <v>5.29</v>
      </c>
      <c r="H734" t="s">
        <v>2402</v>
      </c>
      <c r="I734" s="3" t="s">
        <v>149</v>
      </c>
    </row>
    <row r="735" spans="1:9" x14ac:dyDescent="0.25">
      <c r="A735" t="s">
        <v>2406</v>
      </c>
      <c r="B735" t="s">
        <v>2407</v>
      </c>
      <c r="C735" t="s">
        <v>2408</v>
      </c>
      <c r="D735" t="str" cm="1">
        <f t="array" ref="D735">_xlfn.TEXTJOIN("", TRUE, IF(ISNUMBER(SEARCH($K$1379:$K$1423, C735)), $K$1379:$K$1423, ""))</f>
        <v>Oikos</v>
      </c>
      <c r="E735" t="str">
        <f t="shared" si="22"/>
        <v>Yogurt</v>
      </c>
      <c r="F735" t="str">
        <f t="shared" si="23"/>
        <v>Dairy</v>
      </c>
      <c r="G735" s="1">
        <v>5.29</v>
      </c>
      <c r="H735" t="s">
        <v>2402</v>
      </c>
      <c r="I735" s="3" t="s">
        <v>149</v>
      </c>
    </row>
    <row r="736" spans="1:9" x14ac:dyDescent="0.25">
      <c r="A736" t="s">
        <v>2409</v>
      </c>
      <c r="B736" t="s">
        <v>2410</v>
      </c>
      <c r="C736" t="s">
        <v>2411</v>
      </c>
      <c r="D736" t="str" cm="1">
        <f t="array" ref="D736">_xlfn.TEXTJOIN("", TRUE, IF(ISNUMBER(SEARCH($K$1379:$K$1423, C736)), $K$1379:$K$1423, ""))</f>
        <v>Oikos</v>
      </c>
      <c r="E736" t="str">
        <f t="shared" si="22"/>
        <v>Yogurt</v>
      </c>
      <c r="F736" t="str">
        <f t="shared" si="23"/>
        <v>Dairy</v>
      </c>
      <c r="G736" s="1">
        <v>6.19</v>
      </c>
      <c r="H736" t="s">
        <v>523</v>
      </c>
      <c r="I736" s="3" t="s">
        <v>170</v>
      </c>
    </row>
    <row r="737" spans="1:9" x14ac:dyDescent="0.25">
      <c r="A737" t="s">
        <v>2412</v>
      </c>
      <c r="B737" t="s">
        <v>2413</v>
      </c>
      <c r="C737" t="s">
        <v>2414</v>
      </c>
      <c r="D737" t="str" cm="1">
        <f t="array" ref="D737">_xlfn.TEXTJOIN("", TRUE, IF(ISNUMBER(SEARCH($K$1379:$K$1423, C737)), $K$1379:$K$1423, ""))</f>
        <v>Oikos</v>
      </c>
      <c r="E737" t="str">
        <f t="shared" si="22"/>
        <v>Yogurt</v>
      </c>
      <c r="F737" t="str">
        <f t="shared" si="23"/>
        <v>Dairy</v>
      </c>
      <c r="G737" s="1">
        <v>6.79</v>
      </c>
      <c r="H737" t="s">
        <v>523</v>
      </c>
      <c r="I737" s="3" t="s">
        <v>868</v>
      </c>
    </row>
    <row r="738" spans="1:9" x14ac:dyDescent="0.25">
      <c r="A738" t="s">
        <v>2415</v>
      </c>
      <c r="B738" t="s">
        <v>2416</v>
      </c>
      <c r="C738" t="s">
        <v>2417</v>
      </c>
      <c r="D738" t="str" cm="1">
        <f t="array" ref="D738">_xlfn.TEXTJOIN("", TRUE, IF(ISNUMBER(SEARCH($K$1379:$K$1423, C738)), $K$1379:$K$1423, ""))</f>
        <v>Oikos</v>
      </c>
      <c r="E738" t="str">
        <f t="shared" si="22"/>
        <v>Yogurt</v>
      </c>
      <c r="F738" t="str">
        <f t="shared" si="23"/>
        <v>Dairy</v>
      </c>
      <c r="G738" s="1">
        <v>6.79</v>
      </c>
      <c r="H738" t="s">
        <v>523</v>
      </c>
      <c r="I738" s="3" t="s">
        <v>868</v>
      </c>
    </row>
    <row r="739" spans="1:9" x14ac:dyDescent="0.25">
      <c r="A739" t="s">
        <v>2418</v>
      </c>
      <c r="B739" t="s">
        <v>2419</v>
      </c>
      <c r="C739" t="s">
        <v>2420</v>
      </c>
      <c r="D739" t="str" cm="1">
        <f t="array" ref="D739">_xlfn.TEXTJOIN("", TRUE, IF(ISNUMBER(SEARCH($K$1379:$K$1423, C739)), $K$1379:$K$1423, ""))</f>
        <v>Dannon Light + Fit</v>
      </c>
      <c r="E739" t="str">
        <f t="shared" si="22"/>
        <v>Yogurt</v>
      </c>
      <c r="F739" t="str">
        <f t="shared" si="23"/>
        <v>Dairy</v>
      </c>
      <c r="G739" s="1">
        <v>2.4900000000000002</v>
      </c>
      <c r="H739" t="s">
        <v>550</v>
      </c>
      <c r="I739" t="s">
        <v>32</v>
      </c>
    </row>
    <row r="740" spans="1:9" x14ac:dyDescent="0.25">
      <c r="A740" t="s">
        <v>2421</v>
      </c>
      <c r="B740" t="s">
        <v>2422</v>
      </c>
      <c r="C740" t="s">
        <v>2423</v>
      </c>
      <c r="D740" t="str" cm="1">
        <f t="array" ref="D740">_xlfn.TEXTJOIN("", TRUE, IF(ISNUMBER(SEARCH($K$1379:$K$1423, C740)), $K$1379:$K$1423, ""))</f>
        <v>Dannon Light + Fit</v>
      </c>
      <c r="E740" t="str">
        <f t="shared" si="22"/>
        <v>Yogurt</v>
      </c>
      <c r="F740" t="str">
        <f t="shared" si="23"/>
        <v>Dairy</v>
      </c>
      <c r="G740" s="1">
        <v>1.25</v>
      </c>
      <c r="H740" t="s">
        <v>506</v>
      </c>
      <c r="I740" t="s">
        <v>320</v>
      </c>
    </row>
    <row r="741" spans="1:9" x14ac:dyDescent="0.25">
      <c r="A741" t="s">
        <v>2424</v>
      </c>
      <c r="B741" t="s">
        <v>2425</v>
      </c>
      <c r="C741" t="s">
        <v>2426</v>
      </c>
      <c r="D741" t="str" cm="1">
        <f t="array" ref="D741">_xlfn.TEXTJOIN("", TRUE, IF(ISNUMBER(SEARCH($K$1379:$K$1423, C741)), $K$1379:$K$1423, ""))</f>
        <v>Dannon Light + Fit</v>
      </c>
      <c r="E741" t="str">
        <f t="shared" si="22"/>
        <v>Yogurt</v>
      </c>
      <c r="F741" t="str">
        <f t="shared" si="23"/>
        <v>Dairy</v>
      </c>
      <c r="G741" s="1">
        <v>1.25</v>
      </c>
      <c r="H741" t="s">
        <v>502</v>
      </c>
      <c r="I741" t="s">
        <v>1144</v>
      </c>
    </row>
    <row r="742" spans="1:9" x14ac:dyDescent="0.25">
      <c r="A742" t="s">
        <v>2427</v>
      </c>
      <c r="B742" t="s">
        <v>2428</v>
      </c>
      <c r="C742" t="s">
        <v>2429</v>
      </c>
      <c r="D742" t="str" cm="1">
        <f t="array" ref="D742">_xlfn.TEXTJOIN("", TRUE, IF(ISNUMBER(SEARCH($K$1379:$K$1423, C742)), $K$1379:$K$1423, ""))</f>
        <v>Dannon Light + Fit</v>
      </c>
      <c r="E742" t="str">
        <f t="shared" si="22"/>
        <v>Yogurt</v>
      </c>
      <c r="F742" t="str">
        <f t="shared" si="23"/>
        <v>Dairy</v>
      </c>
      <c r="G742" s="1">
        <v>5.49</v>
      </c>
      <c r="H742" t="s">
        <v>550</v>
      </c>
      <c r="I742" t="s">
        <v>551</v>
      </c>
    </row>
    <row r="743" spans="1:9" x14ac:dyDescent="0.25">
      <c r="A743" t="s">
        <v>2430</v>
      </c>
      <c r="B743" t="s">
        <v>2431</v>
      </c>
      <c r="C743" t="s">
        <v>2432</v>
      </c>
      <c r="D743" t="str" cm="1">
        <f t="array" ref="D743">_xlfn.TEXTJOIN("", TRUE, IF(ISNUMBER(SEARCH($K$1379:$K$1423, C743)), $K$1379:$K$1423, ""))</f>
        <v>Dannon Light + Fit</v>
      </c>
      <c r="E743" t="str">
        <f t="shared" si="22"/>
        <v>Yogurt</v>
      </c>
      <c r="F743" t="str">
        <f t="shared" si="23"/>
        <v>Dairy</v>
      </c>
      <c r="G743" s="1">
        <v>1.25</v>
      </c>
      <c r="H743" t="s">
        <v>502</v>
      </c>
      <c r="I743" t="s">
        <v>1144</v>
      </c>
    </row>
    <row r="744" spans="1:9" x14ac:dyDescent="0.25">
      <c r="A744" t="s">
        <v>2433</v>
      </c>
      <c r="B744" t="s">
        <v>2434</v>
      </c>
      <c r="C744" t="s">
        <v>2435</v>
      </c>
      <c r="D744" t="str" cm="1">
        <f t="array" ref="D744">_xlfn.TEXTJOIN("", TRUE, IF(ISNUMBER(SEARCH($K$1379:$K$1423, C744)), $K$1379:$K$1423, ""))</f>
        <v>Dannon Light + Fit</v>
      </c>
      <c r="E744" t="str">
        <f t="shared" si="22"/>
        <v>Yogurt</v>
      </c>
      <c r="F744" t="str">
        <f t="shared" si="23"/>
        <v>Dairy</v>
      </c>
      <c r="G744" s="1">
        <v>1.25</v>
      </c>
      <c r="H744" t="s">
        <v>506</v>
      </c>
      <c r="I744" t="s">
        <v>320</v>
      </c>
    </row>
    <row r="745" spans="1:9" x14ac:dyDescent="0.25">
      <c r="A745" t="s">
        <v>2436</v>
      </c>
      <c r="B745" t="s">
        <v>2437</v>
      </c>
      <c r="C745" t="s">
        <v>2438</v>
      </c>
      <c r="D745" t="str" cm="1">
        <f t="array" ref="D745">_xlfn.TEXTJOIN("", TRUE, IF(ISNUMBER(SEARCH($K$1379:$K$1423, C745)), $K$1379:$K$1423, ""))</f>
        <v>Dannon Light + Fit</v>
      </c>
      <c r="E745" t="str">
        <f t="shared" si="22"/>
        <v>Yogurt</v>
      </c>
      <c r="F745" t="str">
        <f t="shared" si="23"/>
        <v>Dairy</v>
      </c>
      <c r="G745" s="1">
        <v>1.25</v>
      </c>
      <c r="H745" t="s">
        <v>502</v>
      </c>
      <c r="I745" t="s">
        <v>1144</v>
      </c>
    </row>
    <row r="746" spans="1:9" x14ac:dyDescent="0.25">
      <c r="A746" t="s">
        <v>2439</v>
      </c>
      <c r="B746" t="s">
        <v>2440</v>
      </c>
      <c r="C746" t="s">
        <v>2441</v>
      </c>
      <c r="D746" t="str" cm="1">
        <f t="array" ref="D746">_xlfn.TEXTJOIN("", TRUE, IF(ISNUMBER(SEARCH($K$1379:$K$1423, C746)), $K$1379:$K$1423, ""))</f>
        <v>Dannon Light + Fit</v>
      </c>
      <c r="E746" t="str">
        <f t="shared" si="22"/>
        <v>Yogurt</v>
      </c>
      <c r="F746" t="str">
        <f t="shared" si="23"/>
        <v>Dairy</v>
      </c>
      <c r="G746" s="1">
        <v>1.25</v>
      </c>
      <c r="H746" t="s">
        <v>502</v>
      </c>
      <c r="I746" t="s">
        <v>1144</v>
      </c>
    </row>
    <row r="747" spans="1:9" x14ac:dyDescent="0.25">
      <c r="A747" t="s">
        <v>2442</v>
      </c>
      <c r="B747" t="s">
        <v>2443</v>
      </c>
      <c r="C747" t="s">
        <v>2444</v>
      </c>
      <c r="D747" t="str" cm="1">
        <f t="array" ref="D747">_xlfn.TEXTJOIN("", TRUE, IF(ISNUMBER(SEARCH($K$1379:$K$1423, C747)), $K$1379:$K$1423, ""))</f>
        <v>Dannon Light + Fit</v>
      </c>
      <c r="E747" t="str">
        <f t="shared" si="22"/>
        <v>Yogurt</v>
      </c>
      <c r="F747" t="str">
        <f t="shared" si="23"/>
        <v>Dairy</v>
      </c>
      <c r="G747" s="1">
        <v>1.25</v>
      </c>
      <c r="H747" t="s">
        <v>502</v>
      </c>
      <c r="I747" t="s">
        <v>1144</v>
      </c>
    </row>
    <row r="748" spans="1:9" x14ac:dyDescent="0.25">
      <c r="A748" t="s">
        <v>2445</v>
      </c>
      <c r="B748" t="s">
        <v>2446</v>
      </c>
      <c r="C748" t="s">
        <v>2447</v>
      </c>
      <c r="D748" t="str" cm="1">
        <f t="array" ref="D748">_xlfn.TEXTJOIN("", TRUE, IF(ISNUMBER(SEARCH($K$1379:$K$1423, C748)), $K$1379:$K$1423, ""))</f>
        <v>Dannon Light + Fit</v>
      </c>
      <c r="E748" t="str">
        <f t="shared" si="22"/>
        <v>Yogurt</v>
      </c>
      <c r="F748" t="str">
        <f t="shared" si="23"/>
        <v>Dairy</v>
      </c>
      <c r="G748" s="1">
        <v>5.49</v>
      </c>
      <c r="H748" t="s">
        <v>550</v>
      </c>
      <c r="I748" t="s">
        <v>551</v>
      </c>
    </row>
    <row r="749" spans="1:9" x14ac:dyDescent="0.25">
      <c r="A749" t="s">
        <v>2448</v>
      </c>
      <c r="B749" t="s">
        <v>2449</v>
      </c>
      <c r="C749" t="s">
        <v>2450</v>
      </c>
      <c r="D749" t="str" cm="1">
        <f t="array" ref="D749">_xlfn.TEXTJOIN("", TRUE, IF(ISNUMBER(SEARCH($K$1379:$K$1423, C749)), $K$1379:$K$1423, ""))</f>
        <v>Dannon Light + Fit</v>
      </c>
      <c r="E749" t="str">
        <f t="shared" si="22"/>
        <v>Yogurt</v>
      </c>
      <c r="F749" t="str">
        <f t="shared" si="23"/>
        <v>Dairy</v>
      </c>
      <c r="G749" s="1">
        <v>2.4900000000000002</v>
      </c>
      <c r="H749" t="s">
        <v>550</v>
      </c>
      <c r="I749" t="s">
        <v>32</v>
      </c>
    </row>
    <row r="750" spans="1:9" x14ac:dyDescent="0.25">
      <c r="A750" t="s">
        <v>2451</v>
      </c>
      <c r="B750" t="s">
        <v>2452</v>
      </c>
      <c r="C750" t="s">
        <v>2453</v>
      </c>
      <c r="D750" t="str" cm="1">
        <f t="array" ref="D750">_xlfn.TEXTJOIN("", TRUE, IF(ISNUMBER(SEARCH($K$1379:$K$1423, C750)), $K$1379:$K$1423, ""))</f>
        <v>Dannon Light + Fit</v>
      </c>
      <c r="E750" t="str">
        <f t="shared" si="22"/>
        <v>Yogurt</v>
      </c>
      <c r="F750" t="str">
        <f t="shared" si="23"/>
        <v>Dairy</v>
      </c>
      <c r="G750" s="1">
        <v>1.25</v>
      </c>
      <c r="H750" t="s">
        <v>502</v>
      </c>
      <c r="I750" t="s">
        <v>1144</v>
      </c>
    </row>
    <row r="751" spans="1:9" x14ac:dyDescent="0.25">
      <c r="A751" t="s">
        <v>2454</v>
      </c>
      <c r="B751" t="s">
        <v>2455</v>
      </c>
      <c r="C751" t="s">
        <v>2456</v>
      </c>
      <c r="D751" t="str" cm="1">
        <f t="array" ref="D751">_xlfn.TEXTJOIN("", TRUE, IF(ISNUMBER(SEARCH($K$1379:$K$1423, C751)), $K$1379:$K$1423, ""))</f>
        <v>Dannon Light + Fit</v>
      </c>
      <c r="E751" t="str">
        <f t="shared" si="22"/>
        <v>Yogurt</v>
      </c>
      <c r="F751" t="str">
        <f t="shared" si="23"/>
        <v>Dairy</v>
      </c>
      <c r="G751" s="1">
        <v>5.49</v>
      </c>
      <c r="H751" t="s">
        <v>550</v>
      </c>
      <c r="I751" t="s">
        <v>551</v>
      </c>
    </row>
    <row r="752" spans="1:9" x14ac:dyDescent="0.25">
      <c r="A752" t="s">
        <v>2457</v>
      </c>
      <c r="B752" t="s">
        <v>2458</v>
      </c>
      <c r="C752" t="s">
        <v>2459</v>
      </c>
      <c r="D752" t="str" cm="1">
        <f t="array" ref="D752">_xlfn.TEXTJOIN("", TRUE, IF(ISNUMBER(SEARCH($K$1379:$K$1423, C752)), $K$1379:$K$1423, ""))</f>
        <v>Dannon Light + Fit</v>
      </c>
      <c r="E752" t="str">
        <f t="shared" si="22"/>
        <v>Yogurt</v>
      </c>
      <c r="F752" t="str">
        <f t="shared" si="23"/>
        <v>Dairy</v>
      </c>
      <c r="G752" s="1">
        <v>2.4900000000000002</v>
      </c>
      <c r="H752" t="s">
        <v>550</v>
      </c>
      <c r="I752" t="s">
        <v>32</v>
      </c>
    </row>
    <row r="753" spans="1:9" x14ac:dyDescent="0.25">
      <c r="A753" t="s">
        <v>2460</v>
      </c>
      <c r="B753" t="s">
        <v>2461</v>
      </c>
      <c r="C753" t="s">
        <v>2462</v>
      </c>
      <c r="D753" t="str" cm="1">
        <f t="array" ref="D753">_xlfn.TEXTJOIN("", TRUE, IF(ISNUMBER(SEARCH($K$1379:$K$1423, C753)), $K$1379:$K$1423, ""))</f>
        <v>Dannon Light + Fit</v>
      </c>
      <c r="E753" t="str">
        <f t="shared" si="22"/>
        <v>Yogurt</v>
      </c>
      <c r="F753" t="str">
        <f t="shared" si="23"/>
        <v>Dairy</v>
      </c>
      <c r="G753" s="1">
        <v>2.4900000000000002</v>
      </c>
      <c r="H753" t="s">
        <v>550</v>
      </c>
      <c r="I753" t="s">
        <v>32</v>
      </c>
    </row>
    <row r="754" spans="1:9" x14ac:dyDescent="0.25">
      <c r="A754" t="s">
        <v>2463</v>
      </c>
      <c r="B754" t="s">
        <v>2464</v>
      </c>
      <c r="C754" t="s">
        <v>2465</v>
      </c>
      <c r="D754" t="str" cm="1">
        <f t="array" ref="D754">_xlfn.TEXTJOIN("", TRUE, IF(ISNUMBER(SEARCH($K$1379:$K$1423, C754)), $K$1379:$K$1423, ""))</f>
        <v>Dannon Light + Fit</v>
      </c>
      <c r="E754" t="str">
        <f t="shared" si="22"/>
        <v>Yogurt</v>
      </c>
      <c r="F754" t="str">
        <f t="shared" si="23"/>
        <v>Dairy</v>
      </c>
      <c r="G754" s="1">
        <v>2.4900000000000002</v>
      </c>
      <c r="H754" t="s">
        <v>550</v>
      </c>
      <c r="I754" t="s">
        <v>32</v>
      </c>
    </row>
    <row r="755" spans="1:9" x14ac:dyDescent="0.25">
      <c r="A755" t="s">
        <v>2466</v>
      </c>
      <c r="B755" t="s">
        <v>2467</v>
      </c>
      <c r="C755" t="s">
        <v>2468</v>
      </c>
      <c r="D755" t="str" cm="1">
        <f t="array" ref="D755">_xlfn.TEXTJOIN("", TRUE, IF(ISNUMBER(SEARCH($K$1379:$K$1423, C755)), $K$1379:$K$1423, ""))</f>
        <v>Dannon Light + Fit</v>
      </c>
      <c r="E755" t="str">
        <f t="shared" si="22"/>
        <v>Yogurt</v>
      </c>
      <c r="F755" t="str">
        <f t="shared" si="23"/>
        <v>Dairy</v>
      </c>
      <c r="G755" s="1">
        <v>3</v>
      </c>
      <c r="H755" t="s">
        <v>523</v>
      </c>
      <c r="I755" t="s">
        <v>1029</v>
      </c>
    </row>
    <row r="756" spans="1:9" x14ac:dyDescent="0.25">
      <c r="A756" t="s">
        <v>2469</v>
      </c>
      <c r="B756" t="s">
        <v>2470</v>
      </c>
      <c r="C756" t="s">
        <v>2471</v>
      </c>
      <c r="D756" t="str" cm="1">
        <f t="array" ref="D756">_xlfn.TEXTJOIN("", TRUE, IF(ISNUMBER(SEARCH($K$1379:$K$1423, C756)), $K$1379:$K$1423, ""))</f>
        <v>Dannon Light + Fit</v>
      </c>
      <c r="E756" t="str">
        <f t="shared" si="22"/>
        <v>Yogurt</v>
      </c>
      <c r="F756" t="str">
        <f t="shared" si="23"/>
        <v>Dairy</v>
      </c>
      <c r="G756" s="1">
        <v>5.49</v>
      </c>
      <c r="H756" t="s">
        <v>550</v>
      </c>
      <c r="I756" t="s">
        <v>551</v>
      </c>
    </row>
    <row r="757" spans="1:9" x14ac:dyDescent="0.25">
      <c r="A757" t="s">
        <v>2472</v>
      </c>
      <c r="B757" t="s">
        <v>2473</v>
      </c>
      <c r="C757" t="s">
        <v>2474</v>
      </c>
      <c r="D757" t="str" cm="1">
        <f t="array" ref="D757">_xlfn.TEXTJOIN("", TRUE, IF(ISNUMBER(SEARCH($K$1379:$K$1423, C757)), $K$1379:$K$1423, ""))</f>
        <v>Dannon Light + Fit</v>
      </c>
      <c r="E757" t="str">
        <f t="shared" si="22"/>
        <v>Yogurt</v>
      </c>
      <c r="F757" t="str">
        <f t="shared" si="23"/>
        <v>Dairy</v>
      </c>
      <c r="G757" s="1">
        <v>5.49</v>
      </c>
      <c r="H757" t="s">
        <v>550</v>
      </c>
      <c r="I757" t="s">
        <v>551</v>
      </c>
    </row>
    <row r="758" spans="1:9" x14ac:dyDescent="0.25">
      <c r="A758" t="s">
        <v>2475</v>
      </c>
      <c r="B758" t="s">
        <v>2476</v>
      </c>
      <c r="C758" t="s">
        <v>2477</v>
      </c>
      <c r="D758" t="str" cm="1">
        <f t="array" ref="D758">_xlfn.TEXTJOIN("", TRUE, IF(ISNUMBER(SEARCH($K$1379:$K$1423, C758)), $K$1379:$K$1423, ""))</f>
        <v>Dannon Light + Fit</v>
      </c>
      <c r="E758" t="str">
        <f t="shared" si="22"/>
        <v>Yogurt</v>
      </c>
      <c r="F758" t="str">
        <f t="shared" si="23"/>
        <v>Dairy</v>
      </c>
      <c r="G758" s="1">
        <v>5.99</v>
      </c>
      <c r="H758" t="s">
        <v>523</v>
      </c>
      <c r="I758" t="s">
        <v>170</v>
      </c>
    </row>
    <row r="759" spans="1:9" x14ac:dyDescent="0.25">
      <c r="A759" t="s">
        <v>2478</v>
      </c>
      <c r="B759" t="s">
        <v>2479</v>
      </c>
      <c r="C759" t="s">
        <v>2480</v>
      </c>
      <c r="D759" t="str" cm="1">
        <f t="array" ref="D759">_xlfn.TEXTJOIN("", TRUE, IF(ISNUMBER(SEARCH($K$1379:$K$1423, C759)), $K$1379:$K$1423, ""))</f>
        <v>Dannon Light + Fit</v>
      </c>
      <c r="E759" t="str">
        <f t="shared" si="22"/>
        <v>Yogurt</v>
      </c>
      <c r="F759" t="str">
        <f t="shared" si="23"/>
        <v>Dairy</v>
      </c>
      <c r="G759" s="1">
        <v>5.49</v>
      </c>
      <c r="H759" t="s">
        <v>550</v>
      </c>
      <c r="I759" t="s">
        <v>551</v>
      </c>
    </row>
    <row r="760" spans="1:9" x14ac:dyDescent="0.25">
      <c r="A760" t="s">
        <v>2481</v>
      </c>
      <c r="B760" t="s">
        <v>2482</v>
      </c>
      <c r="C760" t="s">
        <v>2483</v>
      </c>
      <c r="D760" t="str" cm="1">
        <f t="array" ref="D760">_xlfn.TEXTJOIN("", TRUE, IF(ISNUMBER(SEARCH($K$1379:$K$1423, C760)), $K$1379:$K$1423, ""))</f>
        <v>Dannon Light + Fit</v>
      </c>
      <c r="E760" t="str">
        <f t="shared" si="22"/>
        <v>Yogurt</v>
      </c>
      <c r="F760" t="str">
        <f t="shared" si="23"/>
        <v>Dairy</v>
      </c>
      <c r="G760" s="1">
        <v>1.25</v>
      </c>
      <c r="H760" t="s">
        <v>502</v>
      </c>
      <c r="I760" t="s">
        <v>1144</v>
      </c>
    </row>
    <row r="761" spans="1:9" x14ac:dyDescent="0.25">
      <c r="A761" t="s">
        <v>2484</v>
      </c>
      <c r="B761" t="s">
        <v>2485</v>
      </c>
      <c r="C761" t="s">
        <v>2486</v>
      </c>
      <c r="D761" t="str" cm="1">
        <f t="array" ref="D761">_xlfn.TEXTJOIN("", TRUE, IF(ISNUMBER(SEARCH($K$1379:$K$1423, C761)), $K$1379:$K$1423, ""))</f>
        <v>Dannon Light + Fit</v>
      </c>
      <c r="E761" t="str">
        <f t="shared" si="22"/>
        <v>Yogurt</v>
      </c>
      <c r="F761" t="str">
        <f t="shared" si="23"/>
        <v>Dairy</v>
      </c>
      <c r="G761" s="1">
        <v>2.4900000000000002</v>
      </c>
      <c r="H761" t="s">
        <v>550</v>
      </c>
      <c r="I761" t="s">
        <v>32</v>
      </c>
    </row>
    <row r="762" spans="1:9" x14ac:dyDescent="0.25">
      <c r="A762" t="s">
        <v>2487</v>
      </c>
      <c r="B762" t="s">
        <v>2488</v>
      </c>
      <c r="C762" t="s">
        <v>2489</v>
      </c>
      <c r="D762" t="str" cm="1">
        <f t="array" ref="D762">_xlfn.TEXTJOIN("", TRUE, IF(ISNUMBER(SEARCH($K$1379:$K$1423, C762)), $K$1379:$K$1423, ""))</f>
        <v>Dannon Light + Fit</v>
      </c>
      <c r="E762" t="str">
        <f t="shared" si="22"/>
        <v>Yogurt</v>
      </c>
      <c r="F762" t="str">
        <f t="shared" si="23"/>
        <v>Dairy</v>
      </c>
      <c r="G762" s="1">
        <v>2.4900000000000002</v>
      </c>
      <c r="H762" t="s">
        <v>550</v>
      </c>
      <c r="I762" t="s">
        <v>32</v>
      </c>
    </row>
    <row r="763" spans="1:9" x14ac:dyDescent="0.25">
      <c r="A763" t="s">
        <v>2490</v>
      </c>
      <c r="B763" t="s">
        <v>2491</v>
      </c>
      <c r="C763" t="s">
        <v>2492</v>
      </c>
      <c r="D763" t="str" cm="1">
        <f t="array" ref="D763">_xlfn.TEXTJOIN("", TRUE, IF(ISNUMBER(SEARCH($K$1379:$K$1423, C763)), $K$1379:$K$1423, ""))</f>
        <v>Lundberg</v>
      </c>
      <c r="E763" t="str">
        <f t="shared" si="22"/>
        <v>Rice</v>
      </c>
      <c r="F763" t="str">
        <f t="shared" si="23"/>
        <v>Grain</v>
      </c>
      <c r="G763" s="1">
        <v>5.49</v>
      </c>
      <c r="H763" t="s">
        <v>1307</v>
      </c>
      <c r="I763" s="3" t="s">
        <v>2495</v>
      </c>
    </row>
    <row r="764" spans="1:9" x14ac:dyDescent="0.25">
      <c r="A764" t="s">
        <v>2496</v>
      </c>
      <c r="B764" t="s">
        <v>2497</v>
      </c>
      <c r="C764" t="s">
        <v>2498</v>
      </c>
      <c r="D764" t="str" cm="1">
        <f t="array" ref="D764">_xlfn.TEXTJOIN("", TRUE, IF(ISNUMBER(SEARCH($K$1379:$K$1423, C764)), $K$1379:$K$1423, ""))</f>
        <v>Lundberg</v>
      </c>
      <c r="E764" t="str">
        <f t="shared" si="22"/>
        <v>Rice</v>
      </c>
      <c r="F764" t="str">
        <f t="shared" si="23"/>
        <v>Grain</v>
      </c>
      <c r="G764" s="1">
        <v>5.99</v>
      </c>
      <c r="H764" t="s">
        <v>1682</v>
      </c>
      <c r="I764" s="3" t="s">
        <v>689</v>
      </c>
    </row>
    <row r="765" spans="1:9" x14ac:dyDescent="0.25">
      <c r="A765" t="s">
        <v>2499</v>
      </c>
      <c r="B765" t="s">
        <v>2500</v>
      </c>
      <c r="C765" t="s">
        <v>2501</v>
      </c>
      <c r="D765" t="str" cm="1">
        <f t="array" ref="D765">_xlfn.TEXTJOIN("", TRUE, IF(ISNUMBER(SEARCH($K$1379:$K$1423, C765)), $K$1379:$K$1423, ""))</f>
        <v>Lundberg</v>
      </c>
      <c r="E765" t="str">
        <f t="shared" si="22"/>
        <v>Rice</v>
      </c>
      <c r="F765" t="str">
        <f t="shared" si="23"/>
        <v>Grain</v>
      </c>
      <c r="G765" s="1">
        <v>10.99</v>
      </c>
      <c r="H765" t="s">
        <v>2502</v>
      </c>
      <c r="I765" s="3" t="s">
        <v>1707</v>
      </c>
    </row>
    <row r="766" spans="1:9" x14ac:dyDescent="0.25">
      <c r="A766" t="s">
        <v>2503</v>
      </c>
      <c r="B766" t="s">
        <v>2504</v>
      </c>
      <c r="C766" t="s">
        <v>2505</v>
      </c>
      <c r="D766" t="str" cm="1">
        <f t="array" ref="D766">_xlfn.TEXTJOIN("", TRUE, IF(ISNUMBER(SEARCH($K$1379:$K$1423, C766)), $K$1379:$K$1423, ""))</f>
        <v>Lundberg</v>
      </c>
      <c r="E766" t="str">
        <f t="shared" si="22"/>
        <v>Rice</v>
      </c>
      <c r="F766" t="str">
        <f t="shared" si="23"/>
        <v>Grain</v>
      </c>
      <c r="G766" s="1">
        <v>4.49</v>
      </c>
      <c r="H766" t="s">
        <v>1179</v>
      </c>
      <c r="I766" s="3" t="s">
        <v>2305</v>
      </c>
    </row>
    <row r="767" spans="1:9" x14ac:dyDescent="0.25">
      <c r="A767" t="s">
        <v>2506</v>
      </c>
      <c r="B767" t="s">
        <v>2507</v>
      </c>
      <c r="C767" t="s">
        <v>2508</v>
      </c>
      <c r="D767" t="str" cm="1">
        <f t="array" ref="D767">_xlfn.TEXTJOIN("", TRUE, IF(ISNUMBER(SEARCH($K$1379:$K$1423, C767)), $K$1379:$K$1423, ""))</f>
        <v>Lundberg</v>
      </c>
      <c r="E767" t="str">
        <f t="shared" si="22"/>
        <v>Rice</v>
      </c>
      <c r="F767" t="str">
        <f t="shared" si="23"/>
        <v>Grain</v>
      </c>
      <c r="G767" s="1">
        <v>10.99</v>
      </c>
      <c r="H767" t="s">
        <v>2502</v>
      </c>
      <c r="I767" s="3" t="s">
        <v>1707</v>
      </c>
    </row>
    <row r="768" spans="1:9" x14ac:dyDescent="0.25">
      <c r="A768" t="s">
        <v>2509</v>
      </c>
      <c r="B768" t="s">
        <v>2510</v>
      </c>
      <c r="C768" t="s">
        <v>2511</v>
      </c>
      <c r="D768" t="str" cm="1">
        <f t="array" ref="D768">_xlfn.TEXTJOIN("", TRUE, IF(ISNUMBER(SEARCH($K$1379:$K$1423, C768)), $K$1379:$K$1423, ""))</f>
        <v>Lundberg</v>
      </c>
      <c r="E768" t="str">
        <f t="shared" si="22"/>
        <v>Rice</v>
      </c>
      <c r="F768" t="str">
        <f t="shared" si="23"/>
        <v>Grain</v>
      </c>
      <c r="G768" s="1">
        <v>4.49</v>
      </c>
      <c r="H768" t="s">
        <v>211</v>
      </c>
      <c r="I768" s="3" t="s">
        <v>2305</v>
      </c>
    </row>
    <row r="769" spans="1:9" x14ac:dyDescent="0.25">
      <c r="A769" t="s">
        <v>2512</v>
      </c>
      <c r="B769" t="s">
        <v>2513</v>
      </c>
      <c r="C769" t="s">
        <v>2514</v>
      </c>
      <c r="D769" t="str" cm="1">
        <f t="array" ref="D769">_xlfn.TEXTJOIN("", TRUE, IF(ISNUMBER(SEARCH($K$1379:$K$1423, C769)), $K$1379:$K$1423, ""))</f>
        <v>Lundberg</v>
      </c>
      <c r="E769" t="str">
        <f t="shared" si="22"/>
        <v>Rice</v>
      </c>
      <c r="F769" t="str">
        <f t="shared" si="23"/>
        <v>Grain</v>
      </c>
      <c r="G769" s="1">
        <v>8.99</v>
      </c>
      <c r="H769" t="s">
        <v>2502</v>
      </c>
      <c r="I769" s="3" t="s">
        <v>320</v>
      </c>
    </row>
    <row r="770" spans="1:9" x14ac:dyDescent="0.25">
      <c r="A770" t="s">
        <v>2515</v>
      </c>
      <c r="B770" t="s">
        <v>2516</v>
      </c>
      <c r="C770" t="s">
        <v>2517</v>
      </c>
      <c r="D770" t="str" cm="1">
        <f t="array" ref="D770">_xlfn.TEXTJOIN("", TRUE, IF(ISNUMBER(SEARCH($K$1379:$K$1423, C770)), $K$1379:$K$1423, ""))</f>
        <v>Lundberg</v>
      </c>
      <c r="E770" t="str">
        <f t="shared" ref="E770:E833" si="24">IF(OR(D770="Mission",D770="Nature's Own",D770="Sara Lee"),"Bread",
IF(OR(D770="Del Monte",D770="Dole",D770="Mott's"),"Canned Fruit",
IF(OR(D770="Goya",D770="Hunt's",D770="Birds Eye"),"Canned Vegetables",
IF(OR(D770="fairlife",D770="Horizon Organic",D770="Lactaid",D770="Ben &amp; Jerry's"),"Milk",
IF(OR(D770="BelGioioso",D770="Kraft",D770="Philadelphia"),"Cheese",
IF(OR(D770="Chobani",D770="Oikos",D770="Dannon Light + Fit"),"Yogurt",
IF(OR(D770="Barilla",D770="Annie's",D770="Rao's Homemade"),"Pasta",
IF(OR(D770="Hershey's",D770="Lay's",D770="Totino's",D770="Cheerios",D770="Jif",D770="Skippy",D770="Nature Valley",D770="OREO",D770="DiGiorno",D770="Eggo"),"Prepared Food",
IF(OR(D770="Ben's Original",D770="Lundberg",D770="Quaker"),"Rice",
IF(OR(D770="Bush's",D770="Hillshire Farm",D770="Oscar Mayer",D770="SPAM"),"Protein",
IF(OR(D770="Starbucks",D770="Sparkling Ice",D770="Coca-Cola",D770="San Pellegrino",D770="Gatorade",D770="Arizona"),"Beverages",
"Other")))))))))))</f>
        <v>Rice</v>
      </c>
      <c r="F770" t="str">
        <f t="shared" ref="F770:F833" si="25">IF(OR(E770="Bread",E770="Rice",E770="Pasta"), "Grain",
IF(OR(E770="Milk",E770="Cheese",E770="Yogurt"), "Dairy",
IF(OR(E770="Canned Fruit",E770="Canned Vegetables"), "Fruit &amp; Vegetables",
IF(E770="Prepared Food", "Prepared Food",
IF(E770="Protein", "Protein",
IF(E770="Beverages", "Beverages",
"Other"))))))</f>
        <v>Grain</v>
      </c>
      <c r="G770" s="1">
        <v>8.99</v>
      </c>
      <c r="H770" t="s">
        <v>2502</v>
      </c>
      <c r="I770" s="3" t="s">
        <v>320</v>
      </c>
    </row>
    <row r="771" spans="1:9" x14ac:dyDescent="0.25">
      <c r="A771" t="s">
        <v>2518</v>
      </c>
      <c r="B771" t="s">
        <v>2519</v>
      </c>
      <c r="C771" t="s">
        <v>2520</v>
      </c>
      <c r="D771" t="str" cm="1">
        <f t="array" ref="D771">_xlfn.TEXTJOIN("", TRUE, IF(ISNUMBER(SEARCH($K$1379:$K$1423, C771)), $K$1379:$K$1423, ""))</f>
        <v>Lundberg</v>
      </c>
      <c r="E771" t="str">
        <f t="shared" si="24"/>
        <v>Rice</v>
      </c>
      <c r="F771" t="str">
        <f t="shared" si="25"/>
        <v>Grain</v>
      </c>
      <c r="G771" s="1">
        <v>5.49</v>
      </c>
      <c r="H771" t="s">
        <v>2521</v>
      </c>
      <c r="I771" s="3" t="s">
        <v>2522</v>
      </c>
    </row>
    <row r="772" spans="1:9" x14ac:dyDescent="0.25">
      <c r="A772" t="s">
        <v>2523</v>
      </c>
      <c r="B772" t="s">
        <v>2524</v>
      </c>
      <c r="C772" t="s">
        <v>2525</v>
      </c>
      <c r="D772" t="str" cm="1">
        <f t="array" ref="D772">_xlfn.TEXTJOIN("", TRUE, IF(ISNUMBER(SEARCH($K$1379:$K$1423, C772)), $K$1379:$K$1423, ""))</f>
        <v>Lundberg</v>
      </c>
      <c r="E772" t="str">
        <f t="shared" si="24"/>
        <v>Rice</v>
      </c>
      <c r="F772" t="str">
        <f t="shared" si="25"/>
        <v>Grain</v>
      </c>
      <c r="G772" s="1">
        <v>7.99</v>
      </c>
      <c r="H772" t="s">
        <v>2502</v>
      </c>
      <c r="I772" s="3" t="s">
        <v>149</v>
      </c>
    </row>
    <row r="773" spans="1:9" x14ac:dyDescent="0.25">
      <c r="A773" t="s">
        <v>2526</v>
      </c>
      <c r="B773" t="s">
        <v>2527</v>
      </c>
      <c r="C773" t="s">
        <v>2528</v>
      </c>
      <c r="D773" t="str" cm="1">
        <f t="array" ref="D773">_xlfn.TEXTJOIN("", TRUE, IF(ISNUMBER(SEARCH($K$1379:$K$1423, C773)), $K$1379:$K$1423, ""))</f>
        <v>Lundberg</v>
      </c>
      <c r="E773" t="str">
        <f t="shared" si="24"/>
        <v>Rice</v>
      </c>
      <c r="F773" t="str">
        <f t="shared" si="25"/>
        <v>Grain</v>
      </c>
      <c r="G773" s="1">
        <v>5.19</v>
      </c>
      <c r="H773" t="s">
        <v>360</v>
      </c>
      <c r="I773" s="3" t="s">
        <v>2529</v>
      </c>
    </row>
    <row r="774" spans="1:9" x14ac:dyDescent="0.25">
      <c r="A774" t="s">
        <v>2530</v>
      </c>
      <c r="B774" t="s">
        <v>2531</v>
      </c>
      <c r="C774" t="s">
        <v>2532</v>
      </c>
      <c r="D774" t="str" cm="1">
        <f t="array" ref="D774">_xlfn.TEXTJOIN("", TRUE, IF(ISNUMBER(SEARCH($K$1379:$K$1423, C774)), $K$1379:$K$1423, ""))</f>
        <v>Lundberg</v>
      </c>
      <c r="E774" t="str">
        <f t="shared" si="24"/>
        <v>Rice</v>
      </c>
      <c r="F774" t="str">
        <f t="shared" si="25"/>
        <v>Grain</v>
      </c>
      <c r="G774" s="1">
        <v>7.99</v>
      </c>
      <c r="H774" t="s">
        <v>2502</v>
      </c>
      <c r="I774" s="3" t="s">
        <v>149</v>
      </c>
    </row>
    <row r="775" spans="1:9" x14ac:dyDescent="0.25">
      <c r="A775" t="s">
        <v>2533</v>
      </c>
      <c r="B775" t="s">
        <v>2534</v>
      </c>
      <c r="C775" t="s">
        <v>2535</v>
      </c>
      <c r="D775" t="str" cm="1">
        <f t="array" ref="D775">_xlfn.TEXTJOIN("", TRUE, IF(ISNUMBER(SEARCH($K$1379:$K$1423, C775)), $K$1379:$K$1423, ""))</f>
        <v>Lundberg</v>
      </c>
      <c r="E775" t="str">
        <f t="shared" si="24"/>
        <v>Rice</v>
      </c>
      <c r="F775" t="str">
        <f t="shared" si="25"/>
        <v>Grain</v>
      </c>
      <c r="G775" s="1">
        <v>8.99</v>
      </c>
      <c r="H775" t="s">
        <v>2502</v>
      </c>
      <c r="I775" s="3" t="s">
        <v>320</v>
      </c>
    </row>
    <row r="776" spans="1:9" x14ac:dyDescent="0.25">
      <c r="A776" t="s">
        <v>2536</v>
      </c>
      <c r="B776" t="s">
        <v>2537</v>
      </c>
      <c r="C776" t="s">
        <v>2538</v>
      </c>
      <c r="D776" t="str" cm="1">
        <f t="array" ref="D776">_xlfn.TEXTJOIN("", TRUE, IF(ISNUMBER(SEARCH($K$1379:$K$1423, C776)), $K$1379:$K$1423, ""))</f>
        <v>Lundberg</v>
      </c>
      <c r="E776" t="str">
        <f t="shared" si="24"/>
        <v>Rice</v>
      </c>
      <c r="F776" t="str">
        <f t="shared" si="25"/>
        <v>Grain</v>
      </c>
      <c r="G776" s="1">
        <v>4.49</v>
      </c>
      <c r="H776" t="s">
        <v>211</v>
      </c>
      <c r="I776" s="3" t="s">
        <v>2305</v>
      </c>
    </row>
    <row r="777" spans="1:9" x14ac:dyDescent="0.25">
      <c r="A777" t="s">
        <v>2539</v>
      </c>
      <c r="B777" t="s">
        <v>2540</v>
      </c>
      <c r="C777" t="s">
        <v>2541</v>
      </c>
      <c r="D777" t="str" cm="1">
        <f t="array" ref="D777">_xlfn.TEXTJOIN("", TRUE, IF(ISNUMBER(SEARCH($K$1379:$K$1423, C777)), $K$1379:$K$1423, ""))</f>
        <v>Lundberg</v>
      </c>
      <c r="E777" t="str">
        <f t="shared" si="24"/>
        <v>Rice</v>
      </c>
      <c r="F777" t="str">
        <f t="shared" si="25"/>
        <v>Grain</v>
      </c>
      <c r="G777" s="1">
        <v>10.99</v>
      </c>
      <c r="H777" t="s">
        <v>2502</v>
      </c>
      <c r="I777" s="3" t="s">
        <v>1707</v>
      </c>
    </row>
    <row r="778" spans="1:9" x14ac:dyDescent="0.25">
      <c r="A778" t="s">
        <v>2542</v>
      </c>
      <c r="B778" t="s">
        <v>2543</v>
      </c>
      <c r="C778" t="s">
        <v>2544</v>
      </c>
      <c r="D778" t="str" cm="1">
        <f t="array" ref="D778">_xlfn.TEXTJOIN("", TRUE, IF(ISNUMBER(SEARCH($K$1379:$K$1423, C778)), $K$1379:$K$1423, ""))</f>
        <v>Lundberg</v>
      </c>
      <c r="E778" t="str">
        <f t="shared" si="24"/>
        <v>Rice</v>
      </c>
      <c r="F778" t="str">
        <f t="shared" si="25"/>
        <v>Grain</v>
      </c>
      <c r="G778" s="1">
        <v>5.49</v>
      </c>
      <c r="H778" t="s">
        <v>1307</v>
      </c>
      <c r="I778" s="3" t="s">
        <v>2495</v>
      </c>
    </row>
    <row r="779" spans="1:9" x14ac:dyDescent="0.25">
      <c r="A779" t="s">
        <v>2545</v>
      </c>
      <c r="B779" t="s">
        <v>2546</v>
      </c>
      <c r="C779" t="s">
        <v>2547</v>
      </c>
      <c r="D779" t="str" cm="1">
        <f t="array" ref="D779">_xlfn.TEXTJOIN("", TRUE, IF(ISNUMBER(SEARCH($K$1379:$K$1423, C779)), $K$1379:$K$1423, ""))</f>
        <v>Lundberg</v>
      </c>
      <c r="E779" t="str">
        <f t="shared" si="24"/>
        <v>Rice</v>
      </c>
      <c r="F779" t="str">
        <f t="shared" si="25"/>
        <v>Grain</v>
      </c>
      <c r="G779" s="1">
        <v>10.99</v>
      </c>
      <c r="H779" t="s">
        <v>2502</v>
      </c>
      <c r="I779" s="3" t="s">
        <v>1707</v>
      </c>
    </row>
    <row r="780" spans="1:9" x14ac:dyDescent="0.25">
      <c r="A780" t="s">
        <v>2548</v>
      </c>
      <c r="B780" t="s">
        <v>2549</v>
      </c>
      <c r="C780" t="s">
        <v>2550</v>
      </c>
      <c r="D780" t="str" cm="1">
        <f t="array" ref="D780">_xlfn.TEXTJOIN("", TRUE, IF(ISNUMBER(SEARCH($K$1379:$K$1423, C780)), $K$1379:$K$1423, ""))</f>
        <v>Lundberg</v>
      </c>
      <c r="E780" t="str">
        <f t="shared" si="24"/>
        <v>Rice</v>
      </c>
      <c r="F780" t="str">
        <f t="shared" si="25"/>
        <v>Grain</v>
      </c>
      <c r="G780" s="1">
        <v>10.99</v>
      </c>
      <c r="H780" t="s">
        <v>2502</v>
      </c>
      <c r="I780" s="3" t="s">
        <v>1707</v>
      </c>
    </row>
    <row r="781" spans="1:9" x14ac:dyDescent="0.25">
      <c r="A781" t="s">
        <v>2551</v>
      </c>
      <c r="B781" t="s">
        <v>2552</v>
      </c>
      <c r="C781" t="s">
        <v>2553</v>
      </c>
      <c r="D781" t="str" cm="1">
        <f t="array" ref="D781">_xlfn.TEXTJOIN("", TRUE, IF(ISNUMBER(SEARCH($K$1379:$K$1423, C781)), $K$1379:$K$1423, ""))</f>
        <v>Lundberg</v>
      </c>
      <c r="E781" t="str">
        <f t="shared" si="24"/>
        <v>Rice</v>
      </c>
      <c r="F781" t="str">
        <f t="shared" si="25"/>
        <v>Grain</v>
      </c>
      <c r="G781" s="1">
        <v>4.49</v>
      </c>
      <c r="H781" t="s">
        <v>211</v>
      </c>
      <c r="I781" s="3" t="s">
        <v>2305</v>
      </c>
    </row>
    <row r="782" spans="1:9" x14ac:dyDescent="0.25">
      <c r="A782" t="s">
        <v>2554</v>
      </c>
      <c r="B782" t="s">
        <v>2555</v>
      </c>
      <c r="C782" t="s">
        <v>2556</v>
      </c>
      <c r="D782" t="str" cm="1">
        <f t="array" ref="D782">_xlfn.TEXTJOIN("", TRUE, IF(ISNUMBER(SEARCH($K$1379:$K$1423, C782)), $K$1379:$K$1423, ""))</f>
        <v>Lundberg</v>
      </c>
      <c r="E782" t="str">
        <f t="shared" si="24"/>
        <v>Rice</v>
      </c>
      <c r="F782" t="str">
        <f t="shared" si="25"/>
        <v>Grain</v>
      </c>
      <c r="G782" s="1">
        <v>6.39</v>
      </c>
      <c r="H782" t="s">
        <v>355</v>
      </c>
      <c r="I782" s="3" t="s">
        <v>689</v>
      </c>
    </row>
    <row r="783" spans="1:9" x14ac:dyDescent="0.25">
      <c r="A783" t="s">
        <v>2557</v>
      </c>
      <c r="B783" t="s">
        <v>2558</v>
      </c>
      <c r="C783" t="s">
        <v>2559</v>
      </c>
      <c r="D783" t="str" cm="1">
        <f t="array" ref="D783">_xlfn.TEXTJOIN("", TRUE, IF(ISNUMBER(SEARCH($K$1379:$K$1423, C783)), $K$1379:$K$1423, ""))</f>
        <v>Lundberg</v>
      </c>
      <c r="E783" t="str">
        <f t="shared" si="24"/>
        <v>Rice</v>
      </c>
      <c r="F783" t="str">
        <f t="shared" si="25"/>
        <v>Grain</v>
      </c>
      <c r="G783" s="1">
        <v>5.19</v>
      </c>
      <c r="H783" t="s">
        <v>360</v>
      </c>
      <c r="I783" s="3" t="s">
        <v>2529</v>
      </c>
    </row>
    <row r="784" spans="1:9" x14ac:dyDescent="0.25">
      <c r="A784" t="s">
        <v>2560</v>
      </c>
      <c r="B784" t="s">
        <v>2561</v>
      </c>
      <c r="C784" t="s">
        <v>2562</v>
      </c>
      <c r="D784" t="str" cm="1">
        <f t="array" ref="D784">_xlfn.TEXTJOIN("", TRUE, IF(ISNUMBER(SEARCH($K$1379:$K$1423, C784)), $K$1379:$K$1423, ""))</f>
        <v>Lundberg</v>
      </c>
      <c r="E784" t="str">
        <f t="shared" si="24"/>
        <v>Rice</v>
      </c>
      <c r="F784" t="str">
        <f t="shared" si="25"/>
        <v>Grain</v>
      </c>
      <c r="G784" s="1">
        <v>4.29</v>
      </c>
      <c r="H784" t="s">
        <v>2563</v>
      </c>
      <c r="I784" s="3" t="s">
        <v>1724</v>
      </c>
    </row>
    <row r="785" spans="1:9" x14ac:dyDescent="0.25">
      <c r="A785" t="s">
        <v>2564</v>
      </c>
      <c r="B785" t="s">
        <v>2565</v>
      </c>
      <c r="C785" t="s">
        <v>2566</v>
      </c>
      <c r="D785" t="str" cm="1">
        <f t="array" ref="D785">_xlfn.TEXTJOIN("", TRUE, IF(ISNUMBER(SEARCH($K$1379:$K$1423, C785)), $K$1379:$K$1423, ""))</f>
        <v>Quaker</v>
      </c>
      <c r="E785" t="str">
        <f t="shared" si="24"/>
        <v>Rice</v>
      </c>
      <c r="F785" t="str">
        <f t="shared" si="25"/>
        <v>Grain</v>
      </c>
      <c r="G785" s="1">
        <v>4.99</v>
      </c>
      <c r="H785" t="s">
        <v>31</v>
      </c>
      <c r="I785" s="3" t="s">
        <v>356</v>
      </c>
    </row>
    <row r="786" spans="1:9" x14ac:dyDescent="0.25">
      <c r="A786" t="s">
        <v>2569</v>
      </c>
      <c r="B786" t="s">
        <v>2570</v>
      </c>
      <c r="C786" t="s">
        <v>2571</v>
      </c>
      <c r="D786" t="str" cm="1">
        <f t="array" ref="D786">_xlfn.TEXTJOIN("", TRUE, IF(ISNUMBER(SEARCH($K$1379:$K$1423, C786)), $K$1379:$K$1423, ""))</f>
        <v>Quaker</v>
      </c>
      <c r="E786" t="str">
        <f t="shared" si="24"/>
        <v>Rice</v>
      </c>
      <c r="F786" t="str">
        <f t="shared" si="25"/>
        <v>Grain</v>
      </c>
      <c r="G786" s="1">
        <v>3.99</v>
      </c>
      <c r="H786" t="s">
        <v>1054</v>
      </c>
      <c r="I786" s="3" t="s">
        <v>18</v>
      </c>
    </row>
    <row r="787" spans="1:9" x14ac:dyDescent="0.25">
      <c r="A787" t="s">
        <v>2572</v>
      </c>
      <c r="B787" t="s">
        <v>2573</v>
      </c>
      <c r="C787" t="s">
        <v>2574</v>
      </c>
      <c r="D787" t="str" cm="1">
        <f t="array" ref="D787">_xlfn.TEXTJOIN("", TRUE, IF(ISNUMBER(SEARCH($K$1379:$K$1423, C787)), $K$1379:$K$1423, ""))</f>
        <v>Quaker</v>
      </c>
      <c r="E787" t="str">
        <f t="shared" si="24"/>
        <v>Rice</v>
      </c>
      <c r="F787" t="str">
        <f t="shared" si="25"/>
        <v>Grain</v>
      </c>
      <c r="G787" s="1">
        <v>3.99</v>
      </c>
      <c r="H787" t="s">
        <v>1054</v>
      </c>
      <c r="I787" s="3" t="s">
        <v>18</v>
      </c>
    </row>
    <row r="788" spans="1:9" x14ac:dyDescent="0.25">
      <c r="A788" t="s">
        <v>2575</v>
      </c>
      <c r="B788" t="s">
        <v>2576</v>
      </c>
      <c r="C788" t="s">
        <v>2571</v>
      </c>
      <c r="D788" t="str" cm="1">
        <f t="array" ref="D788">_xlfn.TEXTJOIN("", TRUE, IF(ISNUMBER(SEARCH($K$1379:$K$1423, C788)), $K$1379:$K$1423, ""))</f>
        <v>Quaker</v>
      </c>
      <c r="E788" t="str">
        <f t="shared" si="24"/>
        <v>Rice</v>
      </c>
      <c r="F788" t="str">
        <f t="shared" si="25"/>
        <v>Grain</v>
      </c>
      <c r="G788" s="1">
        <v>6.39</v>
      </c>
      <c r="H788" t="s">
        <v>2577</v>
      </c>
      <c r="I788" s="3" t="s">
        <v>468</v>
      </c>
    </row>
    <row r="789" spans="1:9" x14ac:dyDescent="0.25">
      <c r="A789" t="s">
        <v>2578</v>
      </c>
      <c r="B789" t="s">
        <v>2579</v>
      </c>
      <c r="C789" t="s">
        <v>2574</v>
      </c>
      <c r="D789" t="str" cm="1">
        <f t="array" ref="D789">_xlfn.TEXTJOIN("", TRUE, IF(ISNUMBER(SEARCH($K$1379:$K$1423, C789)), $K$1379:$K$1423, ""))</f>
        <v>Quaker</v>
      </c>
      <c r="E789" t="str">
        <f t="shared" si="24"/>
        <v>Rice</v>
      </c>
      <c r="F789" t="str">
        <f t="shared" si="25"/>
        <v>Grain</v>
      </c>
      <c r="G789" s="1">
        <v>6.39</v>
      </c>
      <c r="H789" t="s">
        <v>2577</v>
      </c>
      <c r="I789" s="3" t="s">
        <v>468</v>
      </c>
    </row>
    <row r="790" spans="1:9" x14ac:dyDescent="0.25">
      <c r="A790" t="s">
        <v>2580</v>
      </c>
      <c r="B790" t="s">
        <v>2581</v>
      </c>
      <c r="C790" t="s">
        <v>2582</v>
      </c>
      <c r="D790" t="str" cm="1">
        <f t="array" ref="D790">_xlfn.TEXTJOIN("", TRUE, IF(ISNUMBER(SEARCH($K$1379:$K$1423, C790)), $K$1379:$K$1423, ""))</f>
        <v>Quaker</v>
      </c>
      <c r="E790" t="str">
        <f t="shared" si="24"/>
        <v>Rice</v>
      </c>
      <c r="F790" t="str">
        <f t="shared" si="25"/>
        <v>Grain</v>
      </c>
      <c r="G790" s="1">
        <v>3.99</v>
      </c>
      <c r="H790" t="s">
        <v>1686</v>
      </c>
      <c r="I790" s="3" t="s">
        <v>490</v>
      </c>
    </row>
    <row r="791" spans="1:9" x14ac:dyDescent="0.25">
      <c r="A791" t="s">
        <v>2583</v>
      </c>
      <c r="B791" t="s">
        <v>2584</v>
      </c>
      <c r="C791" t="s">
        <v>2585</v>
      </c>
      <c r="D791" t="str" cm="1">
        <f t="array" ref="D791">_xlfn.TEXTJOIN("", TRUE, IF(ISNUMBER(SEARCH($K$1379:$K$1423, C791)), $K$1379:$K$1423, ""))</f>
        <v>Quaker</v>
      </c>
      <c r="E791" t="str">
        <f t="shared" si="24"/>
        <v>Rice</v>
      </c>
      <c r="F791" t="str">
        <f t="shared" si="25"/>
        <v>Grain</v>
      </c>
      <c r="G791" s="1">
        <v>7.29</v>
      </c>
      <c r="H791" t="s">
        <v>2586</v>
      </c>
      <c r="I791" s="3" t="s">
        <v>308</v>
      </c>
    </row>
    <row r="792" spans="1:9" x14ac:dyDescent="0.25">
      <c r="A792" t="s">
        <v>2587</v>
      </c>
      <c r="B792" t="s">
        <v>2588</v>
      </c>
      <c r="C792" t="s">
        <v>2589</v>
      </c>
      <c r="D792" t="str" cm="1">
        <f t="array" ref="D792">_xlfn.TEXTJOIN("", TRUE, IF(ISNUMBER(SEARCH($K$1379:$K$1423, C792)), $K$1379:$K$1423, ""))</f>
        <v>Quaker</v>
      </c>
      <c r="E792" t="str">
        <f t="shared" si="24"/>
        <v>Rice</v>
      </c>
      <c r="F792" t="str">
        <f t="shared" si="25"/>
        <v>Grain</v>
      </c>
      <c r="G792" s="1">
        <v>6.19</v>
      </c>
      <c r="H792" t="s">
        <v>1054</v>
      </c>
      <c r="I792" s="3" t="s">
        <v>1707</v>
      </c>
    </row>
    <row r="793" spans="1:9" x14ac:dyDescent="0.25">
      <c r="A793" t="s">
        <v>2590</v>
      </c>
      <c r="B793" t="s">
        <v>2591</v>
      </c>
      <c r="C793" t="s">
        <v>2592</v>
      </c>
      <c r="D793" t="str" cm="1">
        <f t="array" ref="D793">_xlfn.TEXTJOIN("", TRUE, IF(ISNUMBER(SEARCH($K$1379:$K$1423, C793)), $K$1379:$K$1423, ""))</f>
        <v>Quaker</v>
      </c>
      <c r="E793" t="str">
        <f t="shared" si="24"/>
        <v>Rice</v>
      </c>
      <c r="F793" t="str">
        <f t="shared" si="25"/>
        <v>Grain</v>
      </c>
      <c r="G793" s="1">
        <v>7.29</v>
      </c>
      <c r="H793" t="s">
        <v>2593</v>
      </c>
      <c r="I793" s="3" t="s">
        <v>1144</v>
      </c>
    </row>
    <row r="794" spans="1:9" x14ac:dyDescent="0.25">
      <c r="A794" t="s">
        <v>2594</v>
      </c>
      <c r="B794" t="s">
        <v>2595</v>
      </c>
      <c r="C794" t="s">
        <v>2596</v>
      </c>
      <c r="D794" t="str" cm="1">
        <f t="array" ref="D794">_xlfn.TEXTJOIN("", TRUE, IF(ISNUMBER(SEARCH($K$1379:$K$1423, C794)), $K$1379:$K$1423, ""))</f>
        <v>Quaker</v>
      </c>
      <c r="E794" t="str">
        <f t="shared" si="24"/>
        <v>Rice</v>
      </c>
      <c r="F794" t="str">
        <f t="shared" si="25"/>
        <v>Grain</v>
      </c>
      <c r="G794" s="1">
        <v>6.59</v>
      </c>
      <c r="H794" t="s">
        <v>2597</v>
      </c>
      <c r="I794" s="3" t="s">
        <v>79</v>
      </c>
    </row>
    <row r="795" spans="1:9" x14ac:dyDescent="0.25">
      <c r="A795" t="s">
        <v>2598</v>
      </c>
      <c r="B795" t="s">
        <v>2599</v>
      </c>
      <c r="C795" t="s">
        <v>2600</v>
      </c>
      <c r="D795" t="str" cm="1">
        <f t="array" ref="D795">_xlfn.TEXTJOIN("", TRUE, IF(ISNUMBER(SEARCH($K$1379:$K$1423, C795)), $K$1379:$K$1423, ""))</f>
        <v>Quaker</v>
      </c>
      <c r="E795" t="str">
        <f t="shared" si="24"/>
        <v>Rice</v>
      </c>
      <c r="F795" t="str">
        <f t="shared" si="25"/>
        <v>Grain</v>
      </c>
      <c r="G795" s="1">
        <v>6.59</v>
      </c>
      <c r="H795" t="s">
        <v>2597</v>
      </c>
      <c r="I795" s="3" t="s">
        <v>79</v>
      </c>
    </row>
    <row r="796" spans="1:9" x14ac:dyDescent="0.25">
      <c r="A796" t="s">
        <v>2605</v>
      </c>
      <c r="B796" t="s">
        <v>2606</v>
      </c>
      <c r="C796" t="s">
        <v>2607</v>
      </c>
      <c r="D796" t="str" cm="1">
        <f t="array" ref="D796">_xlfn.TEXTJOIN("", TRUE, IF(ISNUMBER(SEARCH($K$1379:$K$1423, C796)), $K$1379:$K$1423, ""))</f>
        <v>Nature Valley</v>
      </c>
      <c r="E796" t="str">
        <f t="shared" si="24"/>
        <v>Prepared Food</v>
      </c>
      <c r="F796" t="str">
        <f t="shared" si="25"/>
        <v>Prepared Food</v>
      </c>
      <c r="G796" s="1">
        <v>3</v>
      </c>
      <c r="H796" t="s">
        <v>2608</v>
      </c>
      <c r="I796" s="3" t="s">
        <v>1518</v>
      </c>
    </row>
    <row r="797" spans="1:9" x14ac:dyDescent="0.25">
      <c r="A797" t="s">
        <v>2609</v>
      </c>
      <c r="B797" t="s">
        <v>2610</v>
      </c>
      <c r="C797" t="s">
        <v>2611</v>
      </c>
      <c r="D797" t="str" cm="1">
        <f t="array" ref="D797">_xlfn.TEXTJOIN("", TRUE, IF(ISNUMBER(SEARCH($K$1379:$K$1423, C797)), $K$1379:$K$1423, ""))</f>
        <v>Nature Valley</v>
      </c>
      <c r="E797" t="str">
        <f t="shared" si="24"/>
        <v>Prepared Food</v>
      </c>
      <c r="F797" t="str">
        <f t="shared" si="25"/>
        <v>Prepared Food</v>
      </c>
      <c r="G797" s="1">
        <v>3</v>
      </c>
      <c r="H797" t="s">
        <v>2612</v>
      </c>
      <c r="I797" s="3" t="s">
        <v>1707</v>
      </c>
    </row>
    <row r="798" spans="1:9" x14ac:dyDescent="0.25">
      <c r="A798" t="s">
        <v>2613</v>
      </c>
      <c r="B798" t="s">
        <v>2614</v>
      </c>
      <c r="C798" t="s">
        <v>2615</v>
      </c>
      <c r="D798" t="str" cm="1">
        <f t="array" ref="D798">_xlfn.TEXTJOIN("", TRUE, IF(ISNUMBER(SEARCH($K$1379:$K$1423, C798)), $K$1379:$K$1423, ""))</f>
        <v>Nature Valley</v>
      </c>
      <c r="E798" t="str">
        <f t="shared" si="24"/>
        <v>Prepared Food</v>
      </c>
      <c r="F798" t="str">
        <f t="shared" si="25"/>
        <v>Prepared Food</v>
      </c>
      <c r="G798" s="1">
        <v>3</v>
      </c>
      <c r="H798" t="s">
        <v>2616</v>
      </c>
      <c r="I798" s="3" t="s">
        <v>507</v>
      </c>
    </row>
    <row r="799" spans="1:9" x14ac:dyDescent="0.25">
      <c r="A799" t="s">
        <v>2617</v>
      </c>
      <c r="B799" t="s">
        <v>2618</v>
      </c>
      <c r="C799" t="s">
        <v>2619</v>
      </c>
      <c r="D799" t="str" cm="1">
        <f t="array" ref="D799">_xlfn.TEXTJOIN("", TRUE, IF(ISNUMBER(SEARCH($K$1379:$K$1423, C799)), $K$1379:$K$1423, ""))</f>
        <v>Nature Valley</v>
      </c>
      <c r="E799" t="str">
        <f t="shared" si="24"/>
        <v>Prepared Food</v>
      </c>
      <c r="F799" t="str">
        <f t="shared" si="25"/>
        <v>Prepared Food</v>
      </c>
      <c r="G799" s="1">
        <v>5.59</v>
      </c>
      <c r="H799" t="s">
        <v>1616</v>
      </c>
      <c r="I799" s="3" t="s">
        <v>2214</v>
      </c>
    </row>
    <row r="800" spans="1:9" x14ac:dyDescent="0.25">
      <c r="A800" t="s">
        <v>2621</v>
      </c>
      <c r="B800" t="s">
        <v>2622</v>
      </c>
      <c r="C800" t="s">
        <v>2623</v>
      </c>
      <c r="D800" t="str" cm="1">
        <f t="array" ref="D800">_xlfn.TEXTJOIN("", TRUE, IF(ISNUMBER(SEARCH($K$1379:$K$1423, C800)), $K$1379:$K$1423, ""))</f>
        <v>Nature Valley</v>
      </c>
      <c r="E800" t="str">
        <f t="shared" si="24"/>
        <v>Prepared Food</v>
      </c>
      <c r="F800" t="str">
        <f t="shared" si="25"/>
        <v>Prepared Food</v>
      </c>
      <c r="G800" s="1">
        <v>3</v>
      </c>
      <c r="H800" t="s">
        <v>2616</v>
      </c>
      <c r="I800" s="3" t="s">
        <v>507</v>
      </c>
    </row>
    <row r="801" spans="1:9" x14ac:dyDescent="0.25">
      <c r="A801" t="s">
        <v>2624</v>
      </c>
      <c r="B801" t="s">
        <v>2625</v>
      </c>
      <c r="C801" t="s">
        <v>2626</v>
      </c>
      <c r="D801" t="str" cm="1">
        <f t="array" ref="D801">_xlfn.TEXTJOIN("", TRUE, IF(ISNUMBER(SEARCH($K$1379:$K$1423, C801)), $K$1379:$K$1423, ""))</f>
        <v>Nature Valley</v>
      </c>
      <c r="E801" t="str">
        <f t="shared" si="24"/>
        <v>Prepared Food</v>
      </c>
      <c r="F801" t="str">
        <f t="shared" si="25"/>
        <v>Prepared Food</v>
      </c>
      <c r="G801" s="1">
        <v>3</v>
      </c>
      <c r="H801" t="s">
        <v>2616</v>
      </c>
      <c r="I801" s="3" t="s">
        <v>507</v>
      </c>
    </row>
    <row r="802" spans="1:9" x14ac:dyDescent="0.25">
      <c r="A802" t="s">
        <v>2627</v>
      </c>
      <c r="B802" t="s">
        <v>2628</v>
      </c>
      <c r="C802" t="s">
        <v>2629</v>
      </c>
      <c r="D802" t="str" cm="1">
        <f t="array" ref="D802">_xlfn.TEXTJOIN("", TRUE, IF(ISNUMBER(SEARCH($K$1379:$K$1423, C802)), $K$1379:$K$1423, ""))</f>
        <v>Nature Valley</v>
      </c>
      <c r="E802" t="str">
        <f t="shared" si="24"/>
        <v>Prepared Food</v>
      </c>
      <c r="F802" t="str">
        <f t="shared" si="25"/>
        <v>Prepared Food</v>
      </c>
      <c r="G802" s="1">
        <v>3</v>
      </c>
      <c r="H802" t="s">
        <v>2612</v>
      </c>
      <c r="I802" s="3" t="s">
        <v>1707</v>
      </c>
    </row>
    <row r="803" spans="1:9" x14ac:dyDescent="0.25">
      <c r="A803" t="s">
        <v>2630</v>
      </c>
      <c r="B803" t="s">
        <v>2631</v>
      </c>
      <c r="C803" t="s">
        <v>2632</v>
      </c>
      <c r="D803" t="str" cm="1">
        <f t="array" ref="D803">_xlfn.TEXTJOIN("", TRUE, IF(ISNUMBER(SEARCH($K$1379:$K$1423, C803)), $K$1379:$K$1423, ""))</f>
        <v>Nature Valley</v>
      </c>
      <c r="E803" t="str">
        <f t="shared" si="24"/>
        <v>Prepared Food</v>
      </c>
      <c r="F803" t="str">
        <f t="shared" si="25"/>
        <v>Prepared Food</v>
      </c>
      <c r="G803" s="1">
        <v>3</v>
      </c>
      <c r="H803" t="s">
        <v>2633</v>
      </c>
      <c r="I803" s="3" t="s">
        <v>1118</v>
      </c>
    </row>
    <row r="804" spans="1:9" x14ac:dyDescent="0.25">
      <c r="A804" t="s">
        <v>2634</v>
      </c>
      <c r="B804" t="s">
        <v>2635</v>
      </c>
      <c r="C804" t="s">
        <v>2636</v>
      </c>
      <c r="D804" t="str" cm="1">
        <f t="array" ref="D804">_xlfn.TEXTJOIN("", TRUE, IF(ISNUMBER(SEARCH($K$1379:$K$1423, C804)), $K$1379:$K$1423, ""))</f>
        <v>Nature Valley</v>
      </c>
      <c r="E804" t="str">
        <f t="shared" si="24"/>
        <v>Prepared Food</v>
      </c>
      <c r="F804" t="str">
        <f t="shared" si="25"/>
        <v>Prepared Food</v>
      </c>
      <c r="G804" s="1">
        <v>5.59</v>
      </c>
      <c r="H804" t="s">
        <v>1682</v>
      </c>
      <c r="I804" s="3" t="s">
        <v>2172</v>
      </c>
    </row>
    <row r="805" spans="1:9" x14ac:dyDescent="0.25">
      <c r="A805" t="s">
        <v>2637</v>
      </c>
      <c r="B805" t="s">
        <v>2638</v>
      </c>
      <c r="C805" t="s">
        <v>2639</v>
      </c>
      <c r="D805" t="str" cm="1">
        <f t="array" ref="D805">_xlfn.TEXTJOIN("", TRUE, IF(ISNUMBER(SEARCH($K$1379:$K$1423, C805)), $K$1379:$K$1423, ""))</f>
        <v>Nature Valley</v>
      </c>
      <c r="E805" t="str">
        <f t="shared" si="24"/>
        <v>Prepared Food</v>
      </c>
      <c r="F805" t="str">
        <f t="shared" si="25"/>
        <v>Prepared Food</v>
      </c>
      <c r="G805" s="1">
        <v>3</v>
      </c>
      <c r="H805" t="s">
        <v>2640</v>
      </c>
      <c r="I805" s="3" t="s">
        <v>157</v>
      </c>
    </row>
    <row r="806" spans="1:9" x14ac:dyDescent="0.25">
      <c r="A806" t="s">
        <v>2641</v>
      </c>
      <c r="B806" t="s">
        <v>2642</v>
      </c>
      <c r="C806" t="s">
        <v>2643</v>
      </c>
      <c r="D806" t="str" cm="1">
        <f t="array" ref="D806">_xlfn.TEXTJOIN("", TRUE, IF(ISNUMBER(SEARCH($K$1379:$K$1423, C806)), $K$1379:$K$1423, ""))</f>
        <v>Nature Valley</v>
      </c>
      <c r="E806" t="str">
        <f t="shared" si="24"/>
        <v>Prepared Food</v>
      </c>
      <c r="F806" t="str">
        <f t="shared" si="25"/>
        <v>Prepared Food</v>
      </c>
      <c r="G806" s="1">
        <v>3</v>
      </c>
      <c r="H806" t="s">
        <v>2633</v>
      </c>
      <c r="I806" s="3" t="s">
        <v>1118</v>
      </c>
    </row>
    <row r="807" spans="1:9" x14ac:dyDescent="0.25">
      <c r="A807" t="s">
        <v>2644</v>
      </c>
      <c r="B807" t="s">
        <v>2645</v>
      </c>
      <c r="C807" t="s">
        <v>2646</v>
      </c>
      <c r="D807" t="str" cm="1">
        <f t="array" ref="D807">_xlfn.TEXTJOIN("", TRUE, IF(ISNUMBER(SEARCH($K$1379:$K$1423, C807)), $K$1379:$K$1423, ""))</f>
        <v>Nature Valley</v>
      </c>
      <c r="E807" t="str">
        <f t="shared" si="24"/>
        <v>Prepared Food</v>
      </c>
      <c r="F807" t="str">
        <f t="shared" si="25"/>
        <v>Prepared Food</v>
      </c>
      <c r="G807" s="1">
        <v>3</v>
      </c>
      <c r="H807" t="s">
        <v>2647</v>
      </c>
      <c r="I807" s="3" t="s">
        <v>2648</v>
      </c>
    </row>
    <row r="808" spans="1:9" x14ac:dyDescent="0.25">
      <c r="A808" t="s">
        <v>2649</v>
      </c>
      <c r="B808" t="s">
        <v>2650</v>
      </c>
      <c r="C808" t="s">
        <v>2651</v>
      </c>
      <c r="D808" t="str" cm="1">
        <f t="array" ref="D808">_xlfn.TEXTJOIN("", TRUE, IF(ISNUMBER(SEARCH($K$1379:$K$1423, C808)), $K$1379:$K$1423, ""))</f>
        <v>Nature Valley</v>
      </c>
      <c r="E808" t="str">
        <f t="shared" si="24"/>
        <v>Prepared Food</v>
      </c>
      <c r="F808" t="str">
        <f t="shared" si="25"/>
        <v>Prepared Food</v>
      </c>
      <c r="G808" s="1">
        <v>3</v>
      </c>
      <c r="H808" t="s">
        <v>2612</v>
      </c>
      <c r="I808" s="3" t="s">
        <v>1707</v>
      </c>
    </row>
    <row r="809" spans="1:9" x14ac:dyDescent="0.25">
      <c r="A809" t="s">
        <v>2652</v>
      </c>
      <c r="B809" t="s">
        <v>2653</v>
      </c>
      <c r="C809" t="s">
        <v>2654</v>
      </c>
      <c r="D809" t="str" cm="1">
        <f t="array" ref="D809">_xlfn.TEXTJOIN("", TRUE, IF(ISNUMBER(SEARCH($K$1379:$K$1423, C809)), $K$1379:$K$1423, ""))</f>
        <v>Nature Valley</v>
      </c>
      <c r="E809" t="str">
        <f t="shared" si="24"/>
        <v>Prepared Food</v>
      </c>
      <c r="F809" t="str">
        <f t="shared" si="25"/>
        <v>Prepared Food</v>
      </c>
      <c r="G809" s="1">
        <v>3</v>
      </c>
      <c r="H809" t="s">
        <v>2612</v>
      </c>
      <c r="I809" s="3" t="s">
        <v>1707</v>
      </c>
    </row>
    <row r="810" spans="1:9" x14ac:dyDescent="0.25">
      <c r="A810" t="s">
        <v>2655</v>
      </c>
      <c r="B810" t="s">
        <v>2656</v>
      </c>
      <c r="C810" t="s">
        <v>2657</v>
      </c>
      <c r="D810" t="str" cm="1">
        <f t="array" ref="D810">_xlfn.TEXTJOIN("", TRUE, IF(ISNUMBER(SEARCH($K$1379:$K$1423, C810)), $K$1379:$K$1423, ""))</f>
        <v>Nature Valley</v>
      </c>
      <c r="E810" t="str">
        <f t="shared" si="24"/>
        <v>Prepared Food</v>
      </c>
      <c r="F810" t="str">
        <f t="shared" si="25"/>
        <v>Prepared Food</v>
      </c>
      <c r="G810" s="1">
        <v>7.69</v>
      </c>
      <c r="H810" t="s">
        <v>2658</v>
      </c>
      <c r="I810" s="3" t="s">
        <v>2328</v>
      </c>
    </row>
    <row r="811" spans="1:9" x14ac:dyDescent="0.25">
      <c r="A811" t="s">
        <v>2659</v>
      </c>
      <c r="B811" t="s">
        <v>2660</v>
      </c>
      <c r="C811" t="s">
        <v>2661</v>
      </c>
      <c r="D811" t="str" cm="1">
        <f t="array" ref="D811">_xlfn.TEXTJOIN("", TRUE, IF(ISNUMBER(SEARCH($K$1379:$K$1423, C811)), $K$1379:$K$1423, ""))</f>
        <v>Nature Valley</v>
      </c>
      <c r="E811" t="str">
        <f t="shared" si="24"/>
        <v>Prepared Food</v>
      </c>
      <c r="F811" t="str">
        <f t="shared" si="25"/>
        <v>Prepared Food</v>
      </c>
      <c r="G811" s="1">
        <v>3</v>
      </c>
      <c r="H811" t="s">
        <v>2647</v>
      </c>
      <c r="I811" s="3" t="s">
        <v>2648</v>
      </c>
    </row>
    <row r="812" spans="1:9" x14ac:dyDescent="0.25">
      <c r="A812" t="s">
        <v>2662</v>
      </c>
      <c r="B812" t="s">
        <v>2663</v>
      </c>
      <c r="C812" t="s">
        <v>2664</v>
      </c>
      <c r="D812" t="str" cm="1">
        <f t="array" ref="D812">_xlfn.TEXTJOIN("", TRUE, IF(ISNUMBER(SEARCH($K$1379:$K$1423, C812)), $K$1379:$K$1423, ""))</f>
        <v>Nature Valley</v>
      </c>
      <c r="E812" t="str">
        <f t="shared" si="24"/>
        <v>Prepared Food</v>
      </c>
      <c r="F812" t="str">
        <f t="shared" si="25"/>
        <v>Prepared Food</v>
      </c>
      <c r="G812" s="1">
        <v>5.59</v>
      </c>
      <c r="H812" t="s">
        <v>1616</v>
      </c>
      <c r="I812" s="3" t="s">
        <v>2214</v>
      </c>
    </row>
    <row r="813" spans="1:9" x14ac:dyDescent="0.25">
      <c r="A813" t="s">
        <v>2665</v>
      </c>
      <c r="B813" t="s">
        <v>2666</v>
      </c>
      <c r="C813" t="s">
        <v>2667</v>
      </c>
      <c r="D813" t="str" cm="1">
        <f t="array" ref="D813">_xlfn.TEXTJOIN("", TRUE, IF(ISNUMBER(SEARCH($K$1379:$K$1423, C813)), $K$1379:$K$1423, ""))</f>
        <v>Nature Valley</v>
      </c>
      <c r="E813" t="str">
        <f t="shared" si="24"/>
        <v>Prepared Food</v>
      </c>
      <c r="F813" t="str">
        <f t="shared" si="25"/>
        <v>Prepared Food</v>
      </c>
      <c r="G813" s="1">
        <v>3</v>
      </c>
      <c r="H813" t="s">
        <v>2616</v>
      </c>
      <c r="I813" s="3" t="s">
        <v>507</v>
      </c>
    </row>
    <row r="814" spans="1:9" x14ac:dyDescent="0.25">
      <c r="A814" t="s">
        <v>2668</v>
      </c>
      <c r="B814" t="s">
        <v>2669</v>
      </c>
      <c r="C814" t="s">
        <v>2670</v>
      </c>
      <c r="D814" t="str" cm="1">
        <f t="array" ref="D814">_xlfn.TEXTJOIN("", TRUE, IF(ISNUMBER(SEARCH($K$1379:$K$1423, C814)), $K$1379:$K$1423, ""))</f>
        <v>Nature Valley</v>
      </c>
      <c r="E814" t="str">
        <f t="shared" si="24"/>
        <v>Prepared Food</v>
      </c>
      <c r="F814" t="str">
        <f t="shared" si="25"/>
        <v>Prepared Food</v>
      </c>
      <c r="G814" s="1">
        <v>7.99</v>
      </c>
      <c r="H814" t="s">
        <v>2671</v>
      </c>
      <c r="I814" s="3" t="s">
        <v>2083</v>
      </c>
    </row>
    <row r="815" spans="1:9" x14ac:dyDescent="0.25">
      <c r="A815" t="s">
        <v>2672</v>
      </c>
      <c r="B815" t="s">
        <v>2673</v>
      </c>
      <c r="C815" t="s">
        <v>2674</v>
      </c>
      <c r="D815" t="str" cm="1">
        <f t="array" ref="D815">_xlfn.TEXTJOIN("", TRUE, IF(ISNUMBER(SEARCH($K$1379:$K$1423, C815)), $K$1379:$K$1423, ""))</f>
        <v>Nature Valley</v>
      </c>
      <c r="E815" t="str">
        <f t="shared" si="24"/>
        <v>Prepared Food</v>
      </c>
      <c r="F815" t="str">
        <f t="shared" si="25"/>
        <v>Prepared Food</v>
      </c>
      <c r="G815" s="1">
        <v>3</v>
      </c>
      <c r="H815" t="s">
        <v>2616</v>
      </c>
      <c r="I815" s="3" t="s">
        <v>507</v>
      </c>
    </row>
    <row r="816" spans="1:9" x14ac:dyDescent="0.25">
      <c r="A816" t="s">
        <v>2675</v>
      </c>
      <c r="B816" t="s">
        <v>2676</v>
      </c>
      <c r="C816" t="s">
        <v>2677</v>
      </c>
      <c r="D816" t="str" cm="1">
        <f t="array" ref="D816">_xlfn.TEXTJOIN("", TRUE, IF(ISNUMBER(SEARCH($K$1379:$K$1423, C816)), $K$1379:$K$1423, ""))</f>
        <v>Nature Valley</v>
      </c>
      <c r="E816" t="str">
        <f t="shared" si="24"/>
        <v>Prepared Food</v>
      </c>
      <c r="F816" t="str">
        <f t="shared" si="25"/>
        <v>Prepared Food</v>
      </c>
      <c r="G816" s="1">
        <v>3</v>
      </c>
      <c r="H816" t="s">
        <v>2612</v>
      </c>
      <c r="I816" s="3" t="s">
        <v>1707</v>
      </c>
    </row>
    <row r="817" spans="1:9" x14ac:dyDescent="0.25">
      <c r="A817" t="s">
        <v>2678</v>
      </c>
      <c r="B817" t="s">
        <v>2679</v>
      </c>
      <c r="C817" t="s">
        <v>2680</v>
      </c>
      <c r="D817" t="str" cm="1">
        <f t="array" ref="D817">_xlfn.TEXTJOIN("", TRUE, IF(ISNUMBER(SEARCH($K$1379:$K$1423, C817)), $K$1379:$K$1423, ""))</f>
        <v>Nature Valley</v>
      </c>
      <c r="E817" t="str">
        <f t="shared" si="24"/>
        <v>Prepared Food</v>
      </c>
      <c r="F817" t="str">
        <f t="shared" si="25"/>
        <v>Prepared Food</v>
      </c>
      <c r="G817" s="1">
        <v>3</v>
      </c>
      <c r="H817" t="s">
        <v>2681</v>
      </c>
      <c r="I817" s="3" t="s">
        <v>1707</v>
      </c>
    </row>
    <row r="818" spans="1:9" x14ac:dyDescent="0.25">
      <c r="A818" t="s">
        <v>2682</v>
      </c>
      <c r="B818" t="s">
        <v>2683</v>
      </c>
      <c r="C818" t="s">
        <v>2684</v>
      </c>
      <c r="D818" t="str" cm="1">
        <f t="array" ref="D818">_xlfn.TEXTJOIN("", TRUE, IF(ISNUMBER(SEARCH($K$1379:$K$1423, C818)), $K$1379:$K$1423, ""))</f>
        <v>Nature Valley</v>
      </c>
      <c r="E818" t="str">
        <f t="shared" si="24"/>
        <v>Prepared Food</v>
      </c>
      <c r="F818" t="str">
        <f t="shared" si="25"/>
        <v>Prepared Food</v>
      </c>
      <c r="G818" s="1">
        <v>3</v>
      </c>
      <c r="H818" t="s">
        <v>2612</v>
      </c>
      <c r="I818" s="3" t="s">
        <v>1707</v>
      </c>
    </row>
    <row r="819" spans="1:9" x14ac:dyDescent="0.25">
      <c r="A819" t="s">
        <v>2685</v>
      </c>
      <c r="B819" t="s">
        <v>2686</v>
      </c>
      <c r="C819" t="s">
        <v>2687</v>
      </c>
      <c r="D819" t="str" cm="1">
        <f t="array" ref="D819">_xlfn.TEXTJOIN("", TRUE, IF(ISNUMBER(SEARCH($K$1379:$K$1423, C819)), $K$1379:$K$1423, ""))</f>
        <v>Nature Valley</v>
      </c>
      <c r="E819" t="str">
        <f t="shared" si="24"/>
        <v>Prepared Food</v>
      </c>
      <c r="F819" t="str">
        <f t="shared" si="25"/>
        <v>Prepared Food</v>
      </c>
      <c r="G819" s="1">
        <v>7.99</v>
      </c>
      <c r="H819" t="s">
        <v>2688</v>
      </c>
      <c r="I819" s="3" t="s">
        <v>2328</v>
      </c>
    </row>
    <row r="820" spans="1:9" x14ac:dyDescent="0.25">
      <c r="A820" t="s">
        <v>2689</v>
      </c>
      <c r="B820" t="s">
        <v>2690</v>
      </c>
      <c r="C820" t="s">
        <v>2691</v>
      </c>
      <c r="D820" t="str" cm="1">
        <f t="array" ref="D820">_xlfn.TEXTJOIN("", TRUE, IF(ISNUMBER(SEARCH($K$1379:$K$1423, C820)), $K$1379:$K$1423, ""))</f>
        <v>Nature Valley</v>
      </c>
      <c r="E820" t="str">
        <f t="shared" si="24"/>
        <v>Prepared Food</v>
      </c>
      <c r="F820" t="str">
        <f t="shared" si="25"/>
        <v>Prepared Food</v>
      </c>
      <c r="G820" s="1">
        <v>3</v>
      </c>
      <c r="H820" t="s">
        <v>2633</v>
      </c>
      <c r="I820" s="3" t="s">
        <v>1118</v>
      </c>
    </row>
    <row r="821" spans="1:9" x14ac:dyDescent="0.25">
      <c r="A821" t="s">
        <v>2692</v>
      </c>
      <c r="B821" t="s">
        <v>2693</v>
      </c>
      <c r="C821" t="s">
        <v>2694</v>
      </c>
      <c r="D821" t="str" cm="1">
        <f t="array" ref="D821">_xlfn.TEXTJOIN("", TRUE, IF(ISNUMBER(SEARCH($K$1379:$K$1423, C821)), $K$1379:$K$1423, ""))</f>
        <v>Nature Valley</v>
      </c>
      <c r="E821" t="str">
        <f t="shared" si="24"/>
        <v>Prepared Food</v>
      </c>
      <c r="F821" t="str">
        <f t="shared" si="25"/>
        <v>Prepared Food</v>
      </c>
      <c r="G821" s="1">
        <v>7.99</v>
      </c>
      <c r="H821" t="s">
        <v>2695</v>
      </c>
      <c r="I821" s="3" t="s">
        <v>1717</v>
      </c>
    </row>
    <row r="822" spans="1:9" x14ac:dyDescent="0.25">
      <c r="A822" t="s">
        <v>2696</v>
      </c>
      <c r="B822" t="s">
        <v>2697</v>
      </c>
      <c r="C822" t="s">
        <v>2698</v>
      </c>
      <c r="D822" t="str" cm="1">
        <f t="array" ref="D822">_xlfn.TEXTJOIN("", TRUE, IF(ISNUMBER(SEARCH($K$1379:$K$1423, C822)), $K$1379:$K$1423, ""))</f>
        <v>Nature Valley</v>
      </c>
      <c r="E822" t="str">
        <f t="shared" si="24"/>
        <v>Prepared Food</v>
      </c>
      <c r="F822" t="str">
        <f t="shared" si="25"/>
        <v>Prepared Food</v>
      </c>
      <c r="G822" s="1">
        <v>7.99</v>
      </c>
      <c r="H822" t="s">
        <v>2695</v>
      </c>
      <c r="I822" s="3" t="s">
        <v>1717</v>
      </c>
    </row>
    <row r="823" spans="1:9" x14ac:dyDescent="0.25">
      <c r="A823" t="s">
        <v>2699</v>
      </c>
      <c r="B823" t="s">
        <v>2700</v>
      </c>
      <c r="C823" t="s">
        <v>2701</v>
      </c>
      <c r="D823" t="str" cm="1">
        <f t="array" ref="D823">_xlfn.TEXTJOIN("", TRUE, IF(ISNUMBER(SEARCH($K$1379:$K$1423, C823)), $K$1379:$K$1423, ""))</f>
        <v>Nature Valley</v>
      </c>
      <c r="E823" t="str">
        <f t="shared" si="24"/>
        <v>Prepared Food</v>
      </c>
      <c r="F823" t="str">
        <f t="shared" si="25"/>
        <v>Prepared Food</v>
      </c>
      <c r="G823" s="1">
        <v>7.99</v>
      </c>
      <c r="H823" t="s">
        <v>2695</v>
      </c>
      <c r="I823" s="3" t="s">
        <v>1717</v>
      </c>
    </row>
    <row r="824" spans="1:9" x14ac:dyDescent="0.25">
      <c r="A824" t="s">
        <v>2702</v>
      </c>
      <c r="B824" t="s">
        <v>2703</v>
      </c>
      <c r="C824" t="s">
        <v>2704</v>
      </c>
      <c r="D824" t="str" cm="1">
        <f t="array" ref="D824">_xlfn.TEXTJOIN("", TRUE, IF(ISNUMBER(SEARCH($K$1379:$K$1423, C824)), $K$1379:$K$1423, ""))</f>
        <v>Nature Valley</v>
      </c>
      <c r="E824" t="str">
        <f t="shared" si="24"/>
        <v>Prepared Food</v>
      </c>
      <c r="F824" t="str">
        <f t="shared" si="25"/>
        <v>Prepared Food</v>
      </c>
      <c r="G824" s="1">
        <v>3</v>
      </c>
      <c r="H824" t="s">
        <v>2612</v>
      </c>
      <c r="I824" s="3" t="s">
        <v>1707</v>
      </c>
    </row>
    <row r="825" spans="1:9" x14ac:dyDescent="0.25">
      <c r="A825" t="s">
        <v>2705</v>
      </c>
      <c r="B825" t="s">
        <v>2706</v>
      </c>
      <c r="C825" t="s">
        <v>2707</v>
      </c>
      <c r="D825" t="str" cm="1">
        <f t="array" ref="D825">_xlfn.TEXTJOIN("", TRUE, IF(ISNUMBER(SEARCH($K$1379:$K$1423, C825)), $K$1379:$K$1423, ""))</f>
        <v>Nature Valley</v>
      </c>
      <c r="E825" t="str">
        <f t="shared" si="24"/>
        <v>Prepared Food</v>
      </c>
      <c r="F825" t="str">
        <f t="shared" si="25"/>
        <v>Prepared Food</v>
      </c>
      <c r="G825" s="1">
        <v>7.99</v>
      </c>
      <c r="H825" t="s">
        <v>2688</v>
      </c>
      <c r="I825" s="3" t="s">
        <v>2328</v>
      </c>
    </row>
    <row r="826" spans="1:9" x14ac:dyDescent="0.25">
      <c r="A826" t="s">
        <v>2708</v>
      </c>
      <c r="B826" t="s">
        <v>2709</v>
      </c>
      <c r="C826" t="s">
        <v>2710</v>
      </c>
      <c r="D826" t="str" cm="1">
        <f t="array" ref="D826">_xlfn.TEXTJOIN("", TRUE, IF(ISNUMBER(SEARCH($K$1379:$K$1423, C826)), $K$1379:$K$1423, ""))</f>
        <v>Nature Valley</v>
      </c>
      <c r="E826" t="str">
        <f t="shared" si="24"/>
        <v>Prepared Food</v>
      </c>
      <c r="F826" t="str">
        <f t="shared" si="25"/>
        <v>Prepared Food</v>
      </c>
      <c r="G826" s="1">
        <v>11.99</v>
      </c>
      <c r="H826" t="s">
        <v>2711</v>
      </c>
      <c r="I826" s="3" t="s">
        <v>507</v>
      </c>
    </row>
    <row r="827" spans="1:9" x14ac:dyDescent="0.25">
      <c r="A827" t="s">
        <v>2712</v>
      </c>
      <c r="B827" t="s">
        <v>2713</v>
      </c>
      <c r="C827" t="s">
        <v>2714</v>
      </c>
      <c r="D827" t="str" cm="1">
        <f t="array" ref="D827">_xlfn.TEXTJOIN("", TRUE, IF(ISNUMBER(SEARCH($K$1379:$K$1423, C827)), $K$1379:$K$1423, ""))</f>
        <v>Nature Valley</v>
      </c>
      <c r="E827" t="str">
        <f t="shared" si="24"/>
        <v>Prepared Food</v>
      </c>
      <c r="F827" t="str">
        <f t="shared" si="25"/>
        <v>Prepared Food</v>
      </c>
      <c r="G827" s="1">
        <v>7.99</v>
      </c>
      <c r="H827" t="s">
        <v>2695</v>
      </c>
      <c r="I827" s="3" t="s">
        <v>1717</v>
      </c>
    </row>
    <row r="828" spans="1:9" x14ac:dyDescent="0.25">
      <c r="A828" t="s">
        <v>2715</v>
      </c>
      <c r="B828" t="s">
        <v>2716</v>
      </c>
      <c r="C828" t="s">
        <v>2717</v>
      </c>
      <c r="D828" t="str" cm="1">
        <f t="array" ref="D828">_xlfn.TEXTJOIN("", TRUE, IF(ISNUMBER(SEARCH($K$1379:$K$1423, C828)), $K$1379:$K$1423, ""))</f>
        <v>Nature Valley</v>
      </c>
      <c r="E828" t="str">
        <f t="shared" si="24"/>
        <v>Prepared Food</v>
      </c>
      <c r="F828" t="str">
        <f t="shared" si="25"/>
        <v>Prepared Food</v>
      </c>
      <c r="G828" s="1">
        <v>5.59</v>
      </c>
      <c r="H828" t="s">
        <v>1522</v>
      </c>
      <c r="I828" s="3" t="s">
        <v>2214</v>
      </c>
    </row>
    <row r="829" spans="1:9" x14ac:dyDescent="0.25">
      <c r="A829" t="s">
        <v>2718</v>
      </c>
      <c r="B829" t="s">
        <v>2719</v>
      </c>
      <c r="C829" t="s">
        <v>2720</v>
      </c>
      <c r="D829" t="str" cm="1">
        <f t="array" ref="D829">_xlfn.TEXTJOIN("", TRUE, IF(ISNUMBER(SEARCH($K$1379:$K$1423, C829)), $K$1379:$K$1423, ""))</f>
        <v>Cheerios</v>
      </c>
      <c r="E829" t="str">
        <f t="shared" si="24"/>
        <v>Prepared Food</v>
      </c>
      <c r="F829" t="str">
        <f t="shared" si="25"/>
        <v>Prepared Food</v>
      </c>
      <c r="G829" s="1">
        <v>5.59</v>
      </c>
      <c r="H829" t="s">
        <v>2722</v>
      </c>
      <c r="I829" t="s">
        <v>99</v>
      </c>
    </row>
    <row r="830" spans="1:9" x14ac:dyDescent="0.25">
      <c r="A830" t="s">
        <v>2723</v>
      </c>
      <c r="B830" t="s">
        <v>2724</v>
      </c>
      <c r="C830" t="s">
        <v>2725</v>
      </c>
      <c r="D830" t="str" cm="1">
        <f t="array" ref="D830">_xlfn.TEXTJOIN("", TRUE, IF(ISNUMBER(SEARCH($K$1379:$K$1423, C830)), $K$1379:$K$1423, ""))</f>
        <v>Cheerios</v>
      </c>
      <c r="E830" t="str">
        <f t="shared" si="24"/>
        <v>Prepared Food</v>
      </c>
      <c r="F830" t="str">
        <f t="shared" si="25"/>
        <v>Prepared Food</v>
      </c>
      <c r="G830" s="1">
        <v>4.79</v>
      </c>
      <c r="H830" t="s">
        <v>2726</v>
      </c>
      <c r="I830" t="s">
        <v>2727</v>
      </c>
    </row>
    <row r="831" spans="1:9" x14ac:dyDescent="0.25">
      <c r="A831" t="s">
        <v>2728</v>
      </c>
      <c r="B831" t="s">
        <v>2729</v>
      </c>
      <c r="C831" t="s">
        <v>2730</v>
      </c>
      <c r="D831" t="str" cm="1">
        <f t="array" ref="D831">_xlfn.TEXTJOIN("", TRUE, IF(ISNUMBER(SEARCH($K$1379:$K$1423, C831)), $K$1379:$K$1423, ""))</f>
        <v>Cheerios</v>
      </c>
      <c r="E831" t="str">
        <f t="shared" si="24"/>
        <v>Prepared Food</v>
      </c>
      <c r="F831" t="str">
        <f t="shared" si="25"/>
        <v>Prepared Food</v>
      </c>
      <c r="G831" s="1">
        <v>5.19</v>
      </c>
      <c r="H831" t="s">
        <v>17</v>
      </c>
      <c r="I831" t="s">
        <v>1337</v>
      </c>
    </row>
    <row r="832" spans="1:9" x14ac:dyDescent="0.25">
      <c r="A832" t="s">
        <v>2731</v>
      </c>
      <c r="B832" t="s">
        <v>2732</v>
      </c>
      <c r="C832" t="s">
        <v>2733</v>
      </c>
      <c r="D832" t="str" cm="1">
        <f t="array" ref="D832">_xlfn.TEXTJOIN("", TRUE, IF(ISNUMBER(SEARCH($K$1379:$K$1423, C832)), $K$1379:$K$1423, ""))</f>
        <v>Cheerios</v>
      </c>
      <c r="E832" t="str">
        <f t="shared" si="24"/>
        <v>Prepared Food</v>
      </c>
      <c r="F832" t="str">
        <f t="shared" si="25"/>
        <v>Prepared Food</v>
      </c>
      <c r="G832" s="1">
        <v>4.99</v>
      </c>
      <c r="H832" t="s">
        <v>2681</v>
      </c>
      <c r="I832" t="s">
        <v>2305</v>
      </c>
    </row>
    <row r="833" spans="1:9" x14ac:dyDescent="0.25">
      <c r="A833" t="s">
        <v>2734</v>
      </c>
      <c r="B833" t="s">
        <v>2735</v>
      </c>
      <c r="C833" t="s">
        <v>2736</v>
      </c>
      <c r="D833" t="str" cm="1">
        <f t="array" ref="D833">_xlfn.TEXTJOIN("", TRUE, IF(ISNUMBER(SEARCH($K$1379:$K$1423, C833)), $K$1379:$K$1423, ""))</f>
        <v>Cheerios</v>
      </c>
      <c r="E833" t="str">
        <f t="shared" si="24"/>
        <v>Prepared Food</v>
      </c>
      <c r="F833" t="str">
        <f t="shared" si="25"/>
        <v>Prepared Food</v>
      </c>
      <c r="G833" s="1">
        <v>5.19</v>
      </c>
      <c r="H833" t="s">
        <v>17</v>
      </c>
      <c r="I833" t="s">
        <v>1337</v>
      </c>
    </row>
    <row r="834" spans="1:9" x14ac:dyDescent="0.25">
      <c r="A834" t="s">
        <v>2737</v>
      </c>
      <c r="B834" t="s">
        <v>2738</v>
      </c>
      <c r="C834" t="s">
        <v>2739</v>
      </c>
      <c r="D834" t="str" cm="1">
        <f t="array" ref="D834">_xlfn.TEXTJOIN("", TRUE, IF(ISNUMBER(SEARCH($K$1379:$K$1423, C834)), $K$1379:$K$1423, ""))</f>
        <v>Cheerios</v>
      </c>
      <c r="E834" t="str">
        <f t="shared" ref="E834:E897" si="26">IF(OR(D834="Mission",D834="Nature's Own",D834="Sara Lee"),"Bread",
IF(OR(D834="Del Monte",D834="Dole",D834="Mott's"),"Canned Fruit",
IF(OR(D834="Goya",D834="Hunt's",D834="Birds Eye"),"Canned Vegetables",
IF(OR(D834="fairlife",D834="Horizon Organic",D834="Lactaid",D834="Ben &amp; Jerry's"),"Milk",
IF(OR(D834="BelGioioso",D834="Kraft",D834="Philadelphia"),"Cheese",
IF(OR(D834="Chobani",D834="Oikos",D834="Dannon Light + Fit"),"Yogurt",
IF(OR(D834="Barilla",D834="Annie's",D834="Rao's Homemade"),"Pasta",
IF(OR(D834="Hershey's",D834="Lay's",D834="Totino's",D834="Cheerios",D834="Jif",D834="Skippy",D834="Nature Valley",D834="OREO",D834="DiGiorno",D834="Eggo"),"Prepared Food",
IF(OR(D834="Ben's Original",D834="Lundberg",D834="Quaker"),"Rice",
IF(OR(D834="Bush's",D834="Hillshire Farm",D834="Oscar Mayer",D834="SPAM"),"Protein",
IF(OR(D834="Starbucks",D834="Sparkling Ice",D834="Coca-Cola",D834="San Pellegrino",D834="Gatorade",D834="Arizona"),"Beverages",
"Other")))))))))))</f>
        <v>Prepared Food</v>
      </c>
      <c r="F834" t="str">
        <f t="shared" ref="F834:F897" si="27">IF(OR(E834="Bread",E834="Rice",E834="Pasta"), "Grain",
IF(OR(E834="Milk",E834="Cheese",E834="Yogurt"), "Dairy",
IF(OR(E834="Canned Fruit",E834="Canned Vegetables"), "Fruit &amp; Vegetables",
IF(E834="Prepared Food", "Prepared Food",
IF(E834="Protein", "Protein",
IF(E834="Beverages", "Beverages",
"Other"))))))</f>
        <v>Prepared Food</v>
      </c>
      <c r="G834" s="1">
        <v>1</v>
      </c>
      <c r="H834" t="s">
        <v>2740</v>
      </c>
      <c r="I834" t="s">
        <v>2305</v>
      </c>
    </row>
    <row r="835" spans="1:9" x14ac:dyDescent="0.25">
      <c r="A835" t="s">
        <v>2741</v>
      </c>
      <c r="B835" t="s">
        <v>2742</v>
      </c>
      <c r="C835" t="s">
        <v>2743</v>
      </c>
      <c r="D835" t="str" cm="1">
        <f t="array" ref="D835">_xlfn.TEXTJOIN("", TRUE, IF(ISNUMBER(SEARCH($K$1379:$K$1423, C835)), $K$1379:$K$1423, ""))</f>
        <v>Cheerios</v>
      </c>
      <c r="E835" t="str">
        <f t="shared" si="26"/>
        <v>Prepared Food</v>
      </c>
      <c r="F835" t="str">
        <f t="shared" si="27"/>
        <v>Prepared Food</v>
      </c>
      <c r="G835" s="1">
        <v>4.99</v>
      </c>
      <c r="H835" t="s">
        <v>2744</v>
      </c>
      <c r="I835" t="s">
        <v>320</v>
      </c>
    </row>
    <row r="836" spans="1:9" x14ac:dyDescent="0.25">
      <c r="A836" t="s">
        <v>2745</v>
      </c>
      <c r="B836" t="s">
        <v>2746</v>
      </c>
      <c r="C836" t="s">
        <v>2747</v>
      </c>
      <c r="D836" t="str" cm="1">
        <f t="array" ref="D836">_xlfn.TEXTJOIN("", TRUE, IF(ISNUMBER(SEARCH($K$1379:$K$1423, C836)), $K$1379:$K$1423, ""))</f>
        <v>Cheerios</v>
      </c>
      <c r="E836" t="str">
        <f t="shared" si="26"/>
        <v>Prepared Food</v>
      </c>
      <c r="F836" t="str">
        <f t="shared" si="27"/>
        <v>Prepared Food</v>
      </c>
      <c r="G836" s="1">
        <v>4.99</v>
      </c>
      <c r="H836" t="s">
        <v>2210</v>
      </c>
      <c r="I836" t="s">
        <v>1717</v>
      </c>
    </row>
    <row r="837" spans="1:9" x14ac:dyDescent="0.25">
      <c r="A837" t="s">
        <v>2748</v>
      </c>
      <c r="B837" t="s">
        <v>2749</v>
      </c>
      <c r="C837" t="s">
        <v>2750</v>
      </c>
      <c r="D837" t="str" cm="1">
        <f t="array" ref="D837">_xlfn.TEXTJOIN("", TRUE, IF(ISNUMBER(SEARCH($K$1379:$K$1423, C837)), $K$1379:$K$1423, ""))</f>
        <v>Cheerios</v>
      </c>
      <c r="E837" t="str">
        <f t="shared" si="26"/>
        <v>Prepared Food</v>
      </c>
      <c r="F837" t="str">
        <f t="shared" si="27"/>
        <v>Prepared Food</v>
      </c>
      <c r="G837" s="1">
        <v>4.99</v>
      </c>
      <c r="H837" t="s">
        <v>2751</v>
      </c>
      <c r="I837" t="s">
        <v>79</v>
      </c>
    </row>
    <row r="838" spans="1:9" x14ac:dyDescent="0.25">
      <c r="A838" t="s">
        <v>2752</v>
      </c>
      <c r="B838" t="s">
        <v>2753</v>
      </c>
      <c r="C838" t="s">
        <v>2754</v>
      </c>
      <c r="D838" t="str" cm="1">
        <f t="array" ref="D838">_xlfn.TEXTJOIN("", TRUE, IF(ISNUMBER(SEARCH($K$1379:$K$1423, C838)), $K$1379:$K$1423, ""))</f>
        <v>Cheerios</v>
      </c>
      <c r="E838" t="str">
        <f t="shared" si="26"/>
        <v>Prepared Food</v>
      </c>
      <c r="F838" t="str">
        <f t="shared" si="27"/>
        <v>Prepared Food</v>
      </c>
      <c r="G838" s="1">
        <v>5.99</v>
      </c>
      <c r="H838" t="s">
        <v>2755</v>
      </c>
      <c r="I838" t="s">
        <v>1373</v>
      </c>
    </row>
    <row r="839" spans="1:9" x14ac:dyDescent="0.25">
      <c r="A839" t="s">
        <v>2756</v>
      </c>
      <c r="B839" t="s">
        <v>2757</v>
      </c>
      <c r="C839" t="s">
        <v>2758</v>
      </c>
      <c r="D839" t="str" cm="1">
        <f t="array" ref="D839">_xlfn.TEXTJOIN("", TRUE, IF(ISNUMBER(SEARCH($K$1379:$K$1423, C839)), $K$1379:$K$1423, ""))</f>
        <v>Cheerios</v>
      </c>
      <c r="E839" t="str">
        <f t="shared" si="26"/>
        <v>Prepared Food</v>
      </c>
      <c r="F839" t="str">
        <f t="shared" si="27"/>
        <v>Prepared Food</v>
      </c>
      <c r="G839" s="1">
        <v>1</v>
      </c>
      <c r="H839" t="s">
        <v>2759</v>
      </c>
      <c r="I839" t="s">
        <v>2760</v>
      </c>
    </row>
    <row r="840" spans="1:9" x14ac:dyDescent="0.25">
      <c r="A840" t="s">
        <v>2761</v>
      </c>
      <c r="B840" t="s">
        <v>2762</v>
      </c>
      <c r="C840" t="s">
        <v>2763</v>
      </c>
      <c r="D840" t="str" cm="1">
        <f t="array" ref="D840">_xlfn.TEXTJOIN("", TRUE, IF(ISNUMBER(SEARCH($K$1379:$K$1423, C840)), $K$1379:$K$1423, ""))</f>
        <v>Cheerios</v>
      </c>
      <c r="E840" t="str">
        <f t="shared" si="26"/>
        <v>Prepared Food</v>
      </c>
      <c r="F840" t="str">
        <f t="shared" si="27"/>
        <v>Prepared Food</v>
      </c>
      <c r="G840" s="1">
        <v>5.99</v>
      </c>
      <c r="H840" t="s">
        <v>2764</v>
      </c>
      <c r="I840" t="s">
        <v>752</v>
      </c>
    </row>
    <row r="841" spans="1:9" x14ac:dyDescent="0.25">
      <c r="A841" t="s">
        <v>2765</v>
      </c>
      <c r="B841" t="s">
        <v>2766</v>
      </c>
      <c r="C841" t="s">
        <v>2767</v>
      </c>
      <c r="D841" t="str" cm="1">
        <f t="array" ref="D841">_xlfn.TEXTJOIN("", TRUE, IF(ISNUMBER(SEARCH($K$1379:$K$1423, C841)), $K$1379:$K$1423, ""))</f>
        <v>Cheerios</v>
      </c>
      <c r="E841" t="str">
        <f t="shared" si="26"/>
        <v>Prepared Food</v>
      </c>
      <c r="F841" t="str">
        <f t="shared" si="27"/>
        <v>Prepared Food</v>
      </c>
      <c r="G841" s="1">
        <v>5.99</v>
      </c>
      <c r="H841" t="s">
        <v>2755</v>
      </c>
      <c r="I841" t="s">
        <v>1373</v>
      </c>
    </row>
    <row r="842" spans="1:9" x14ac:dyDescent="0.25">
      <c r="A842" t="s">
        <v>2768</v>
      </c>
      <c r="B842" t="s">
        <v>2769</v>
      </c>
      <c r="C842" t="s">
        <v>2770</v>
      </c>
      <c r="D842" t="str" cm="1">
        <f t="array" ref="D842">_xlfn.TEXTJOIN("", TRUE, IF(ISNUMBER(SEARCH($K$1379:$K$1423, C842)), $K$1379:$K$1423, ""))</f>
        <v>Cheerios</v>
      </c>
      <c r="E842" t="str">
        <f t="shared" si="26"/>
        <v>Prepared Food</v>
      </c>
      <c r="F842" t="str">
        <f t="shared" si="27"/>
        <v>Prepared Food</v>
      </c>
      <c r="G842" s="1">
        <v>5.99</v>
      </c>
      <c r="H842" t="s">
        <v>2764</v>
      </c>
      <c r="I842" t="s">
        <v>752</v>
      </c>
    </row>
    <row r="843" spans="1:9" x14ac:dyDescent="0.25">
      <c r="A843" t="s">
        <v>2771</v>
      </c>
      <c r="B843" t="s">
        <v>2772</v>
      </c>
      <c r="C843" t="s">
        <v>2773</v>
      </c>
      <c r="D843" t="str" cm="1">
        <f t="array" ref="D843">_xlfn.TEXTJOIN("", TRUE, IF(ISNUMBER(SEARCH($K$1379:$K$1423, C843)), $K$1379:$K$1423, ""))</f>
        <v>Cheerios</v>
      </c>
      <c r="E843" t="str">
        <f t="shared" si="26"/>
        <v>Prepared Food</v>
      </c>
      <c r="F843" t="str">
        <f t="shared" si="27"/>
        <v>Prepared Food</v>
      </c>
      <c r="G843" s="1">
        <v>5.99</v>
      </c>
      <c r="H843" t="s">
        <v>2774</v>
      </c>
      <c r="I843" t="s">
        <v>507</v>
      </c>
    </row>
    <row r="844" spans="1:9" x14ac:dyDescent="0.25">
      <c r="A844" t="s">
        <v>2775</v>
      </c>
      <c r="B844" t="s">
        <v>2776</v>
      </c>
      <c r="C844" t="s">
        <v>2777</v>
      </c>
      <c r="D844" t="str" cm="1">
        <f t="array" ref="D844">_xlfn.TEXTJOIN("", TRUE, IF(ISNUMBER(SEARCH($K$1379:$K$1423, C844)), $K$1379:$K$1423, ""))</f>
        <v>Cheerios</v>
      </c>
      <c r="E844" t="str">
        <f t="shared" si="26"/>
        <v>Prepared Food</v>
      </c>
      <c r="F844" t="str">
        <f t="shared" si="27"/>
        <v>Prepared Food</v>
      </c>
      <c r="G844" s="1">
        <v>5.99</v>
      </c>
      <c r="H844" t="s">
        <v>2774</v>
      </c>
      <c r="I844" t="s">
        <v>507</v>
      </c>
    </row>
    <row r="845" spans="1:9" x14ac:dyDescent="0.25">
      <c r="A845" t="s">
        <v>2778</v>
      </c>
      <c r="B845" t="s">
        <v>2779</v>
      </c>
      <c r="C845" t="s">
        <v>2780</v>
      </c>
      <c r="D845" t="str" cm="1">
        <f t="array" ref="D845">_xlfn.TEXTJOIN("", TRUE, IF(ISNUMBER(SEARCH($K$1379:$K$1423, C845)), $K$1379:$K$1423, ""))</f>
        <v>Cheerios</v>
      </c>
      <c r="E845" t="str">
        <f t="shared" si="26"/>
        <v>Prepared Food</v>
      </c>
      <c r="F845" t="str">
        <f t="shared" si="27"/>
        <v>Prepared Food</v>
      </c>
      <c r="G845" s="1">
        <v>5.99</v>
      </c>
      <c r="H845" t="s">
        <v>2781</v>
      </c>
      <c r="I845" t="s">
        <v>2727</v>
      </c>
    </row>
    <row r="846" spans="1:9" x14ac:dyDescent="0.25">
      <c r="A846" t="s">
        <v>2782</v>
      </c>
      <c r="B846" t="s">
        <v>2783</v>
      </c>
      <c r="C846" t="s">
        <v>2784</v>
      </c>
      <c r="D846" t="str" cm="1">
        <f t="array" ref="D846">_xlfn.TEXTJOIN("", TRUE, IF(ISNUMBER(SEARCH($K$1379:$K$1423, C846)), $K$1379:$K$1423, ""))</f>
        <v>Cheerios</v>
      </c>
      <c r="E846" t="str">
        <f t="shared" si="26"/>
        <v>Prepared Food</v>
      </c>
      <c r="F846" t="str">
        <f t="shared" si="27"/>
        <v>Prepared Food</v>
      </c>
      <c r="G846" s="1">
        <v>6.79</v>
      </c>
      <c r="H846" t="s">
        <v>2744</v>
      </c>
      <c r="I846" t="s">
        <v>1505</v>
      </c>
    </row>
    <row r="847" spans="1:9" x14ac:dyDescent="0.25">
      <c r="A847" t="s">
        <v>2785</v>
      </c>
      <c r="B847" t="s">
        <v>2786</v>
      </c>
      <c r="C847" t="s">
        <v>2787</v>
      </c>
      <c r="D847" t="str" cm="1">
        <f t="array" ref="D847">_xlfn.TEXTJOIN("", TRUE, IF(ISNUMBER(SEARCH($K$1379:$K$1423, C847)), $K$1379:$K$1423, ""))</f>
        <v>Cheerios</v>
      </c>
      <c r="E847" t="str">
        <f t="shared" si="26"/>
        <v>Prepared Food</v>
      </c>
      <c r="F847" t="str">
        <f t="shared" si="27"/>
        <v>Prepared Food</v>
      </c>
      <c r="G847" s="1">
        <v>5.99</v>
      </c>
      <c r="H847" t="s">
        <v>2764</v>
      </c>
      <c r="I847" t="s">
        <v>752</v>
      </c>
    </row>
    <row r="848" spans="1:9" x14ac:dyDescent="0.25">
      <c r="A848" t="s">
        <v>2788</v>
      </c>
      <c r="B848" t="s">
        <v>2789</v>
      </c>
      <c r="C848" t="s">
        <v>2790</v>
      </c>
      <c r="D848" t="str" cm="1">
        <f t="array" ref="D848">_xlfn.TEXTJOIN("", TRUE, IF(ISNUMBER(SEARCH($K$1379:$K$1423, C848)), $K$1379:$K$1423, ""))</f>
        <v>Cheerios</v>
      </c>
      <c r="E848" t="str">
        <f t="shared" si="26"/>
        <v>Prepared Food</v>
      </c>
      <c r="F848" t="str">
        <f t="shared" si="27"/>
        <v>Prepared Food</v>
      </c>
      <c r="G848" s="1">
        <v>5.99</v>
      </c>
      <c r="H848" t="s">
        <v>2791</v>
      </c>
      <c r="I848" t="s">
        <v>507</v>
      </c>
    </row>
    <row r="849" spans="1:9" x14ac:dyDescent="0.25">
      <c r="A849" t="s">
        <v>2792</v>
      </c>
      <c r="B849" t="s">
        <v>2793</v>
      </c>
      <c r="C849" t="s">
        <v>2794</v>
      </c>
      <c r="D849" t="str" cm="1">
        <f t="array" ref="D849">_xlfn.TEXTJOIN("", TRUE, IF(ISNUMBER(SEARCH($K$1379:$K$1423, C849)), $K$1379:$K$1423, ""))</f>
        <v>Cheerios</v>
      </c>
      <c r="E849" t="str">
        <f t="shared" si="26"/>
        <v>Prepared Food</v>
      </c>
      <c r="F849" t="str">
        <f t="shared" si="27"/>
        <v>Prepared Food</v>
      </c>
      <c r="G849" s="1">
        <v>6.99</v>
      </c>
      <c r="H849" t="s">
        <v>2200</v>
      </c>
      <c r="I849" t="s">
        <v>689</v>
      </c>
    </row>
    <row r="850" spans="1:9" x14ac:dyDescent="0.25">
      <c r="A850" t="s">
        <v>2795</v>
      </c>
      <c r="B850" t="s">
        <v>2796</v>
      </c>
      <c r="C850" t="s">
        <v>2797</v>
      </c>
      <c r="D850" t="str" cm="1">
        <f t="array" ref="D850">_xlfn.TEXTJOIN("", TRUE, IF(ISNUMBER(SEARCH($K$1379:$K$1423, C850)), $K$1379:$K$1423, ""))</f>
        <v>Cheerios</v>
      </c>
      <c r="E850" t="str">
        <f t="shared" si="26"/>
        <v>Prepared Food</v>
      </c>
      <c r="F850" t="str">
        <f t="shared" si="27"/>
        <v>Prepared Food</v>
      </c>
      <c r="G850" s="1">
        <v>5.99</v>
      </c>
      <c r="H850" t="s">
        <v>36</v>
      </c>
      <c r="I850" t="s">
        <v>1118</v>
      </c>
    </row>
    <row r="851" spans="1:9" x14ac:dyDescent="0.25">
      <c r="A851" t="s">
        <v>2798</v>
      </c>
      <c r="B851" t="s">
        <v>2799</v>
      </c>
      <c r="C851" t="s">
        <v>2800</v>
      </c>
      <c r="D851" t="str" cm="1">
        <f t="array" ref="D851">_xlfn.TEXTJOIN("", TRUE, IF(ISNUMBER(SEARCH($K$1379:$K$1423, C851)), $K$1379:$K$1423, ""))</f>
        <v>Cheerios</v>
      </c>
      <c r="E851" t="str">
        <f t="shared" si="26"/>
        <v>Prepared Food</v>
      </c>
      <c r="F851" t="str">
        <f t="shared" si="27"/>
        <v>Prepared Food</v>
      </c>
      <c r="G851" s="1">
        <v>3</v>
      </c>
      <c r="H851" t="s">
        <v>2801</v>
      </c>
      <c r="I851" t="s">
        <v>2727</v>
      </c>
    </row>
    <row r="852" spans="1:9" x14ac:dyDescent="0.25">
      <c r="A852" t="s">
        <v>2802</v>
      </c>
      <c r="B852" t="s">
        <v>2803</v>
      </c>
      <c r="C852" t="s">
        <v>2804</v>
      </c>
      <c r="D852" t="str" cm="1">
        <f t="array" ref="D852">_xlfn.TEXTJOIN("", TRUE, IF(ISNUMBER(SEARCH($K$1379:$K$1423, C852)), $K$1379:$K$1423, ""))</f>
        <v>Cheerios</v>
      </c>
      <c r="E852" t="str">
        <f t="shared" si="26"/>
        <v>Prepared Food</v>
      </c>
      <c r="F852" t="str">
        <f t="shared" si="27"/>
        <v>Prepared Food</v>
      </c>
      <c r="G852" s="1">
        <v>5.99</v>
      </c>
      <c r="H852" t="s">
        <v>2805</v>
      </c>
      <c r="I852" t="s">
        <v>1518</v>
      </c>
    </row>
    <row r="853" spans="1:9" x14ac:dyDescent="0.25">
      <c r="A853" t="s">
        <v>2806</v>
      </c>
      <c r="B853" t="s">
        <v>2807</v>
      </c>
      <c r="C853" t="s">
        <v>2808</v>
      </c>
      <c r="D853" t="str" cm="1">
        <f t="array" ref="D853">_xlfn.TEXTJOIN("", TRUE, IF(ISNUMBER(SEARCH($K$1379:$K$1423, C853)), $K$1379:$K$1423, ""))</f>
        <v>Cheerios</v>
      </c>
      <c r="E853" t="str">
        <f t="shared" si="26"/>
        <v>Prepared Food</v>
      </c>
      <c r="F853" t="str">
        <f t="shared" si="27"/>
        <v>Prepared Food</v>
      </c>
      <c r="G853" s="1">
        <v>5.99</v>
      </c>
      <c r="H853" t="s">
        <v>2809</v>
      </c>
      <c r="I853" t="s">
        <v>1118</v>
      </c>
    </row>
    <row r="854" spans="1:9" x14ac:dyDescent="0.25">
      <c r="A854" t="s">
        <v>2810</v>
      </c>
      <c r="B854" t="s">
        <v>2811</v>
      </c>
      <c r="C854" t="s">
        <v>2812</v>
      </c>
      <c r="D854" t="str" cm="1">
        <f t="array" ref="D854">_xlfn.TEXTJOIN("", TRUE, IF(ISNUMBER(SEARCH($K$1379:$K$1423, C854)), $K$1379:$K$1423, ""))</f>
        <v>Cheerios</v>
      </c>
      <c r="E854" t="str">
        <f t="shared" si="26"/>
        <v>Prepared Food</v>
      </c>
      <c r="F854" t="str">
        <f t="shared" si="27"/>
        <v>Prepared Food</v>
      </c>
      <c r="G854" s="1">
        <v>6.59</v>
      </c>
      <c r="H854" t="s">
        <v>1437</v>
      </c>
      <c r="I854" t="s">
        <v>79</v>
      </c>
    </row>
    <row r="855" spans="1:9" x14ac:dyDescent="0.25">
      <c r="A855" t="s">
        <v>2813</v>
      </c>
      <c r="B855" t="s">
        <v>2814</v>
      </c>
      <c r="C855" t="s">
        <v>2815</v>
      </c>
      <c r="D855" t="str" cm="1">
        <f t="array" ref="D855">_xlfn.TEXTJOIN("", TRUE, IF(ISNUMBER(SEARCH($K$1379:$K$1423, C855)), $K$1379:$K$1423, ""))</f>
        <v>Cheerios</v>
      </c>
      <c r="E855" t="str">
        <f t="shared" si="26"/>
        <v>Prepared Food</v>
      </c>
      <c r="F855" t="str">
        <f t="shared" si="27"/>
        <v>Prepared Food</v>
      </c>
      <c r="G855" s="1">
        <v>5.99</v>
      </c>
      <c r="H855" t="s">
        <v>2764</v>
      </c>
      <c r="I855" t="s">
        <v>752</v>
      </c>
    </row>
    <row r="856" spans="1:9" x14ac:dyDescent="0.25">
      <c r="A856" t="s">
        <v>2816</v>
      </c>
      <c r="B856" t="s">
        <v>2817</v>
      </c>
      <c r="C856" t="s">
        <v>2725</v>
      </c>
      <c r="D856" t="str" cm="1">
        <f t="array" ref="D856">_xlfn.TEXTJOIN("", TRUE, IF(ISNUMBER(SEARCH($K$1379:$K$1423, C856)), $K$1379:$K$1423, ""))</f>
        <v>Cheerios</v>
      </c>
      <c r="E856" t="str">
        <f t="shared" si="26"/>
        <v>Prepared Food</v>
      </c>
      <c r="F856" t="str">
        <f t="shared" si="27"/>
        <v>Prepared Food</v>
      </c>
      <c r="G856" s="1">
        <v>6.99</v>
      </c>
      <c r="H856" t="s">
        <v>2502</v>
      </c>
      <c r="I856" t="s">
        <v>18</v>
      </c>
    </row>
    <row r="857" spans="1:9" x14ac:dyDescent="0.25">
      <c r="A857" t="s">
        <v>2818</v>
      </c>
      <c r="B857" t="s">
        <v>2819</v>
      </c>
      <c r="C857" t="s">
        <v>2820</v>
      </c>
      <c r="D857" t="str" cm="1">
        <f t="array" ref="D857">_xlfn.TEXTJOIN("", TRUE, IF(ISNUMBER(SEARCH($K$1379:$K$1423, C857)), $K$1379:$K$1423, ""))</f>
        <v>Cheerios</v>
      </c>
      <c r="E857" t="str">
        <f t="shared" si="26"/>
        <v>Prepared Food</v>
      </c>
      <c r="F857" t="str">
        <f t="shared" si="27"/>
        <v>Prepared Food</v>
      </c>
      <c r="G857" s="1">
        <v>5.49</v>
      </c>
      <c r="H857" t="s">
        <v>2821</v>
      </c>
      <c r="I857" t="s">
        <v>2274</v>
      </c>
    </row>
    <row r="858" spans="1:9" x14ac:dyDescent="0.25">
      <c r="A858" t="s">
        <v>2822</v>
      </c>
      <c r="B858" t="s">
        <v>2823</v>
      </c>
      <c r="C858" t="s">
        <v>2824</v>
      </c>
      <c r="D858" t="str" cm="1">
        <f t="array" ref="D858">_xlfn.TEXTJOIN("", TRUE, IF(ISNUMBER(SEARCH($K$1379:$K$1423, C858)), $K$1379:$K$1423, ""))</f>
        <v>Cheerios</v>
      </c>
      <c r="E858" t="str">
        <f t="shared" si="26"/>
        <v>Prepared Food</v>
      </c>
      <c r="F858" t="str">
        <f t="shared" si="27"/>
        <v>Prepared Food</v>
      </c>
      <c r="G858" s="1">
        <v>5.49</v>
      </c>
      <c r="H858" t="s">
        <v>2821</v>
      </c>
      <c r="I858" t="s">
        <v>2274</v>
      </c>
    </row>
    <row r="859" spans="1:9" x14ac:dyDescent="0.25">
      <c r="A859" t="s">
        <v>2825</v>
      </c>
      <c r="B859" t="s">
        <v>2826</v>
      </c>
      <c r="C859" t="s">
        <v>2827</v>
      </c>
      <c r="D859" t="str" cm="1">
        <f t="array" ref="D859">_xlfn.TEXTJOIN("", TRUE, IF(ISNUMBER(SEARCH($K$1379:$K$1423, C859)), $K$1379:$K$1423, ""))</f>
        <v>Cheerios</v>
      </c>
      <c r="E859" t="str">
        <f t="shared" si="26"/>
        <v>Prepared Food</v>
      </c>
      <c r="F859" t="str">
        <f t="shared" si="27"/>
        <v>Prepared Food</v>
      </c>
      <c r="G859" s="1">
        <v>5.99</v>
      </c>
      <c r="H859" t="s">
        <v>2774</v>
      </c>
      <c r="I859" t="s">
        <v>507</v>
      </c>
    </row>
    <row r="860" spans="1:9" x14ac:dyDescent="0.25">
      <c r="A860" t="s">
        <v>2828</v>
      </c>
      <c r="B860" t="s">
        <v>2829</v>
      </c>
      <c r="C860" t="s">
        <v>2830</v>
      </c>
      <c r="D860" t="str" cm="1">
        <f t="array" ref="D860">_xlfn.TEXTJOIN("", TRUE, IF(ISNUMBER(SEARCH($K$1379:$K$1423, C860)), $K$1379:$K$1423, ""))</f>
        <v>Cheerios</v>
      </c>
      <c r="E860" t="str">
        <f t="shared" si="26"/>
        <v>Prepared Food</v>
      </c>
      <c r="F860" t="str">
        <f t="shared" si="27"/>
        <v>Prepared Food</v>
      </c>
      <c r="G860" s="1">
        <v>3.49</v>
      </c>
      <c r="H860" t="s">
        <v>2831</v>
      </c>
      <c r="I860" t="s">
        <v>858</v>
      </c>
    </row>
    <row r="861" spans="1:9" x14ac:dyDescent="0.25">
      <c r="A861" t="s">
        <v>2832</v>
      </c>
      <c r="B861" t="s">
        <v>2833</v>
      </c>
      <c r="C861" t="s">
        <v>2834</v>
      </c>
      <c r="D861" t="str" cm="1">
        <f t="array" ref="D861">_xlfn.TEXTJOIN("", TRUE, IF(ISNUMBER(SEARCH($K$1379:$K$1423, C861)), $K$1379:$K$1423, ""))</f>
        <v>Cheerios</v>
      </c>
      <c r="E861" t="str">
        <f t="shared" si="26"/>
        <v>Prepared Food</v>
      </c>
      <c r="F861" t="str">
        <f t="shared" si="27"/>
        <v>Prepared Food</v>
      </c>
      <c r="G861" s="1">
        <v>4.84</v>
      </c>
      <c r="H861" t="s">
        <v>2726</v>
      </c>
      <c r="I861" t="s">
        <v>2328</v>
      </c>
    </row>
    <row r="862" spans="1:9" x14ac:dyDescent="0.25">
      <c r="A862" t="s">
        <v>4348</v>
      </c>
      <c r="B862" t="s">
        <v>4349</v>
      </c>
      <c r="C862" t="s">
        <v>4350</v>
      </c>
      <c r="D862" t="str" cm="1">
        <f t="array" ref="D862">_xlfn.TEXTJOIN("", TRUE, IF(ISNUMBER(SEARCH($K$1379:$K$1423, C862)), $K$1379:$K$1423, ""))</f>
        <v>Goya</v>
      </c>
      <c r="E862" t="str">
        <f t="shared" si="26"/>
        <v>Canned Vegetables</v>
      </c>
      <c r="F862" t="str">
        <f t="shared" si="27"/>
        <v>Fruit &amp; Vegetables</v>
      </c>
    </row>
    <row r="863" spans="1:9" x14ac:dyDescent="0.25">
      <c r="A863" t="s">
        <v>2835</v>
      </c>
      <c r="B863" t="s">
        <v>2836</v>
      </c>
      <c r="C863" t="s">
        <v>2837</v>
      </c>
      <c r="D863" t="str" cm="1">
        <f t="array" ref="D863">_xlfn.TEXTJOIN("", TRUE, IF(ISNUMBER(SEARCH($K$1379:$K$1423, C863)), $K$1379:$K$1423, ""))</f>
        <v>Goya</v>
      </c>
      <c r="E863" t="str">
        <f t="shared" si="26"/>
        <v>Canned Vegetables</v>
      </c>
      <c r="F863" t="str">
        <f t="shared" si="27"/>
        <v>Fruit &amp; Vegetables</v>
      </c>
      <c r="G863" s="1">
        <v>2.19</v>
      </c>
      <c r="H863" t="s">
        <v>2839</v>
      </c>
      <c r="I863" s="3" t="s">
        <v>446</v>
      </c>
    </row>
    <row r="864" spans="1:9" x14ac:dyDescent="0.25">
      <c r="A864" t="s">
        <v>2840</v>
      </c>
      <c r="B864" t="s">
        <v>2841</v>
      </c>
      <c r="C864" t="s">
        <v>2842</v>
      </c>
      <c r="D864" t="str" cm="1">
        <f t="array" ref="D864">_xlfn.TEXTJOIN("", TRUE, IF(ISNUMBER(SEARCH($K$1379:$K$1423, C864)), $K$1379:$K$1423, ""))</f>
        <v>Goya</v>
      </c>
      <c r="E864" t="str">
        <f t="shared" si="26"/>
        <v>Canned Vegetables</v>
      </c>
      <c r="F864" t="str">
        <f t="shared" si="27"/>
        <v>Fruit &amp; Vegetables</v>
      </c>
      <c r="G864" s="1">
        <v>2.09</v>
      </c>
      <c r="H864" t="s">
        <v>1682</v>
      </c>
      <c r="I864" s="3" t="s">
        <v>131</v>
      </c>
    </row>
    <row r="865" spans="1:9" x14ac:dyDescent="0.25">
      <c r="A865" t="s">
        <v>2843</v>
      </c>
      <c r="B865" t="s">
        <v>2844</v>
      </c>
      <c r="C865" t="s">
        <v>2845</v>
      </c>
      <c r="D865" t="str" cm="1">
        <f t="array" ref="D865">_xlfn.TEXTJOIN("", TRUE, IF(ISNUMBER(SEARCH($K$1379:$K$1423, C865)), $K$1379:$K$1423, ""))</f>
        <v>Goya</v>
      </c>
      <c r="E865" t="str">
        <f t="shared" si="26"/>
        <v>Canned Vegetables</v>
      </c>
      <c r="F865" t="str">
        <f t="shared" si="27"/>
        <v>Fruit &amp; Vegetables</v>
      </c>
      <c r="G865" s="1">
        <v>2.09</v>
      </c>
      <c r="H865" t="s">
        <v>2839</v>
      </c>
      <c r="I865" s="3" t="s">
        <v>131</v>
      </c>
    </row>
    <row r="866" spans="1:9" x14ac:dyDescent="0.25">
      <c r="A866" t="s">
        <v>2846</v>
      </c>
      <c r="B866" t="s">
        <v>2847</v>
      </c>
      <c r="C866" t="s">
        <v>2848</v>
      </c>
      <c r="D866" t="str" cm="1">
        <f t="array" ref="D866">_xlfn.TEXTJOIN("", TRUE, IF(ISNUMBER(SEARCH($K$1379:$K$1423, C866)), $K$1379:$K$1423, ""))</f>
        <v>Goya</v>
      </c>
      <c r="E866" t="str">
        <f t="shared" si="26"/>
        <v>Canned Vegetables</v>
      </c>
      <c r="F866" t="str">
        <f t="shared" si="27"/>
        <v>Fruit &amp; Vegetables</v>
      </c>
      <c r="G866" s="1">
        <v>2.89</v>
      </c>
      <c r="H866" t="s">
        <v>1682</v>
      </c>
      <c r="I866" s="3" t="s">
        <v>13</v>
      </c>
    </row>
    <row r="867" spans="1:9" x14ac:dyDescent="0.25">
      <c r="A867" t="s">
        <v>2849</v>
      </c>
      <c r="B867" t="s">
        <v>2850</v>
      </c>
      <c r="C867" t="s">
        <v>2851</v>
      </c>
      <c r="D867" t="str" cm="1">
        <f t="array" ref="D867">_xlfn.TEXTJOIN("", TRUE, IF(ISNUMBER(SEARCH($K$1379:$K$1423, C867)), $K$1379:$K$1423, ""))</f>
        <v>Goya</v>
      </c>
      <c r="E867" t="str">
        <f t="shared" si="26"/>
        <v>Canned Vegetables</v>
      </c>
      <c r="F867" t="str">
        <f t="shared" si="27"/>
        <v>Fruit &amp; Vegetables</v>
      </c>
      <c r="G867" s="1">
        <v>1.39</v>
      </c>
      <c r="H867" t="s">
        <v>1682</v>
      </c>
      <c r="I867" s="3" t="s">
        <v>1029</v>
      </c>
    </row>
    <row r="868" spans="1:9" x14ac:dyDescent="0.25">
      <c r="A868" t="s">
        <v>2852</v>
      </c>
      <c r="B868" t="s">
        <v>2853</v>
      </c>
      <c r="C868" t="s">
        <v>2854</v>
      </c>
      <c r="D868" t="str" cm="1">
        <f t="array" ref="D868">_xlfn.TEXTJOIN("", TRUE, IF(ISNUMBER(SEARCH($K$1379:$K$1423, C868)), $K$1379:$K$1423, ""))</f>
        <v>Goya</v>
      </c>
      <c r="E868" t="str">
        <f t="shared" si="26"/>
        <v>Canned Vegetables</v>
      </c>
      <c r="F868" t="str">
        <f t="shared" si="27"/>
        <v>Fruit &amp; Vegetables</v>
      </c>
      <c r="G868" s="1">
        <v>2.59</v>
      </c>
      <c r="H868" t="s">
        <v>1682</v>
      </c>
      <c r="I868" s="3" t="s">
        <v>372</v>
      </c>
    </row>
    <row r="869" spans="1:9" x14ac:dyDescent="0.25">
      <c r="A869" t="s">
        <v>2855</v>
      </c>
      <c r="B869" t="s">
        <v>2856</v>
      </c>
      <c r="C869" t="s">
        <v>2857</v>
      </c>
      <c r="D869" t="str" cm="1">
        <f t="array" ref="D869">_xlfn.TEXTJOIN("", TRUE, IF(ISNUMBER(SEARCH($K$1379:$K$1423, C869)), $K$1379:$K$1423, ""))</f>
        <v>Goya</v>
      </c>
      <c r="E869" t="str">
        <f t="shared" si="26"/>
        <v>Canned Vegetables</v>
      </c>
      <c r="F869" t="str">
        <f t="shared" si="27"/>
        <v>Fruit &amp; Vegetables</v>
      </c>
      <c r="G869" s="1">
        <v>2.4900000000000002</v>
      </c>
      <c r="H869" t="s">
        <v>1682</v>
      </c>
      <c r="I869" s="3" t="s">
        <v>372</v>
      </c>
    </row>
    <row r="870" spans="1:9" x14ac:dyDescent="0.25">
      <c r="A870" t="s">
        <v>2858</v>
      </c>
      <c r="B870" t="s">
        <v>2859</v>
      </c>
      <c r="C870" t="s">
        <v>2860</v>
      </c>
      <c r="D870" t="str" cm="1">
        <f t="array" ref="D870">_xlfn.TEXTJOIN("", TRUE, IF(ISNUMBER(SEARCH($K$1379:$K$1423, C870)), $K$1379:$K$1423, ""))</f>
        <v>Goya</v>
      </c>
      <c r="E870" t="str">
        <f t="shared" si="26"/>
        <v>Canned Vegetables</v>
      </c>
      <c r="F870" t="str">
        <f t="shared" si="27"/>
        <v>Fruit &amp; Vegetables</v>
      </c>
      <c r="G870" s="1">
        <v>1.99</v>
      </c>
      <c r="H870" t="s">
        <v>2861</v>
      </c>
      <c r="I870" s="3" t="s">
        <v>131</v>
      </c>
    </row>
    <row r="871" spans="1:9" x14ac:dyDescent="0.25">
      <c r="A871" t="s">
        <v>2862</v>
      </c>
      <c r="B871" t="s">
        <v>2863</v>
      </c>
      <c r="C871" t="s">
        <v>2864</v>
      </c>
      <c r="D871" t="str" cm="1">
        <f t="array" ref="D871">_xlfn.TEXTJOIN("", TRUE, IF(ISNUMBER(SEARCH($K$1379:$K$1423, C871)), $K$1379:$K$1423, ""))</f>
        <v>Goya</v>
      </c>
      <c r="E871" t="str">
        <f t="shared" si="26"/>
        <v>Canned Vegetables</v>
      </c>
      <c r="F871" t="str">
        <f t="shared" si="27"/>
        <v>Fruit &amp; Vegetables</v>
      </c>
      <c r="G871" s="1">
        <v>1.19</v>
      </c>
      <c r="H871" t="s">
        <v>2861</v>
      </c>
      <c r="I871" s="3" t="s">
        <v>993</v>
      </c>
    </row>
    <row r="872" spans="1:9" x14ac:dyDescent="0.25">
      <c r="A872" t="s">
        <v>2865</v>
      </c>
      <c r="B872" t="s">
        <v>2866</v>
      </c>
      <c r="C872" t="s">
        <v>2867</v>
      </c>
      <c r="D872" t="str" cm="1">
        <f t="array" ref="D872">_xlfn.TEXTJOIN("", TRUE, IF(ISNUMBER(SEARCH($K$1379:$K$1423, C872)), $K$1379:$K$1423, ""))</f>
        <v>Goya</v>
      </c>
      <c r="E872" t="str">
        <f t="shared" si="26"/>
        <v>Canned Vegetables</v>
      </c>
      <c r="F872" t="str">
        <f t="shared" si="27"/>
        <v>Fruit &amp; Vegetables</v>
      </c>
      <c r="G872" s="1">
        <v>2.19</v>
      </c>
      <c r="H872" t="s">
        <v>2861</v>
      </c>
      <c r="I872" s="3" t="s">
        <v>446</v>
      </c>
    </row>
    <row r="873" spans="1:9" x14ac:dyDescent="0.25">
      <c r="A873" t="s">
        <v>2868</v>
      </c>
      <c r="B873" t="s">
        <v>2869</v>
      </c>
      <c r="C873" t="s">
        <v>2870</v>
      </c>
      <c r="D873" t="str" cm="1">
        <f t="array" ref="D873">_xlfn.TEXTJOIN("", TRUE, IF(ISNUMBER(SEARCH($K$1379:$K$1423, C873)), $K$1379:$K$1423, ""))</f>
        <v>Goya</v>
      </c>
      <c r="E873" t="str">
        <f t="shared" si="26"/>
        <v>Canned Vegetables</v>
      </c>
      <c r="F873" t="str">
        <f t="shared" si="27"/>
        <v>Fruit &amp; Vegetables</v>
      </c>
      <c r="G873" s="1">
        <v>1.19</v>
      </c>
      <c r="H873" t="s">
        <v>2861</v>
      </c>
      <c r="I873" s="3" t="s">
        <v>993</v>
      </c>
    </row>
    <row r="874" spans="1:9" x14ac:dyDescent="0.25">
      <c r="A874" t="s">
        <v>2871</v>
      </c>
      <c r="B874" t="s">
        <v>2872</v>
      </c>
      <c r="C874" t="s">
        <v>2873</v>
      </c>
      <c r="D874" t="str" cm="1">
        <f t="array" ref="D874">_xlfn.TEXTJOIN("", TRUE, IF(ISNUMBER(SEARCH($K$1379:$K$1423, C874)), $K$1379:$K$1423, ""))</f>
        <v>Goya</v>
      </c>
      <c r="E874" t="str">
        <f t="shared" si="26"/>
        <v>Canned Vegetables</v>
      </c>
      <c r="F874" t="str">
        <f t="shared" si="27"/>
        <v>Fruit &amp; Vegetables</v>
      </c>
      <c r="G874" s="1">
        <v>1.99</v>
      </c>
      <c r="H874" t="s">
        <v>2861</v>
      </c>
      <c r="I874" s="3" t="s">
        <v>131</v>
      </c>
    </row>
    <row r="875" spans="1:9" x14ac:dyDescent="0.25">
      <c r="A875" t="s">
        <v>2874</v>
      </c>
      <c r="B875" t="s">
        <v>2875</v>
      </c>
      <c r="C875" t="s">
        <v>2876</v>
      </c>
      <c r="D875" t="str" cm="1">
        <f t="array" ref="D875">_xlfn.TEXTJOIN("", TRUE, IF(ISNUMBER(SEARCH($K$1379:$K$1423, C875)), $K$1379:$K$1423, ""))</f>
        <v>Goya</v>
      </c>
      <c r="E875" t="str">
        <f t="shared" si="26"/>
        <v>Canned Vegetables</v>
      </c>
      <c r="F875" t="str">
        <f t="shared" si="27"/>
        <v>Fruit &amp; Vegetables</v>
      </c>
      <c r="G875" s="1">
        <v>1.19</v>
      </c>
      <c r="H875" t="s">
        <v>2861</v>
      </c>
      <c r="I875" s="3" t="s">
        <v>993</v>
      </c>
    </row>
    <row r="876" spans="1:9" x14ac:dyDescent="0.25">
      <c r="A876" t="s">
        <v>2877</v>
      </c>
      <c r="B876" t="s">
        <v>2878</v>
      </c>
      <c r="C876" t="s">
        <v>2879</v>
      </c>
      <c r="D876" t="str" cm="1">
        <f t="array" ref="D876">_xlfn.TEXTJOIN("", TRUE, IF(ISNUMBER(SEARCH($K$1379:$K$1423, C876)), $K$1379:$K$1423, ""))</f>
        <v>Goya</v>
      </c>
      <c r="E876" t="str">
        <f t="shared" si="26"/>
        <v>Canned Vegetables</v>
      </c>
      <c r="F876" t="str">
        <f t="shared" si="27"/>
        <v>Fruit &amp; Vegetables</v>
      </c>
      <c r="G876" s="1">
        <v>1.19</v>
      </c>
      <c r="H876" t="s">
        <v>2861</v>
      </c>
      <c r="I876" s="3" t="s">
        <v>993</v>
      </c>
    </row>
    <row r="877" spans="1:9" x14ac:dyDescent="0.25">
      <c r="A877" t="s">
        <v>2880</v>
      </c>
      <c r="B877" t="s">
        <v>2881</v>
      </c>
      <c r="C877" t="s">
        <v>2882</v>
      </c>
      <c r="D877" t="str" cm="1">
        <f t="array" ref="D877">_xlfn.TEXTJOIN("", TRUE, IF(ISNUMBER(SEARCH($K$1379:$K$1423, C877)), $K$1379:$K$1423, ""))</f>
        <v>Goya</v>
      </c>
      <c r="E877" t="str">
        <f t="shared" si="26"/>
        <v>Canned Vegetables</v>
      </c>
      <c r="F877" t="str">
        <f t="shared" si="27"/>
        <v>Fruit &amp; Vegetables</v>
      </c>
      <c r="G877" s="1">
        <v>1.19</v>
      </c>
      <c r="H877" t="s">
        <v>2861</v>
      </c>
      <c r="I877" s="3" t="s">
        <v>993</v>
      </c>
    </row>
    <row r="878" spans="1:9" x14ac:dyDescent="0.25">
      <c r="A878" t="s">
        <v>2883</v>
      </c>
      <c r="B878" t="s">
        <v>2884</v>
      </c>
      <c r="C878" t="s">
        <v>2885</v>
      </c>
      <c r="D878" t="str" cm="1">
        <f t="array" ref="D878">_xlfn.TEXTJOIN("", TRUE, IF(ISNUMBER(SEARCH($K$1379:$K$1423, C878)), $K$1379:$K$1423, ""))</f>
        <v>Goya</v>
      </c>
      <c r="E878" t="str">
        <f t="shared" si="26"/>
        <v>Canned Vegetables</v>
      </c>
      <c r="F878" t="str">
        <f t="shared" si="27"/>
        <v>Fruit &amp; Vegetables</v>
      </c>
      <c r="G878" s="1">
        <v>1.99</v>
      </c>
      <c r="H878" t="s">
        <v>2861</v>
      </c>
      <c r="I878" s="3" t="s">
        <v>131</v>
      </c>
    </row>
    <row r="879" spans="1:9" x14ac:dyDescent="0.25">
      <c r="A879" t="s">
        <v>2886</v>
      </c>
      <c r="B879" t="s">
        <v>2887</v>
      </c>
      <c r="C879" t="s">
        <v>2873</v>
      </c>
      <c r="D879" t="str" cm="1">
        <f t="array" ref="D879">_xlfn.TEXTJOIN("", TRUE, IF(ISNUMBER(SEARCH($K$1379:$K$1423, C879)), $K$1379:$K$1423, ""))</f>
        <v>Goya</v>
      </c>
      <c r="E879" t="str">
        <f t="shared" si="26"/>
        <v>Canned Vegetables</v>
      </c>
      <c r="F879" t="str">
        <f t="shared" si="27"/>
        <v>Fruit &amp; Vegetables</v>
      </c>
      <c r="G879" s="1">
        <v>1.99</v>
      </c>
      <c r="H879" t="s">
        <v>2861</v>
      </c>
      <c r="I879" s="3" t="s">
        <v>131</v>
      </c>
    </row>
    <row r="880" spans="1:9" x14ac:dyDescent="0.25">
      <c r="A880" t="s">
        <v>2888</v>
      </c>
      <c r="B880" t="s">
        <v>2889</v>
      </c>
      <c r="C880" t="s">
        <v>2890</v>
      </c>
      <c r="D880" t="str" cm="1">
        <f t="array" ref="D880">_xlfn.TEXTJOIN("", TRUE, IF(ISNUMBER(SEARCH($K$1379:$K$1423, C880)), $K$1379:$K$1423, ""))</f>
        <v>Goya</v>
      </c>
      <c r="E880" t="str">
        <f t="shared" si="26"/>
        <v>Canned Vegetables</v>
      </c>
      <c r="F880" t="str">
        <f t="shared" si="27"/>
        <v>Fruit &amp; Vegetables</v>
      </c>
      <c r="G880" s="1">
        <v>2.99</v>
      </c>
      <c r="H880" t="s">
        <v>878</v>
      </c>
      <c r="I880" s="3" t="s">
        <v>918</v>
      </c>
    </row>
    <row r="881" spans="1:9" x14ac:dyDescent="0.25">
      <c r="A881" t="s">
        <v>2891</v>
      </c>
      <c r="B881" t="s">
        <v>2892</v>
      </c>
      <c r="C881" t="s">
        <v>2893</v>
      </c>
      <c r="D881" t="str" cm="1">
        <f t="array" ref="D881">_xlfn.TEXTJOIN("", TRUE, IF(ISNUMBER(SEARCH($K$1379:$K$1423, C881)), $K$1379:$K$1423, ""))</f>
        <v>Goya</v>
      </c>
      <c r="E881" t="str">
        <f t="shared" si="26"/>
        <v>Canned Vegetables</v>
      </c>
      <c r="F881" t="str">
        <f t="shared" si="27"/>
        <v>Fruit &amp; Vegetables</v>
      </c>
      <c r="G881" s="1">
        <v>1.89</v>
      </c>
      <c r="H881" t="s">
        <v>410</v>
      </c>
      <c r="I881" s="3" t="s">
        <v>32</v>
      </c>
    </row>
    <row r="882" spans="1:9" x14ac:dyDescent="0.25">
      <c r="A882" t="s">
        <v>2894</v>
      </c>
      <c r="B882" t="s">
        <v>2895</v>
      </c>
      <c r="C882" t="s">
        <v>2896</v>
      </c>
      <c r="D882" t="str" cm="1">
        <f t="array" ref="D882">_xlfn.TEXTJOIN("", TRUE, IF(ISNUMBER(SEARCH($K$1379:$K$1423, C882)), $K$1379:$K$1423, ""))</f>
        <v>Goya</v>
      </c>
      <c r="E882" t="str">
        <f t="shared" si="26"/>
        <v>Canned Vegetables</v>
      </c>
      <c r="F882" t="str">
        <f t="shared" si="27"/>
        <v>Fruit &amp; Vegetables</v>
      </c>
      <c r="G882" s="1">
        <v>1.19</v>
      </c>
      <c r="H882" t="s">
        <v>2861</v>
      </c>
      <c r="I882" s="3" t="s">
        <v>993</v>
      </c>
    </row>
    <row r="883" spans="1:9" x14ac:dyDescent="0.25">
      <c r="A883" t="s">
        <v>2897</v>
      </c>
      <c r="B883" t="s">
        <v>2898</v>
      </c>
      <c r="C883" t="s">
        <v>2899</v>
      </c>
      <c r="D883" t="str" cm="1">
        <f t="array" ref="D883">_xlfn.TEXTJOIN("", TRUE, IF(ISNUMBER(SEARCH($K$1379:$K$1423, C883)), $K$1379:$K$1423, ""))</f>
        <v>Goya</v>
      </c>
      <c r="E883" t="str">
        <f t="shared" si="26"/>
        <v>Canned Vegetables</v>
      </c>
      <c r="F883" t="str">
        <f t="shared" si="27"/>
        <v>Fruit &amp; Vegetables</v>
      </c>
      <c r="G883" s="1">
        <v>2.09</v>
      </c>
      <c r="H883" t="s">
        <v>410</v>
      </c>
      <c r="I883" s="3" t="s">
        <v>131</v>
      </c>
    </row>
    <row r="884" spans="1:9" x14ac:dyDescent="0.25">
      <c r="A884" t="s">
        <v>2900</v>
      </c>
      <c r="B884" t="s">
        <v>2901</v>
      </c>
      <c r="C884" t="s">
        <v>2902</v>
      </c>
      <c r="D884" t="str" cm="1">
        <f t="array" ref="D884">_xlfn.TEXTJOIN("", TRUE, IF(ISNUMBER(SEARCH($K$1379:$K$1423, C884)), $K$1379:$K$1423, ""))</f>
        <v>Goya</v>
      </c>
      <c r="E884" t="str">
        <f t="shared" si="26"/>
        <v>Canned Vegetables</v>
      </c>
      <c r="F884" t="str">
        <f t="shared" si="27"/>
        <v>Fruit &amp; Vegetables</v>
      </c>
      <c r="G884" s="1">
        <v>1.19</v>
      </c>
      <c r="H884" t="s">
        <v>2861</v>
      </c>
      <c r="I884" s="3" t="s">
        <v>993</v>
      </c>
    </row>
    <row r="885" spans="1:9" x14ac:dyDescent="0.25">
      <c r="A885" t="s">
        <v>2903</v>
      </c>
      <c r="B885" t="s">
        <v>2904</v>
      </c>
      <c r="C885" t="s">
        <v>2905</v>
      </c>
      <c r="D885" t="str" cm="1">
        <f t="array" ref="D885">_xlfn.TEXTJOIN("", TRUE, IF(ISNUMBER(SEARCH($K$1379:$K$1423, C885)), $K$1379:$K$1423, ""))</f>
        <v>Goya</v>
      </c>
      <c r="E885" t="str">
        <f t="shared" si="26"/>
        <v>Canned Vegetables</v>
      </c>
      <c r="F885" t="str">
        <f t="shared" si="27"/>
        <v>Fruit &amp; Vegetables</v>
      </c>
      <c r="G885" s="1">
        <v>1.19</v>
      </c>
      <c r="H885" t="s">
        <v>2861</v>
      </c>
      <c r="I885" s="3" t="s">
        <v>993</v>
      </c>
    </row>
    <row r="886" spans="1:9" x14ac:dyDescent="0.25">
      <c r="A886" t="s">
        <v>2906</v>
      </c>
      <c r="B886" t="s">
        <v>2907</v>
      </c>
      <c r="C886" t="s">
        <v>2908</v>
      </c>
      <c r="D886" t="str" cm="1">
        <f t="array" ref="D886">_xlfn.TEXTJOIN("", TRUE, IF(ISNUMBER(SEARCH($K$1379:$K$1423, C886)), $K$1379:$K$1423, ""))</f>
        <v>Goya</v>
      </c>
      <c r="E886" t="str">
        <f t="shared" si="26"/>
        <v>Canned Vegetables</v>
      </c>
      <c r="F886" t="str">
        <f t="shared" si="27"/>
        <v>Fruit &amp; Vegetables</v>
      </c>
      <c r="G886" s="1">
        <v>1.19</v>
      </c>
      <c r="H886" t="s">
        <v>2861</v>
      </c>
      <c r="I886" s="3" t="s">
        <v>993</v>
      </c>
    </row>
    <row r="887" spans="1:9" x14ac:dyDescent="0.25">
      <c r="A887" t="s">
        <v>2909</v>
      </c>
      <c r="B887" t="s">
        <v>2910</v>
      </c>
      <c r="C887" t="s">
        <v>2911</v>
      </c>
      <c r="D887" t="str" cm="1">
        <f t="array" ref="D887">_xlfn.TEXTJOIN("", TRUE, IF(ISNUMBER(SEARCH($K$1379:$K$1423, C887)), $K$1379:$K$1423, ""))</f>
        <v>Goya</v>
      </c>
      <c r="E887" t="str">
        <f t="shared" si="26"/>
        <v>Canned Vegetables</v>
      </c>
      <c r="F887" t="str">
        <f t="shared" si="27"/>
        <v>Fruit &amp; Vegetables</v>
      </c>
      <c r="G887" s="1">
        <v>1.99</v>
      </c>
      <c r="H887" t="s">
        <v>2861</v>
      </c>
      <c r="I887" s="3" t="s">
        <v>131</v>
      </c>
    </row>
    <row r="888" spans="1:9" x14ac:dyDescent="0.25">
      <c r="A888" t="s">
        <v>2912</v>
      </c>
      <c r="B888" t="s">
        <v>2913</v>
      </c>
      <c r="C888" t="s">
        <v>2914</v>
      </c>
      <c r="D888" t="str" cm="1">
        <f t="array" ref="D888">_xlfn.TEXTJOIN("", TRUE, IF(ISNUMBER(SEARCH($K$1379:$K$1423, C888)), $K$1379:$K$1423, ""))</f>
        <v>Goya</v>
      </c>
      <c r="E888" t="str">
        <f t="shared" si="26"/>
        <v>Canned Vegetables</v>
      </c>
      <c r="F888" t="str">
        <f t="shared" si="27"/>
        <v>Fruit &amp; Vegetables</v>
      </c>
      <c r="G888" s="1">
        <v>1.19</v>
      </c>
      <c r="H888" t="s">
        <v>2861</v>
      </c>
      <c r="I888" s="3" t="s">
        <v>993</v>
      </c>
    </row>
    <row r="889" spans="1:9" x14ac:dyDescent="0.25">
      <c r="A889" t="s">
        <v>2915</v>
      </c>
      <c r="B889" t="s">
        <v>2916</v>
      </c>
      <c r="C889" t="s">
        <v>2917</v>
      </c>
      <c r="D889" t="str" cm="1">
        <f t="array" ref="D889">_xlfn.TEXTJOIN("", TRUE, IF(ISNUMBER(SEARCH($K$1379:$K$1423, C889)), $K$1379:$K$1423, ""))</f>
        <v>Goya</v>
      </c>
      <c r="E889" t="str">
        <f t="shared" si="26"/>
        <v>Canned Vegetables</v>
      </c>
      <c r="F889" t="str">
        <f t="shared" si="27"/>
        <v>Fruit &amp; Vegetables</v>
      </c>
      <c r="G889" s="1">
        <v>1.19</v>
      </c>
      <c r="H889" t="s">
        <v>2861</v>
      </c>
      <c r="I889" s="3" t="s">
        <v>993</v>
      </c>
    </row>
    <row r="890" spans="1:9" x14ac:dyDescent="0.25">
      <c r="A890" t="s">
        <v>2918</v>
      </c>
      <c r="B890" t="s">
        <v>2919</v>
      </c>
      <c r="C890" t="s">
        <v>2899</v>
      </c>
      <c r="D890" t="str" cm="1">
        <f t="array" ref="D890">_xlfn.TEXTJOIN("", TRUE, IF(ISNUMBER(SEARCH($K$1379:$K$1423, C890)), $K$1379:$K$1423, ""))</f>
        <v>Goya</v>
      </c>
      <c r="E890" t="str">
        <f t="shared" si="26"/>
        <v>Canned Vegetables</v>
      </c>
      <c r="F890" t="str">
        <f t="shared" si="27"/>
        <v>Fruit &amp; Vegetables</v>
      </c>
      <c r="G890" s="1">
        <v>1.19</v>
      </c>
      <c r="H890" t="s">
        <v>2861</v>
      </c>
      <c r="I890" s="3" t="s">
        <v>993</v>
      </c>
    </row>
    <row r="891" spans="1:9" x14ac:dyDescent="0.25">
      <c r="A891" t="s">
        <v>2920</v>
      </c>
      <c r="B891" t="s">
        <v>2921</v>
      </c>
      <c r="C891" t="s">
        <v>2922</v>
      </c>
      <c r="D891" t="str" cm="1">
        <f t="array" ref="D891">_xlfn.TEXTJOIN("", TRUE, IF(ISNUMBER(SEARCH($K$1379:$K$1423, C891)), $K$1379:$K$1423, ""))</f>
        <v>Goya</v>
      </c>
      <c r="E891" t="str">
        <f t="shared" si="26"/>
        <v>Canned Vegetables</v>
      </c>
      <c r="F891" t="str">
        <f t="shared" si="27"/>
        <v>Fruit &amp; Vegetables</v>
      </c>
      <c r="G891" s="1">
        <v>2.99</v>
      </c>
      <c r="H891" t="s">
        <v>878</v>
      </c>
      <c r="I891" s="3" t="s">
        <v>918</v>
      </c>
    </row>
    <row r="892" spans="1:9" x14ac:dyDescent="0.25">
      <c r="A892" t="s">
        <v>2923</v>
      </c>
      <c r="B892" t="s">
        <v>2924</v>
      </c>
      <c r="C892" t="s">
        <v>2925</v>
      </c>
      <c r="D892" t="str" cm="1">
        <f t="array" ref="D892">_xlfn.TEXTJOIN("", TRUE, IF(ISNUMBER(SEARCH($K$1379:$K$1423, C892)), $K$1379:$K$1423, ""))</f>
        <v>Goya</v>
      </c>
      <c r="E892" t="str">
        <f t="shared" si="26"/>
        <v>Canned Vegetables</v>
      </c>
      <c r="F892" t="str">
        <f t="shared" si="27"/>
        <v>Fruit &amp; Vegetables</v>
      </c>
      <c r="G892" s="1">
        <v>1.19</v>
      </c>
      <c r="H892" t="s">
        <v>2861</v>
      </c>
      <c r="I892" s="3" t="s">
        <v>993</v>
      </c>
    </row>
    <row r="893" spans="1:9" x14ac:dyDescent="0.25">
      <c r="A893" t="s">
        <v>2926</v>
      </c>
      <c r="B893" t="s">
        <v>2927</v>
      </c>
      <c r="C893" t="s">
        <v>2928</v>
      </c>
      <c r="D893" t="str" cm="1">
        <f t="array" ref="D893">_xlfn.TEXTJOIN("", TRUE, IF(ISNUMBER(SEARCH($K$1379:$K$1423, C893)), $K$1379:$K$1423, ""))</f>
        <v>Goya</v>
      </c>
      <c r="E893" t="str">
        <f t="shared" si="26"/>
        <v>Canned Vegetables</v>
      </c>
      <c r="F893" t="str">
        <f t="shared" si="27"/>
        <v>Fruit &amp; Vegetables</v>
      </c>
      <c r="G893" s="1">
        <v>1.19</v>
      </c>
      <c r="H893" t="s">
        <v>2861</v>
      </c>
      <c r="I893" s="3" t="s">
        <v>436</v>
      </c>
    </row>
    <row r="894" spans="1:9" x14ac:dyDescent="0.25">
      <c r="A894" t="s">
        <v>2929</v>
      </c>
      <c r="B894" t="s">
        <v>2930</v>
      </c>
      <c r="C894" t="s">
        <v>2931</v>
      </c>
      <c r="D894" t="str" cm="1">
        <f t="array" ref="D894">_xlfn.TEXTJOIN("", TRUE, IF(ISNUMBER(SEARCH($K$1379:$K$1423, C894)), $K$1379:$K$1423, ""))</f>
        <v>Goya</v>
      </c>
      <c r="E894" t="str">
        <f t="shared" si="26"/>
        <v>Canned Vegetables</v>
      </c>
      <c r="F894" t="str">
        <f t="shared" si="27"/>
        <v>Fruit &amp; Vegetables</v>
      </c>
      <c r="G894" s="1">
        <v>1.59</v>
      </c>
      <c r="H894" t="s">
        <v>863</v>
      </c>
      <c r="I894" s="3" t="s">
        <v>436</v>
      </c>
    </row>
    <row r="895" spans="1:9" x14ac:dyDescent="0.25">
      <c r="A895" t="s">
        <v>2932</v>
      </c>
      <c r="B895" t="s">
        <v>2933</v>
      </c>
      <c r="C895" t="s">
        <v>2934</v>
      </c>
      <c r="D895" t="str" cm="1">
        <f t="array" ref="D895">_xlfn.TEXTJOIN("", TRUE, IF(ISNUMBER(SEARCH($K$1379:$K$1423, C895)), $K$1379:$K$1423, ""))</f>
        <v>Goya</v>
      </c>
      <c r="E895" t="str">
        <f t="shared" si="26"/>
        <v>Canned Vegetables</v>
      </c>
      <c r="F895" t="str">
        <f t="shared" si="27"/>
        <v>Fruit &amp; Vegetables</v>
      </c>
      <c r="G895" s="1">
        <v>2.29</v>
      </c>
      <c r="H895" t="s">
        <v>2603</v>
      </c>
      <c r="I895" s="3" t="s">
        <v>752</v>
      </c>
    </row>
    <row r="896" spans="1:9" x14ac:dyDescent="0.25">
      <c r="A896" t="s">
        <v>2935</v>
      </c>
      <c r="B896" t="s">
        <v>2936</v>
      </c>
      <c r="C896" t="s">
        <v>2937</v>
      </c>
      <c r="D896" t="str" cm="1">
        <f t="array" ref="D896">_xlfn.TEXTJOIN("", TRUE, IF(ISNUMBER(SEARCH($K$1379:$K$1423, C896)), $K$1379:$K$1423, ""))</f>
        <v>Goya</v>
      </c>
      <c r="E896" t="str">
        <f t="shared" si="26"/>
        <v>Canned Vegetables</v>
      </c>
      <c r="F896" t="str">
        <f t="shared" si="27"/>
        <v>Fruit &amp; Vegetables</v>
      </c>
      <c r="G896" s="1">
        <v>2.29</v>
      </c>
      <c r="H896" t="s">
        <v>863</v>
      </c>
      <c r="I896" s="3" t="s">
        <v>468</v>
      </c>
    </row>
    <row r="897" spans="1:9" x14ac:dyDescent="0.25">
      <c r="A897" t="s">
        <v>2938</v>
      </c>
      <c r="B897" t="s">
        <v>2939</v>
      </c>
      <c r="C897" t="s">
        <v>2940</v>
      </c>
      <c r="D897" t="str" cm="1">
        <f t="array" ref="D897">_xlfn.TEXTJOIN("", TRUE, IF(ISNUMBER(SEARCH($K$1379:$K$1423, C897)), $K$1379:$K$1423, ""))</f>
        <v>Goya</v>
      </c>
      <c r="E897" t="str">
        <f t="shared" si="26"/>
        <v>Canned Vegetables</v>
      </c>
      <c r="F897" t="str">
        <f t="shared" si="27"/>
        <v>Fruit &amp; Vegetables</v>
      </c>
      <c r="G897" s="1">
        <v>2.29</v>
      </c>
      <c r="H897" t="s">
        <v>2603</v>
      </c>
      <c r="I897" s="3" t="s">
        <v>752</v>
      </c>
    </row>
    <row r="898" spans="1:9" x14ac:dyDescent="0.25">
      <c r="A898" t="s">
        <v>2941</v>
      </c>
      <c r="B898" t="s">
        <v>2942</v>
      </c>
      <c r="C898" t="s">
        <v>2943</v>
      </c>
      <c r="D898" t="str" cm="1">
        <f t="array" ref="D898">_xlfn.TEXTJOIN("", TRUE, IF(ISNUMBER(SEARCH($K$1379:$K$1423, C898)), $K$1379:$K$1423, ""))</f>
        <v>Goya</v>
      </c>
      <c r="E898" t="str">
        <f t="shared" ref="E898:E961" si="28">IF(OR(D898="Mission",D898="Nature's Own",D898="Sara Lee"),"Bread",
IF(OR(D898="Del Monte",D898="Dole",D898="Mott's"),"Canned Fruit",
IF(OR(D898="Goya",D898="Hunt's",D898="Birds Eye"),"Canned Vegetables",
IF(OR(D898="fairlife",D898="Horizon Organic",D898="Lactaid",D898="Ben &amp; Jerry's"),"Milk",
IF(OR(D898="BelGioioso",D898="Kraft",D898="Philadelphia"),"Cheese",
IF(OR(D898="Chobani",D898="Oikos",D898="Dannon Light + Fit"),"Yogurt",
IF(OR(D898="Barilla",D898="Annie's",D898="Rao's Homemade"),"Pasta",
IF(OR(D898="Hershey's",D898="Lay's",D898="Totino's",D898="Cheerios",D898="Jif",D898="Skippy",D898="Nature Valley",D898="OREO",D898="DiGiorno",D898="Eggo"),"Prepared Food",
IF(OR(D898="Ben's Original",D898="Lundberg",D898="Quaker"),"Rice",
IF(OR(D898="Bush's",D898="Hillshire Farm",D898="Oscar Mayer",D898="SPAM"),"Protein",
IF(OR(D898="Starbucks",D898="Sparkling Ice",D898="Coca-Cola",D898="San Pellegrino",D898="Gatorade",D898="Arizona"),"Beverages",
"Other")))))))))))</f>
        <v>Canned Vegetables</v>
      </c>
      <c r="F898" t="str">
        <f t="shared" ref="F898:F961" si="29">IF(OR(E898="Bread",E898="Rice",E898="Pasta"), "Grain",
IF(OR(E898="Milk",E898="Cheese",E898="Yogurt"), "Dairy",
IF(OR(E898="Canned Fruit",E898="Canned Vegetables"), "Fruit &amp; Vegetables",
IF(E898="Prepared Food", "Prepared Food",
IF(E898="Protein", "Protein",
IF(E898="Beverages", "Beverages",
"Other"))))))</f>
        <v>Fruit &amp; Vegetables</v>
      </c>
      <c r="G898" s="1">
        <v>2.29</v>
      </c>
      <c r="H898" t="s">
        <v>98</v>
      </c>
      <c r="I898" s="3" t="s">
        <v>752</v>
      </c>
    </row>
    <row r="899" spans="1:9" x14ac:dyDescent="0.25">
      <c r="A899" t="s">
        <v>2944</v>
      </c>
      <c r="B899" t="s">
        <v>2945</v>
      </c>
      <c r="C899" t="s">
        <v>2946</v>
      </c>
      <c r="D899" t="str" cm="1">
        <f t="array" ref="D899">_xlfn.TEXTJOIN("", TRUE, IF(ISNUMBER(SEARCH($K$1379:$K$1423, C899)), $K$1379:$K$1423, ""))</f>
        <v>Birds Eye</v>
      </c>
      <c r="E899" t="str">
        <f t="shared" si="28"/>
        <v>Canned Vegetables</v>
      </c>
      <c r="F899" t="str">
        <f t="shared" si="29"/>
        <v>Fruit &amp; Vegetables</v>
      </c>
      <c r="G899" s="1">
        <v>1.89</v>
      </c>
      <c r="H899" t="s">
        <v>2948</v>
      </c>
      <c r="I899" s="3" t="s">
        <v>170</v>
      </c>
    </row>
    <row r="900" spans="1:9" x14ac:dyDescent="0.25">
      <c r="A900" t="s">
        <v>2949</v>
      </c>
      <c r="B900" t="s">
        <v>2950</v>
      </c>
      <c r="C900" t="s">
        <v>2951</v>
      </c>
      <c r="D900" t="str" cm="1">
        <f t="array" ref="D900">_xlfn.TEXTJOIN("", TRUE, IF(ISNUMBER(SEARCH($K$1379:$K$1423, C900)), $K$1379:$K$1423, ""))</f>
        <v>Birds Eye</v>
      </c>
      <c r="E900" t="str">
        <f t="shared" si="28"/>
        <v>Canned Vegetables</v>
      </c>
      <c r="F900" t="str">
        <f t="shared" si="29"/>
        <v>Fruit &amp; Vegetables</v>
      </c>
      <c r="G900" s="1">
        <v>1.89</v>
      </c>
      <c r="H900" t="s">
        <v>2948</v>
      </c>
      <c r="I900" s="3" t="s">
        <v>170</v>
      </c>
    </row>
    <row r="901" spans="1:9" x14ac:dyDescent="0.25">
      <c r="A901" t="s">
        <v>2952</v>
      </c>
      <c r="B901" t="s">
        <v>2953</v>
      </c>
      <c r="C901" t="s">
        <v>2954</v>
      </c>
      <c r="D901" t="str" cm="1">
        <f t="array" ref="D901">_xlfn.TEXTJOIN("", TRUE, IF(ISNUMBER(SEARCH($K$1379:$K$1423, C901)), $K$1379:$K$1423, ""))</f>
        <v>Birds Eye</v>
      </c>
      <c r="E901" t="str">
        <f t="shared" si="28"/>
        <v>Canned Vegetables</v>
      </c>
      <c r="F901" t="str">
        <f t="shared" si="29"/>
        <v>Fruit &amp; Vegetables</v>
      </c>
      <c r="G901" s="1">
        <v>2.4900000000000002</v>
      </c>
      <c r="H901" t="s">
        <v>1573</v>
      </c>
      <c r="I901" s="3" t="s">
        <v>1034</v>
      </c>
    </row>
    <row r="902" spans="1:9" x14ac:dyDescent="0.25">
      <c r="A902" t="s">
        <v>2955</v>
      </c>
      <c r="B902" t="s">
        <v>2956</v>
      </c>
      <c r="C902" t="s">
        <v>2957</v>
      </c>
      <c r="D902" t="str" cm="1">
        <f t="array" ref="D902">_xlfn.TEXTJOIN("", TRUE, IF(ISNUMBER(SEARCH($K$1379:$K$1423, C902)), $K$1379:$K$1423, ""))</f>
        <v>Birds Eye</v>
      </c>
      <c r="E902" t="str">
        <f t="shared" si="28"/>
        <v>Canned Vegetables</v>
      </c>
      <c r="F902" t="str">
        <f t="shared" si="29"/>
        <v>Fruit &amp; Vegetables</v>
      </c>
      <c r="G902" s="1">
        <v>1.89</v>
      </c>
      <c r="H902" t="s">
        <v>2948</v>
      </c>
      <c r="I902" s="3" t="s">
        <v>170</v>
      </c>
    </row>
    <row r="903" spans="1:9" x14ac:dyDescent="0.25">
      <c r="A903" t="s">
        <v>2958</v>
      </c>
      <c r="B903" t="s">
        <v>2959</v>
      </c>
      <c r="C903" t="s">
        <v>2960</v>
      </c>
      <c r="D903" t="str" cm="1">
        <f t="array" ref="D903">_xlfn.TEXTJOIN("", TRUE, IF(ISNUMBER(SEARCH($K$1379:$K$1423, C903)), $K$1379:$K$1423, ""))</f>
        <v>Birds Eye</v>
      </c>
      <c r="E903" t="str">
        <f t="shared" si="28"/>
        <v>Canned Vegetables</v>
      </c>
      <c r="F903" t="str">
        <f t="shared" si="29"/>
        <v>Fruit &amp; Vegetables</v>
      </c>
      <c r="G903" s="1">
        <v>1.89</v>
      </c>
      <c r="H903" t="s">
        <v>2948</v>
      </c>
      <c r="I903" s="3" t="s">
        <v>170</v>
      </c>
    </row>
    <row r="904" spans="1:9" x14ac:dyDescent="0.25">
      <c r="A904" t="s">
        <v>2961</v>
      </c>
      <c r="B904" t="s">
        <v>2962</v>
      </c>
      <c r="C904" t="s">
        <v>2963</v>
      </c>
      <c r="D904" t="str" cm="1">
        <f t="array" ref="D904">_xlfn.TEXTJOIN("", TRUE, IF(ISNUMBER(SEARCH($K$1379:$K$1423, C904)), $K$1379:$K$1423, ""))</f>
        <v>Birds Eye</v>
      </c>
      <c r="E904" t="str">
        <f t="shared" si="28"/>
        <v>Canned Vegetables</v>
      </c>
      <c r="F904" t="str">
        <f t="shared" si="29"/>
        <v>Fruit &amp; Vegetables</v>
      </c>
      <c r="G904" s="1">
        <v>1.89</v>
      </c>
      <c r="H904" t="s">
        <v>1573</v>
      </c>
      <c r="I904" s="3" t="s">
        <v>83</v>
      </c>
    </row>
    <row r="905" spans="1:9" x14ac:dyDescent="0.25">
      <c r="A905" t="s">
        <v>2964</v>
      </c>
      <c r="B905" t="s">
        <v>2965</v>
      </c>
      <c r="C905" t="s">
        <v>2966</v>
      </c>
      <c r="D905" t="str" cm="1">
        <f t="array" ref="D905">_xlfn.TEXTJOIN("", TRUE, IF(ISNUMBER(SEARCH($K$1379:$K$1423, C905)), $K$1379:$K$1423, ""))</f>
        <v>Birds Eye</v>
      </c>
      <c r="E905" t="str">
        <f t="shared" si="28"/>
        <v>Canned Vegetables</v>
      </c>
      <c r="F905" t="str">
        <f t="shared" si="29"/>
        <v>Fruit &amp; Vegetables</v>
      </c>
      <c r="G905" s="1">
        <v>2.4900000000000002</v>
      </c>
      <c r="H905" t="s">
        <v>2967</v>
      </c>
      <c r="I905" s="3" t="s">
        <v>490</v>
      </c>
    </row>
    <row r="906" spans="1:9" x14ac:dyDescent="0.25">
      <c r="A906" t="s">
        <v>2968</v>
      </c>
      <c r="B906" t="s">
        <v>2969</v>
      </c>
      <c r="C906" t="s">
        <v>2970</v>
      </c>
      <c r="D906" t="str" cm="1">
        <f t="array" ref="D906">_xlfn.TEXTJOIN("", TRUE, IF(ISNUMBER(SEARCH($K$1379:$K$1423, C906)), $K$1379:$K$1423, ""))</f>
        <v>Birds Eye</v>
      </c>
      <c r="E906" t="str">
        <f t="shared" si="28"/>
        <v>Canned Vegetables</v>
      </c>
      <c r="F906" t="str">
        <f t="shared" si="29"/>
        <v>Fruit &amp; Vegetables</v>
      </c>
      <c r="G906" s="1">
        <v>2.4900000000000002</v>
      </c>
      <c r="H906" t="s">
        <v>2948</v>
      </c>
      <c r="I906" s="3" t="s">
        <v>149</v>
      </c>
    </row>
    <row r="907" spans="1:9" x14ac:dyDescent="0.25">
      <c r="A907" t="s">
        <v>2971</v>
      </c>
      <c r="B907" t="s">
        <v>2972</v>
      </c>
      <c r="C907" t="s">
        <v>2973</v>
      </c>
      <c r="D907" t="str" cm="1">
        <f t="array" ref="D907">_xlfn.TEXTJOIN("", TRUE, IF(ISNUMBER(SEARCH($K$1379:$K$1423, C907)), $K$1379:$K$1423, ""))</f>
        <v>Birds Eye</v>
      </c>
      <c r="E907" t="str">
        <f t="shared" si="28"/>
        <v>Canned Vegetables</v>
      </c>
      <c r="F907" t="str">
        <f t="shared" si="29"/>
        <v>Fruit &amp; Vegetables</v>
      </c>
      <c r="G907" s="1">
        <v>2.4900000000000002</v>
      </c>
      <c r="H907" t="s">
        <v>1573</v>
      </c>
      <c r="I907" s="3" t="s">
        <v>1034</v>
      </c>
    </row>
    <row r="908" spans="1:9" x14ac:dyDescent="0.25">
      <c r="A908" t="s">
        <v>2974</v>
      </c>
      <c r="B908" t="s">
        <v>2975</v>
      </c>
      <c r="C908" t="s">
        <v>2976</v>
      </c>
      <c r="D908" t="str" cm="1">
        <f t="array" ref="D908">_xlfn.TEXTJOIN("", TRUE, IF(ISNUMBER(SEARCH($K$1379:$K$1423, C908)), $K$1379:$K$1423, ""))</f>
        <v>Birds Eye</v>
      </c>
      <c r="E908" t="str">
        <f t="shared" si="28"/>
        <v>Canned Vegetables</v>
      </c>
      <c r="F908" t="str">
        <f t="shared" si="29"/>
        <v>Fruit &amp; Vegetables</v>
      </c>
      <c r="G908" s="1">
        <v>1.89</v>
      </c>
      <c r="H908" t="s">
        <v>2948</v>
      </c>
      <c r="I908" s="3" t="s">
        <v>170</v>
      </c>
    </row>
    <row r="909" spans="1:9" x14ac:dyDescent="0.25">
      <c r="A909" t="s">
        <v>2977</v>
      </c>
      <c r="B909" t="s">
        <v>2978</v>
      </c>
      <c r="C909" t="s">
        <v>2979</v>
      </c>
      <c r="D909" t="str" cm="1">
        <f t="array" ref="D909">_xlfn.TEXTJOIN("", TRUE, IF(ISNUMBER(SEARCH($K$1379:$K$1423, C909)), $K$1379:$K$1423, ""))</f>
        <v>Birds Eye</v>
      </c>
      <c r="E909" t="str">
        <f t="shared" si="28"/>
        <v>Canned Vegetables</v>
      </c>
      <c r="F909" t="str">
        <f t="shared" si="29"/>
        <v>Fruit &amp; Vegetables</v>
      </c>
      <c r="G909" s="1">
        <v>2.4900000000000002</v>
      </c>
      <c r="H909" t="s">
        <v>1573</v>
      </c>
      <c r="I909" s="3" t="s">
        <v>1034</v>
      </c>
    </row>
    <row r="910" spans="1:9" x14ac:dyDescent="0.25">
      <c r="A910" t="s">
        <v>2980</v>
      </c>
      <c r="B910" t="s">
        <v>2981</v>
      </c>
      <c r="C910" t="s">
        <v>2982</v>
      </c>
      <c r="D910" t="str" cm="1">
        <f t="array" ref="D910">_xlfn.TEXTJOIN("", TRUE, IF(ISNUMBER(SEARCH($K$1379:$K$1423, C910)), $K$1379:$K$1423, ""))</f>
        <v>Birds Eye</v>
      </c>
      <c r="E910" t="str">
        <f t="shared" si="28"/>
        <v>Canned Vegetables</v>
      </c>
      <c r="F910" t="str">
        <f t="shared" si="29"/>
        <v>Fruit &amp; Vegetables</v>
      </c>
      <c r="G910" s="1">
        <v>2.4900000000000002</v>
      </c>
      <c r="H910" t="s">
        <v>2983</v>
      </c>
      <c r="I910" s="3" t="s">
        <v>170</v>
      </c>
    </row>
    <row r="911" spans="1:9" x14ac:dyDescent="0.25">
      <c r="A911" t="s">
        <v>2984</v>
      </c>
      <c r="B911" t="s">
        <v>2985</v>
      </c>
      <c r="C911" t="s">
        <v>2986</v>
      </c>
      <c r="D911" t="str" cm="1">
        <f t="array" ref="D911">_xlfn.TEXTJOIN("", TRUE, IF(ISNUMBER(SEARCH($K$1379:$K$1423, C911)), $K$1379:$K$1423, ""))</f>
        <v>Birds Eye</v>
      </c>
      <c r="E911" t="str">
        <f t="shared" si="28"/>
        <v>Canned Vegetables</v>
      </c>
      <c r="F911" t="str">
        <f t="shared" si="29"/>
        <v>Fruit &amp; Vegetables</v>
      </c>
      <c r="G911" s="1">
        <v>2.4900000000000002</v>
      </c>
      <c r="H911" t="s">
        <v>1573</v>
      </c>
      <c r="I911" s="3" t="s">
        <v>1034</v>
      </c>
    </row>
    <row r="912" spans="1:9" x14ac:dyDescent="0.25">
      <c r="A912" t="s">
        <v>2987</v>
      </c>
      <c r="B912" t="s">
        <v>2988</v>
      </c>
      <c r="C912" t="s">
        <v>2989</v>
      </c>
      <c r="D912" t="str" cm="1">
        <f t="array" ref="D912">_xlfn.TEXTJOIN("", TRUE, IF(ISNUMBER(SEARCH($K$1379:$K$1423, C912)), $K$1379:$K$1423, ""))</f>
        <v>Birds Eye</v>
      </c>
      <c r="E912" t="str">
        <f t="shared" si="28"/>
        <v>Canned Vegetables</v>
      </c>
      <c r="F912" t="str">
        <f t="shared" si="29"/>
        <v>Fruit &amp; Vegetables</v>
      </c>
      <c r="G912" s="1">
        <v>2.4900000000000002</v>
      </c>
      <c r="H912" t="s">
        <v>1573</v>
      </c>
      <c r="I912" s="3" t="s">
        <v>1034</v>
      </c>
    </row>
    <row r="913" spans="1:9" x14ac:dyDescent="0.25">
      <c r="A913" t="s">
        <v>2990</v>
      </c>
      <c r="B913" t="s">
        <v>2991</v>
      </c>
      <c r="C913" t="s">
        <v>2992</v>
      </c>
      <c r="D913" t="str" cm="1">
        <f t="array" ref="D913">_xlfn.TEXTJOIN("", TRUE, IF(ISNUMBER(SEARCH($K$1379:$K$1423, C913)), $K$1379:$K$1423, ""))</f>
        <v>Birds Eye</v>
      </c>
      <c r="E913" t="str">
        <f t="shared" si="28"/>
        <v>Canned Vegetables</v>
      </c>
      <c r="F913" t="str">
        <f t="shared" si="29"/>
        <v>Fruit &amp; Vegetables</v>
      </c>
      <c r="G913" s="1">
        <v>1.89</v>
      </c>
      <c r="H913" t="s">
        <v>2948</v>
      </c>
      <c r="I913" s="3" t="s">
        <v>170</v>
      </c>
    </row>
    <row r="914" spans="1:9" x14ac:dyDescent="0.25">
      <c r="A914" t="s">
        <v>2993</v>
      </c>
      <c r="B914" t="s">
        <v>2994</v>
      </c>
      <c r="C914" t="s">
        <v>2995</v>
      </c>
      <c r="D914" t="str" cm="1">
        <f t="array" ref="D914">_xlfn.TEXTJOIN("", TRUE, IF(ISNUMBER(SEARCH($K$1379:$K$1423, C914)), $K$1379:$K$1423, ""))</f>
        <v>Birds Eye</v>
      </c>
      <c r="E914" t="str">
        <f t="shared" si="28"/>
        <v>Canned Vegetables</v>
      </c>
      <c r="F914" t="str">
        <f t="shared" si="29"/>
        <v>Fruit &amp; Vegetables</v>
      </c>
      <c r="G914" s="1">
        <v>2.4900000000000002</v>
      </c>
      <c r="H914" t="s">
        <v>2996</v>
      </c>
      <c r="I914" s="3" t="s">
        <v>83</v>
      </c>
    </row>
    <row r="915" spans="1:9" x14ac:dyDescent="0.25">
      <c r="A915" t="s">
        <v>2997</v>
      </c>
      <c r="B915" t="s">
        <v>2998</v>
      </c>
      <c r="C915" t="s">
        <v>2999</v>
      </c>
      <c r="D915" t="str" cm="1">
        <f t="array" ref="D915">_xlfn.TEXTJOIN("", TRUE, IF(ISNUMBER(SEARCH($K$1379:$K$1423, C915)), $K$1379:$K$1423, ""))</f>
        <v>Birds Eye</v>
      </c>
      <c r="E915" t="str">
        <f t="shared" si="28"/>
        <v>Canned Vegetables</v>
      </c>
      <c r="F915" t="str">
        <f t="shared" si="29"/>
        <v>Fruit &amp; Vegetables</v>
      </c>
      <c r="G915" s="1">
        <v>2.99</v>
      </c>
      <c r="H915" t="s">
        <v>1573</v>
      </c>
      <c r="I915" s="3" t="s">
        <v>320</v>
      </c>
    </row>
    <row r="916" spans="1:9" x14ac:dyDescent="0.25">
      <c r="A916" t="s">
        <v>3000</v>
      </c>
      <c r="B916" t="s">
        <v>3001</v>
      </c>
      <c r="C916" t="s">
        <v>3002</v>
      </c>
      <c r="D916" t="str" cm="1">
        <f t="array" ref="D916">_xlfn.TEXTJOIN("", TRUE, IF(ISNUMBER(SEARCH($K$1379:$K$1423, C916)), $K$1379:$K$1423, ""))</f>
        <v>Birds Eye</v>
      </c>
      <c r="E916" t="str">
        <f t="shared" si="28"/>
        <v>Canned Vegetables</v>
      </c>
      <c r="F916" t="str">
        <f t="shared" si="29"/>
        <v>Fruit &amp; Vegetables</v>
      </c>
      <c r="G916" s="1">
        <v>2.4900000000000002</v>
      </c>
      <c r="H916" t="s">
        <v>2996</v>
      </c>
      <c r="I916" s="3" t="s">
        <v>83</v>
      </c>
    </row>
    <row r="917" spans="1:9" x14ac:dyDescent="0.25">
      <c r="A917" t="s">
        <v>3003</v>
      </c>
      <c r="B917" t="s">
        <v>3004</v>
      </c>
      <c r="C917" t="s">
        <v>3005</v>
      </c>
      <c r="D917" t="str" cm="1">
        <f t="array" ref="D917">_xlfn.TEXTJOIN("", TRUE, IF(ISNUMBER(SEARCH($K$1379:$K$1423, C917)), $K$1379:$K$1423, ""))</f>
        <v>Birds Eye</v>
      </c>
      <c r="E917" t="str">
        <f t="shared" si="28"/>
        <v>Canned Vegetables</v>
      </c>
      <c r="F917" t="str">
        <f t="shared" si="29"/>
        <v>Fruit &amp; Vegetables</v>
      </c>
      <c r="G917" s="1">
        <v>2.4900000000000002</v>
      </c>
      <c r="H917" t="s">
        <v>1573</v>
      </c>
      <c r="I917" s="3" t="s">
        <v>1034</v>
      </c>
    </row>
    <row r="918" spans="1:9" x14ac:dyDescent="0.25">
      <c r="A918" t="s">
        <v>3006</v>
      </c>
      <c r="B918" t="s">
        <v>3007</v>
      </c>
      <c r="C918" t="s">
        <v>3008</v>
      </c>
      <c r="D918" t="str" cm="1">
        <f t="array" ref="D918">_xlfn.TEXTJOIN("", TRUE, IF(ISNUMBER(SEARCH($K$1379:$K$1423, C918)), $K$1379:$K$1423, ""))</f>
        <v>Birds Eye</v>
      </c>
      <c r="E918" t="str">
        <f t="shared" si="28"/>
        <v>Canned Vegetables</v>
      </c>
      <c r="F918" t="str">
        <f t="shared" si="29"/>
        <v>Fruit &amp; Vegetables</v>
      </c>
      <c r="G918" s="1">
        <v>1.89</v>
      </c>
      <c r="H918" t="s">
        <v>2948</v>
      </c>
      <c r="I918" s="3" t="s">
        <v>170</v>
      </c>
    </row>
    <row r="919" spans="1:9" x14ac:dyDescent="0.25">
      <c r="A919" t="s">
        <v>3009</v>
      </c>
      <c r="B919" t="s">
        <v>3010</v>
      </c>
      <c r="C919" t="s">
        <v>3011</v>
      </c>
      <c r="D919" t="str" cm="1">
        <f t="array" ref="D919">_xlfn.TEXTJOIN("", TRUE, IF(ISNUMBER(SEARCH($K$1379:$K$1423, C919)), $K$1379:$K$1423, ""))</f>
        <v>Birds Eye</v>
      </c>
      <c r="E919" t="str">
        <f t="shared" si="28"/>
        <v>Canned Vegetables</v>
      </c>
      <c r="F919" t="str">
        <f t="shared" si="29"/>
        <v>Fruit &amp; Vegetables</v>
      </c>
      <c r="G919" s="1">
        <v>2.4900000000000002</v>
      </c>
      <c r="H919" t="s">
        <v>1573</v>
      </c>
      <c r="I919" s="3" t="s">
        <v>1034</v>
      </c>
    </row>
    <row r="920" spans="1:9" x14ac:dyDescent="0.25">
      <c r="A920" t="s">
        <v>3012</v>
      </c>
      <c r="B920" t="s">
        <v>3013</v>
      </c>
      <c r="C920" t="s">
        <v>3014</v>
      </c>
      <c r="D920" t="str" cm="1">
        <f t="array" ref="D920">_xlfn.TEXTJOIN("", TRUE, IF(ISNUMBER(SEARCH($K$1379:$K$1423, C920)), $K$1379:$K$1423, ""))</f>
        <v>Birds Eye</v>
      </c>
      <c r="E920" t="str">
        <f t="shared" si="28"/>
        <v>Canned Vegetables</v>
      </c>
      <c r="F920" t="str">
        <f t="shared" si="29"/>
        <v>Fruit &amp; Vegetables</v>
      </c>
      <c r="G920" s="1">
        <v>1.89</v>
      </c>
      <c r="H920" t="s">
        <v>2948</v>
      </c>
      <c r="I920" s="3" t="s">
        <v>170</v>
      </c>
    </row>
    <row r="921" spans="1:9" x14ac:dyDescent="0.25">
      <c r="A921" t="s">
        <v>3015</v>
      </c>
      <c r="B921" t="s">
        <v>3016</v>
      </c>
      <c r="C921" t="s">
        <v>3017</v>
      </c>
      <c r="D921" t="str" cm="1">
        <f t="array" ref="D921">_xlfn.TEXTJOIN("", TRUE, IF(ISNUMBER(SEARCH($K$1379:$K$1423, C921)), $K$1379:$K$1423, ""))</f>
        <v>Birds Eye</v>
      </c>
      <c r="E921" t="str">
        <f t="shared" si="28"/>
        <v>Canned Vegetables</v>
      </c>
      <c r="F921" t="str">
        <f t="shared" si="29"/>
        <v>Fruit &amp; Vegetables</v>
      </c>
      <c r="G921" s="1">
        <v>2.4900000000000002</v>
      </c>
      <c r="H921" t="s">
        <v>1573</v>
      </c>
      <c r="I921" s="3" t="s">
        <v>1034</v>
      </c>
    </row>
    <row r="922" spans="1:9" x14ac:dyDescent="0.25">
      <c r="A922" t="s">
        <v>3018</v>
      </c>
      <c r="B922" t="s">
        <v>3019</v>
      </c>
      <c r="C922" t="s">
        <v>3020</v>
      </c>
      <c r="D922" t="str" cm="1">
        <f t="array" ref="D922">_xlfn.TEXTJOIN("", TRUE, IF(ISNUMBER(SEARCH($K$1379:$K$1423, C922)), $K$1379:$K$1423, ""))</f>
        <v>Birds Eye</v>
      </c>
      <c r="E922" t="str">
        <f t="shared" si="28"/>
        <v>Canned Vegetables</v>
      </c>
      <c r="F922" t="str">
        <f t="shared" si="29"/>
        <v>Fruit &amp; Vegetables</v>
      </c>
      <c r="G922" s="1">
        <v>2.99</v>
      </c>
      <c r="H922" t="s">
        <v>1573</v>
      </c>
      <c r="I922" s="3" t="s">
        <v>320</v>
      </c>
    </row>
    <row r="923" spans="1:9" x14ac:dyDescent="0.25">
      <c r="A923" t="s">
        <v>3021</v>
      </c>
      <c r="B923" t="s">
        <v>3022</v>
      </c>
      <c r="C923" t="s">
        <v>3023</v>
      </c>
      <c r="D923" t="str" cm="1">
        <f t="array" ref="D923">_xlfn.TEXTJOIN("", TRUE, IF(ISNUMBER(SEARCH($K$1379:$K$1423, C923)), $K$1379:$K$1423, ""))</f>
        <v>Birds Eye</v>
      </c>
      <c r="E923" t="str">
        <f t="shared" si="28"/>
        <v>Canned Vegetables</v>
      </c>
      <c r="F923" t="str">
        <f t="shared" si="29"/>
        <v>Fruit &amp; Vegetables</v>
      </c>
      <c r="G923" s="1">
        <v>2.4900000000000002</v>
      </c>
      <c r="H923" t="s">
        <v>2948</v>
      </c>
      <c r="I923" s="3" t="s">
        <v>149</v>
      </c>
    </row>
    <row r="924" spans="1:9" x14ac:dyDescent="0.25">
      <c r="A924" t="s">
        <v>3024</v>
      </c>
      <c r="B924" t="s">
        <v>3025</v>
      </c>
      <c r="C924" t="s">
        <v>3026</v>
      </c>
      <c r="D924" t="str" cm="1">
        <f t="array" ref="D924">_xlfn.TEXTJOIN("", TRUE, IF(ISNUMBER(SEARCH($K$1379:$K$1423, C924)), $K$1379:$K$1423, ""))</f>
        <v>Birds Eye</v>
      </c>
      <c r="E924" t="str">
        <f t="shared" si="28"/>
        <v>Canned Vegetables</v>
      </c>
      <c r="F924" t="str">
        <f t="shared" si="29"/>
        <v>Fruit &amp; Vegetables</v>
      </c>
      <c r="G924" s="1">
        <v>2.99</v>
      </c>
      <c r="H924" t="s">
        <v>1573</v>
      </c>
      <c r="I924" s="3" t="s">
        <v>320</v>
      </c>
    </row>
    <row r="925" spans="1:9" x14ac:dyDescent="0.25">
      <c r="A925" t="s">
        <v>3027</v>
      </c>
      <c r="B925" t="s">
        <v>3028</v>
      </c>
      <c r="C925" t="s">
        <v>3029</v>
      </c>
      <c r="D925" t="str" cm="1">
        <f t="array" ref="D925">_xlfn.TEXTJOIN("", TRUE, IF(ISNUMBER(SEARCH($K$1379:$K$1423, C925)), $K$1379:$K$1423, ""))</f>
        <v>Birds Eye</v>
      </c>
      <c r="E925" t="str">
        <f t="shared" si="28"/>
        <v>Canned Vegetables</v>
      </c>
      <c r="F925" t="str">
        <f t="shared" si="29"/>
        <v>Fruit &amp; Vegetables</v>
      </c>
      <c r="G925" s="1">
        <v>2.99</v>
      </c>
      <c r="H925" t="s">
        <v>1573</v>
      </c>
      <c r="I925" s="3" t="s">
        <v>320</v>
      </c>
    </row>
    <row r="926" spans="1:9" x14ac:dyDescent="0.25">
      <c r="A926" t="s">
        <v>3030</v>
      </c>
      <c r="B926" t="s">
        <v>3031</v>
      </c>
      <c r="C926" t="s">
        <v>3032</v>
      </c>
      <c r="D926" t="str" cm="1">
        <f t="array" ref="D926">_xlfn.TEXTJOIN("", TRUE, IF(ISNUMBER(SEARCH($K$1379:$K$1423, C926)), $K$1379:$K$1423, ""))</f>
        <v>Birds Eye</v>
      </c>
      <c r="E926" t="str">
        <f t="shared" si="28"/>
        <v>Canned Vegetables</v>
      </c>
      <c r="F926" t="str">
        <f t="shared" si="29"/>
        <v>Fruit &amp; Vegetables</v>
      </c>
      <c r="G926" s="1">
        <v>2.4900000000000002</v>
      </c>
      <c r="H926" t="s">
        <v>3033</v>
      </c>
      <c r="I926" s="3" t="s">
        <v>131</v>
      </c>
    </row>
    <row r="927" spans="1:9" x14ac:dyDescent="0.25">
      <c r="A927" t="s">
        <v>3034</v>
      </c>
      <c r="B927" t="s">
        <v>3035</v>
      </c>
      <c r="C927" t="s">
        <v>3036</v>
      </c>
      <c r="D927" t="str" cm="1">
        <f t="array" ref="D927">_xlfn.TEXTJOIN("", TRUE, IF(ISNUMBER(SEARCH($K$1379:$K$1423, C927)), $K$1379:$K$1423, ""))</f>
        <v>Birds Eye</v>
      </c>
      <c r="E927" t="str">
        <f t="shared" si="28"/>
        <v>Canned Vegetables</v>
      </c>
      <c r="F927" t="str">
        <f t="shared" si="29"/>
        <v>Fruit &amp; Vegetables</v>
      </c>
      <c r="G927" s="1">
        <v>2.4900000000000002</v>
      </c>
      <c r="H927" t="s">
        <v>3033</v>
      </c>
      <c r="I927" s="3" t="s">
        <v>131</v>
      </c>
    </row>
    <row r="928" spans="1:9" x14ac:dyDescent="0.25">
      <c r="A928" t="s">
        <v>3037</v>
      </c>
      <c r="B928" t="s">
        <v>3038</v>
      </c>
      <c r="C928" t="s">
        <v>3039</v>
      </c>
      <c r="D928" t="str" cm="1">
        <f t="array" ref="D928">_xlfn.TEXTJOIN("", TRUE, IF(ISNUMBER(SEARCH($K$1379:$K$1423, C928)), $K$1379:$K$1423, ""))</f>
        <v>Birds Eye</v>
      </c>
      <c r="E928" t="str">
        <f t="shared" si="28"/>
        <v>Canned Vegetables</v>
      </c>
      <c r="F928" t="str">
        <f t="shared" si="29"/>
        <v>Fruit &amp; Vegetables</v>
      </c>
      <c r="G928" s="1">
        <v>4.49</v>
      </c>
      <c r="H928" t="s">
        <v>1179</v>
      </c>
      <c r="I928" s="3" t="s">
        <v>2305</v>
      </c>
    </row>
    <row r="929" spans="1:9" x14ac:dyDescent="0.25">
      <c r="A929" t="s">
        <v>3040</v>
      </c>
      <c r="B929" t="s">
        <v>3041</v>
      </c>
      <c r="C929" t="s">
        <v>3042</v>
      </c>
      <c r="D929" t="str" cm="1">
        <f t="array" ref="D929">_xlfn.TEXTJOIN("", TRUE, IF(ISNUMBER(SEARCH($K$1379:$K$1423, C929)), $K$1379:$K$1423, ""))</f>
        <v>Birds Eye</v>
      </c>
      <c r="E929" t="str">
        <f t="shared" si="28"/>
        <v>Canned Vegetables</v>
      </c>
      <c r="F929" t="str">
        <f t="shared" si="29"/>
        <v>Fruit &amp; Vegetables</v>
      </c>
      <c r="G929" s="1">
        <v>2.99</v>
      </c>
      <c r="H929" t="s">
        <v>1573</v>
      </c>
      <c r="I929" s="3" t="s">
        <v>320</v>
      </c>
    </row>
    <row r="930" spans="1:9" x14ac:dyDescent="0.25">
      <c r="A930" t="s">
        <v>3043</v>
      </c>
      <c r="B930" t="s">
        <v>3044</v>
      </c>
      <c r="C930" t="s">
        <v>3045</v>
      </c>
      <c r="D930" t="str" cm="1">
        <f t="array" ref="D930">_xlfn.TEXTJOIN("", TRUE, IF(ISNUMBER(SEARCH($K$1379:$K$1423, C930)), $K$1379:$K$1423, ""))</f>
        <v>Birds Eye</v>
      </c>
      <c r="E930" t="str">
        <f t="shared" si="28"/>
        <v>Canned Vegetables</v>
      </c>
      <c r="F930" t="str">
        <f t="shared" si="29"/>
        <v>Fruit &amp; Vegetables</v>
      </c>
      <c r="G930" s="1">
        <v>2.99</v>
      </c>
      <c r="H930" t="s">
        <v>2948</v>
      </c>
      <c r="I930" s="3" t="s">
        <v>528</v>
      </c>
    </row>
    <row r="931" spans="1:9" x14ac:dyDescent="0.25">
      <c r="A931" t="s">
        <v>3046</v>
      </c>
      <c r="B931" t="s">
        <v>3047</v>
      </c>
      <c r="C931" t="s">
        <v>3048</v>
      </c>
      <c r="D931" t="str" cm="1">
        <f t="array" ref="D931">_xlfn.TEXTJOIN("", TRUE, IF(ISNUMBER(SEARCH($K$1379:$K$1423, C931)), $K$1379:$K$1423, ""))</f>
        <v>Birds Eye</v>
      </c>
      <c r="E931" t="str">
        <f t="shared" si="28"/>
        <v>Canned Vegetables</v>
      </c>
      <c r="F931" t="str">
        <f t="shared" si="29"/>
        <v>Fruit &amp; Vegetables</v>
      </c>
      <c r="G931" s="1">
        <v>2.99</v>
      </c>
      <c r="H931" t="s">
        <v>1573</v>
      </c>
      <c r="I931" s="3" t="s">
        <v>320</v>
      </c>
    </row>
    <row r="932" spans="1:9" x14ac:dyDescent="0.25">
      <c r="A932" t="s">
        <v>3049</v>
      </c>
      <c r="B932" t="s">
        <v>3050</v>
      </c>
      <c r="C932" t="s">
        <v>3051</v>
      </c>
      <c r="D932" t="str" cm="1">
        <f t="array" ref="D932">_xlfn.TEXTJOIN("", TRUE, IF(ISNUMBER(SEARCH($K$1379:$K$1423, C932)), $K$1379:$K$1423, ""))</f>
        <v>Birds Eye</v>
      </c>
      <c r="E932" t="str">
        <f t="shared" si="28"/>
        <v>Canned Vegetables</v>
      </c>
      <c r="F932" t="str">
        <f t="shared" si="29"/>
        <v>Fruit &amp; Vegetables</v>
      </c>
      <c r="G932" s="1">
        <v>2.99</v>
      </c>
      <c r="H932" t="s">
        <v>1573</v>
      </c>
      <c r="I932" s="3" t="s">
        <v>320</v>
      </c>
    </row>
    <row r="933" spans="1:9" x14ac:dyDescent="0.25">
      <c r="A933" t="s">
        <v>3052</v>
      </c>
      <c r="B933" t="s">
        <v>3053</v>
      </c>
      <c r="C933" t="s">
        <v>3054</v>
      </c>
      <c r="D933" t="str" cm="1">
        <f t="array" ref="D933">_xlfn.TEXTJOIN("", TRUE, IF(ISNUMBER(SEARCH($K$1379:$K$1423, C933)), $K$1379:$K$1423, ""))</f>
        <v>Birds Eye</v>
      </c>
      <c r="E933" t="str">
        <f t="shared" si="28"/>
        <v>Canned Vegetables</v>
      </c>
      <c r="F933" t="str">
        <f t="shared" si="29"/>
        <v>Fruit &amp; Vegetables</v>
      </c>
      <c r="G933" s="1">
        <v>2.4900000000000002</v>
      </c>
      <c r="H933" t="s">
        <v>1573</v>
      </c>
      <c r="I933" s="3" t="s">
        <v>1034</v>
      </c>
    </row>
    <row r="934" spans="1:9" x14ac:dyDescent="0.25">
      <c r="A934" t="s">
        <v>3055</v>
      </c>
      <c r="B934" t="s">
        <v>3056</v>
      </c>
      <c r="C934" t="s">
        <v>3057</v>
      </c>
      <c r="D934" t="str" cm="1">
        <f t="array" ref="D934">_xlfn.TEXTJOIN("", TRUE, IF(ISNUMBER(SEARCH($K$1379:$K$1423, C934)), $K$1379:$K$1423, ""))</f>
        <v>Birds Eye</v>
      </c>
      <c r="E934" t="str">
        <f t="shared" si="28"/>
        <v>Canned Vegetables</v>
      </c>
      <c r="F934" t="str">
        <f t="shared" si="29"/>
        <v>Fruit &amp; Vegetables</v>
      </c>
      <c r="G934" s="1">
        <v>3.99</v>
      </c>
      <c r="H934" t="s">
        <v>138</v>
      </c>
      <c r="I934" s="3" t="s">
        <v>752</v>
      </c>
    </row>
    <row r="935" spans="1:9" x14ac:dyDescent="0.25">
      <c r="A935" t="s">
        <v>3058</v>
      </c>
      <c r="B935" t="s">
        <v>3056</v>
      </c>
      <c r="C935" t="s">
        <v>3059</v>
      </c>
      <c r="D935" t="str" cm="1">
        <f t="array" ref="D935">_xlfn.TEXTJOIN("", TRUE, IF(ISNUMBER(SEARCH($K$1379:$K$1423, C935)), $K$1379:$K$1423, ""))</f>
        <v>Birds Eye</v>
      </c>
      <c r="E935" t="str">
        <f t="shared" si="28"/>
        <v>Canned Vegetables</v>
      </c>
      <c r="F935" t="str">
        <f t="shared" si="29"/>
        <v>Fruit &amp; Vegetables</v>
      </c>
      <c r="G935" s="1">
        <v>2.4900000000000002</v>
      </c>
      <c r="H935" t="s">
        <v>3060</v>
      </c>
      <c r="I935" s="3" t="s">
        <v>551</v>
      </c>
    </row>
    <row r="936" spans="1:9" x14ac:dyDescent="0.25">
      <c r="A936" t="s">
        <v>3061</v>
      </c>
      <c r="B936" t="s">
        <v>3056</v>
      </c>
      <c r="C936" t="s">
        <v>3062</v>
      </c>
      <c r="D936" t="str" cm="1">
        <f t="array" ref="D936">_xlfn.TEXTJOIN("", TRUE, IF(ISNUMBER(SEARCH($K$1379:$K$1423, C936)), $K$1379:$K$1423, ""))</f>
        <v>Birds Eye</v>
      </c>
      <c r="E936" t="str">
        <f t="shared" si="28"/>
        <v>Canned Vegetables</v>
      </c>
      <c r="F936" t="str">
        <f t="shared" si="29"/>
        <v>Fruit &amp; Vegetables</v>
      </c>
      <c r="G936" s="1">
        <v>2.99</v>
      </c>
      <c r="H936" t="s">
        <v>2948</v>
      </c>
      <c r="I936" s="3" t="s">
        <v>528</v>
      </c>
    </row>
    <row r="937" spans="1:9" x14ac:dyDescent="0.25">
      <c r="A937" t="s">
        <v>3063</v>
      </c>
      <c r="B937" t="s">
        <v>3056</v>
      </c>
      <c r="C937" t="s">
        <v>3064</v>
      </c>
      <c r="D937" t="str" cm="1">
        <f t="array" ref="D937">_xlfn.TEXTJOIN("", TRUE, IF(ISNUMBER(SEARCH($K$1379:$K$1423, C937)), $K$1379:$K$1423, ""))</f>
        <v>Birds Eye</v>
      </c>
      <c r="E937" t="str">
        <f t="shared" si="28"/>
        <v>Canned Vegetables</v>
      </c>
      <c r="F937" t="str">
        <f t="shared" si="29"/>
        <v>Fruit &amp; Vegetables</v>
      </c>
      <c r="G937" s="1">
        <v>2.99</v>
      </c>
      <c r="H937" t="s">
        <v>2948</v>
      </c>
      <c r="I937" s="3" t="s">
        <v>528</v>
      </c>
    </row>
    <row r="938" spans="1:9" x14ac:dyDescent="0.25">
      <c r="A938" t="s">
        <v>3065</v>
      </c>
      <c r="B938" t="s">
        <v>3056</v>
      </c>
      <c r="C938" t="s">
        <v>3066</v>
      </c>
      <c r="D938" t="str" cm="1">
        <f t="array" ref="D938">_xlfn.TEXTJOIN("", TRUE, IF(ISNUMBER(SEARCH($K$1379:$K$1423, C938)), $K$1379:$K$1423, ""))</f>
        <v>Birds Eye</v>
      </c>
      <c r="E938" t="str">
        <f t="shared" si="28"/>
        <v>Canned Vegetables</v>
      </c>
      <c r="F938" t="str">
        <f t="shared" si="29"/>
        <v>Fruit &amp; Vegetables</v>
      </c>
      <c r="G938" s="1">
        <v>4</v>
      </c>
      <c r="H938" t="s">
        <v>138</v>
      </c>
      <c r="I938" s="3" t="s">
        <v>752</v>
      </c>
    </row>
    <row r="939" spans="1:9" x14ac:dyDescent="0.25">
      <c r="A939" t="s">
        <v>3067</v>
      </c>
      <c r="B939" t="s">
        <v>3068</v>
      </c>
      <c r="C939" t="s">
        <v>3069</v>
      </c>
      <c r="D939" t="str" cm="1">
        <f t="array" ref="D939">_xlfn.TEXTJOIN("", TRUE, IF(ISNUMBER(SEARCH($K$1379:$K$1423, C939)), $K$1379:$K$1423, ""))</f>
        <v>OREO</v>
      </c>
      <c r="E939" t="str">
        <f t="shared" si="28"/>
        <v>Prepared Food</v>
      </c>
      <c r="F939" t="str">
        <f t="shared" si="29"/>
        <v>Prepared Food</v>
      </c>
      <c r="G939" s="1">
        <v>4.99</v>
      </c>
      <c r="H939" t="s">
        <v>3070</v>
      </c>
      <c r="I939" s="3" t="s">
        <v>320</v>
      </c>
    </row>
    <row r="940" spans="1:9" x14ac:dyDescent="0.25">
      <c r="A940" t="s">
        <v>3071</v>
      </c>
      <c r="B940" t="s">
        <v>3072</v>
      </c>
      <c r="C940" t="s">
        <v>3073</v>
      </c>
      <c r="D940" t="str" cm="1">
        <f t="array" ref="D940">_xlfn.TEXTJOIN("", TRUE, IF(ISNUMBER(SEARCH($K$1379:$K$1423, C940)), $K$1379:$K$1423, ""))</f>
        <v>OREO</v>
      </c>
      <c r="E940" t="str">
        <f t="shared" si="28"/>
        <v>Prepared Food</v>
      </c>
      <c r="F940" t="str">
        <f t="shared" si="29"/>
        <v>Prepared Food</v>
      </c>
      <c r="G940" s="1">
        <v>4.99</v>
      </c>
      <c r="H940" t="s">
        <v>3074</v>
      </c>
      <c r="I940" s="3" t="s">
        <v>79</v>
      </c>
    </row>
    <row r="941" spans="1:9" x14ac:dyDescent="0.25">
      <c r="A941" t="s">
        <v>3075</v>
      </c>
      <c r="B941" t="s">
        <v>3076</v>
      </c>
      <c r="C941" t="s">
        <v>3077</v>
      </c>
      <c r="D941" t="str" cm="1">
        <f t="array" ref="D941">_xlfn.TEXTJOIN("", TRUE, IF(ISNUMBER(SEARCH($K$1379:$K$1423, C941)), $K$1379:$K$1423, ""))</f>
        <v>OREO</v>
      </c>
      <c r="E941" t="str">
        <f t="shared" si="28"/>
        <v>Prepared Food</v>
      </c>
      <c r="F941" t="str">
        <f t="shared" si="29"/>
        <v>Prepared Food</v>
      </c>
      <c r="G941" s="1">
        <v>4.99</v>
      </c>
      <c r="H941" t="s">
        <v>3070</v>
      </c>
      <c r="I941" s="3" t="s">
        <v>320</v>
      </c>
    </row>
    <row r="942" spans="1:9" x14ac:dyDescent="0.25">
      <c r="A942" t="s">
        <v>3078</v>
      </c>
      <c r="B942" t="s">
        <v>3079</v>
      </c>
      <c r="C942" t="s">
        <v>3080</v>
      </c>
      <c r="D942" t="str" cm="1">
        <f t="array" ref="D942">_xlfn.TEXTJOIN("", TRUE, IF(ISNUMBER(SEARCH($K$1379:$K$1423, C942)), $K$1379:$K$1423, ""))</f>
        <v>OREO</v>
      </c>
      <c r="E942" t="str">
        <f t="shared" si="28"/>
        <v>Prepared Food</v>
      </c>
      <c r="F942" t="str">
        <f t="shared" si="29"/>
        <v>Prepared Food</v>
      </c>
      <c r="G942" s="1">
        <v>4.6900000000000004</v>
      </c>
      <c r="H942" t="s">
        <v>3081</v>
      </c>
      <c r="I942" s="3" t="s">
        <v>2172</v>
      </c>
    </row>
    <row r="943" spans="1:9" x14ac:dyDescent="0.25">
      <c r="A943" t="s">
        <v>3082</v>
      </c>
      <c r="B943" t="s">
        <v>3083</v>
      </c>
      <c r="C943" t="s">
        <v>3084</v>
      </c>
      <c r="D943" t="str" cm="1">
        <f t="array" ref="D943">_xlfn.TEXTJOIN("", TRUE, IF(ISNUMBER(SEARCH($K$1379:$K$1423, C943)), $K$1379:$K$1423, ""))</f>
        <v>OREO</v>
      </c>
      <c r="E943" t="str">
        <f t="shared" si="28"/>
        <v>Prepared Food</v>
      </c>
      <c r="F943" t="str">
        <f t="shared" si="29"/>
        <v>Prepared Food</v>
      </c>
      <c r="G943" s="1">
        <v>4.6900000000000004</v>
      </c>
      <c r="H943" t="s">
        <v>3085</v>
      </c>
      <c r="I943" s="3" t="s">
        <v>752</v>
      </c>
    </row>
    <row r="944" spans="1:9" x14ac:dyDescent="0.25">
      <c r="A944" t="s">
        <v>3086</v>
      </c>
      <c r="B944" t="s">
        <v>3087</v>
      </c>
      <c r="C944" t="s">
        <v>3088</v>
      </c>
      <c r="D944" t="str" cm="1">
        <f t="array" ref="D944">_xlfn.TEXTJOIN("", TRUE, IF(ISNUMBER(SEARCH($K$1379:$K$1423, C944)), $K$1379:$K$1423, ""))</f>
        <v>OREO</v>
      </c>
      <c r="E944" t="str">
        <f t="shared" si="28"/>
        <v>Prepared Food</v>
      </c>
      <c r="F944" t="str">
        <f t="shared" si="29"/>
        <v>Prepared Food</v>
      </c>
      <c r="G944" s="1">
        <v>1.5</v>
      </c>
      <c r="H944" t="s">
        <v>3089</v>
      </c>
      <c r="I944" s="3" t="s">
        <v>1337</v>
      </c>
    </row>
    <row r="945" spans="1:9" x14ac:dyDescent="0.25">
      <c r="A945" t="s">
        <v>3090</v>
      </c>
      <c r="B945" t="s">
        <v>3091</v>
      </c>
      <c r="C945" t="s">
        <v>3092</v>
      </c>
      <c r="D945" t="str" cm="1">
        <f t="array" ref="D945">_xlfn.TEXTJOIN("", TRUE, IF(ISNUMBER(SEARCH($K$1379:$K$1423, C945)), $K$1379:$K$1423, ""))</f>
        <v>OREO</v>
      </c>
      <c r="E945" t="str">
        <f t="shared" si="28"/>
        <v>Prepared Food</v>
      </c>
      <c r="F945" t="str">
        <f t="shared" si="29"/>
        <v>Prepared Food</v>
      </c>
      <c r="G945" s="1">
        <v>4.99</v>
      </c>
      <c r="H945" t="s">
        <v>3093</v>
      </c>
      <c r="I945" s="3" t="s">
        <v>320</v>
      </c>
    </row>
    <row r="946" spans="1:9" x14ac:dyDescent="0.25">
      <c r="A946" t="s">
        <v>3094</v>
      </c>
      <c r="B946" t="s">
        <v>3095</v>
      </c>
      <c r="C946" t="s">
        <v>3096</v>
      </c>
      <c r="D946" t="str" cm="1">
        <f t="array" ref="D946">_xlfn.TEXTJOIN("", TRUE, IF(ISNUMBER(SEARCH($K$1379:$K$1423, C946)), $K$1379:$K$1423, ""))</f>
        <v>OREO</v>
      </c>
      <c r="E946" t="str">
        <f t="shared" si="28"/>
        <v>Prepared Food</v>
      </c>
      <c r="F946" t="str">
        <f t="shared" si="29"/>
        <v>Prepared Food</v>
      </c>
      <c r="G946" s="1">
        <v>4.99</v>
      </c>
      <c r="H946" t="s">
        <v>3097</v>
      </c>
      <c r="I946" s="3" t="s">
        <v>507</v>
      </c>
    </row>
    <row r="947" spans="1:9" x14ac:dyDescent="0.25">
      <c r="A947" t="s">
        <v>3098</v>
      </c>
      <c r="B947" t="s">
        <v>3099</v>
      </c>
      <c r="C947" t="s">
        <v>3100</v>
      </c>
      <c r="D947" t="str" cm="1">
        <f t="array" ref="D947">_xlfn.TEXTJOIN("", TRUE, IF(ISNUMBER(SEARCH($K$1379:$K$1423, C947)), $K$1379:$K$1423, ""))</f>
        <v>OREO</v>
      </c>
      <c r="E947" t="str">
        <f t="shared" si="28"/>
        <v>Prepared Food</v>
      </c>
      <c r="F947" t="str">
        <f t="shared" si="29"/>
        <v>Prepared Food</v>
      </c>
      <c r="G947" s="1">
        <v>2.99</v>
      </c>
      <c r="H947" t="s">
        <v>1179</v>
      </c>
      <c r="I947" s="3" t="s">
        <v>689</v>
      </c>
    </row>
    <row r="948" spans="1:9" x14ac:dyDescent="0.25">
      <c r="A948" t="s">
        <v>3101</v>
      </c>
      <c r="B948" t="s">
        <v>3102</v>
      </c>
      <c r="C948" t="s">
        <v>3103</v>
      </c>
      <c r="D948" t="str" cm="1">
        <f t="array" ref="D948">_xlfn.TEXTJOIN("", TRUE, IF(ISNUMBER(SEARCH($K$1379:$K$1423, C948)), $K$1379:$K$1423, ""))</f>
        <v>OREO</v>
      </c>
      <c r="E948" t="str">
        <f t="shared" si="28"/>
        <v>Prepared Food</v>
      </c>
      <c r="F948" t="str">
        <f t="shared" si="29"/>
        <v>Prepared Food</v>
      </c>
      <c r="G948" s="1">
        <v>4.99</v>
      </c>
      <c r="H948" t="s">
        <v>3074</v>
      </c>
      <c r="I948" s="3" t="s">
        <v>79</v>
      </c>
    </row>
    <row r="949" spans="1:9" x14ac:dyDescent="0.25">
      <c r="A949" t="s">
        <v>3104</v>
      </c>
      <c r="B949" t="s">
        <v>3105</v>
      </c>
      <c r="C949" t="s">
        <v>3106</v>
      </c>
      <c r="D949" t="str" cm="1">
        <f t="array" ref="D949">_xlfn.TEXTJOIN("", TRUE, IF(ISNUMBER(SEARCH($K$1379:$K$1423, C949)), $K$1379:$K$1423, ""))</f>
        <v>OREO</v>
      </c>
      <c r="E949" t="str">
        <f t="shared" si="28"/>
        <v>Prepared Food</v>
      </c>
      <c r="F949" t="str">
        <f t="shared" si="29"/>
        <v>Prepared Food</v>
      </c>
      <c r="G949" s="1">
        <v>4.99</v>
      </c>
      <c r="H949" t="s">
        <v>3107</v>
      </c>
      <c r="I949" s="3" t="s">
        <v>1518</v>
      </c>
    </row>
    <row r="950" spans="1:9" x14ac:dyDescent="0.25">
      <c r="A950" t="s">
        <v>3108</v>
      </c>
      <c r="B950" t="s">
        <v>3109</v>
      </c>
      <c r="C950" t="s">
        <v>3110</v>
      </c>
      <c r="D950" t="str" cm="1">
        <f t="array" ref="D950">_xlfn.TEXTJOIN("", TRUE, IF(ISNUMBER(SEARCH($K$1379:$K$1423, C950)), $K$1379:$K$1423, ""))</f>
        <v>OREO</v>
      </c>
      <c r="E950" t="str">
        <f t="shared" si="28"/>
        <v>Prepared Food</v>
      </c>
      <c r="F950" t="str">
        <f t="shared" si="29"/>
        <v>Prepared Food</v>
      </c>
      <c r="G950" s="1">
        <v>4.99</v>
      </c>
      <c r="H950" t="s">
        <v>3111</v>
      </c>
      <c r="I950" s="3" t="s">
        <v>308</v>
      </c>
    </row>
    <row r="951" spans="1:9" x14ac:dyDescent="0.25">
      <c r="A951" t="s">
        <v>3112</v>
      </c>
      <c r="B951" t="s">
        <v>3113</v>
      </c>
      <c r="C951" t="s">
        <v>3114</v>
      </c>
      <c r="D951" t="str" cm="1">
        <f t="array" ref="D951">_xlfn.TEXTJOIN("", TRUE, IF(ISNUMBER(SEARCH($K$1379:$K$1423, C951)), $K$1379:$K$1423, ""))</f>
        <v>OREO</v>
      </c>
      <c r="E951" t="str">
        <f t="shared" si="28"/>
        <v>Prepared Food</v>
      </c>
      <c r="F951" t="str">
        <f t="shared" si="29"/>
        <v>Prepared Food</v>
      </c>
      <c r="G951" s="1">
        <v>4.99</v>
      </c>
      <c r="H951" t="s">
        <v>3074</v>
      </c>
      <c r="I951" s="3" t="s">
        <v>79</v>
      </c>
    </row>
    <row r="952" spans="1:9" x14ac:dyDescent="0.25">
      <c r="A952" t="s">
        <v>3115</v>
      </c>
      <c r="B952" t="s">
        <v>3116</v>
      </c>
      <c r="C952" t="s">
        <v>3117</v>
      </c>
      <c r="D952" t="str" cm="1">
        <f t="array" ref="D952">_xlfn.TEXTJOIN("", TRUE, IF(ISNUMBER(SEARCH($K$1379:$K$1423, C952)), $K$1379:$K$1423, ""))</f>
        <v>OREO</v>
      </c>
      <c r="E952" t="str">
        <f t="shared" si="28"/>
        <v>Prepared Food</v>
      </c>
      <c r="F952" t="str">
        <f t="shared" si="29"/>
        <v>Prepared Food</v>
      </c>
      <c r="G952" s="1">
        <v>4.6900000000000004</v>
      </c>
      <c r="H952" t="s">
        <v>3118</v>
      </c>
      <c r="I952" s="3" t="s">
        <v>2172</v>
      </c>
    </row>
    <row r="953" spans="1:9" x14ac:dyDescent="0.25">
      <c r="A953" t="s">
        <v>3119</v>
      </c>
      <c r="B953" t="s">
        <v>3120</v>
      </c>
      <c r="C953" t="s">
        <v>3121</v>
      </c>
      <c r="D953" t="str" cm="1">
        <f t="array" ref="D953">_xlfn.TEXTJOIN("", TRUE, IF(ISNUMBER(SEARCH($K$1379:$K$1423, C953)), $K$1379:$K$1423, ""))</f>
        <v>OREO</v>
      </c>
      <c r="E953" t="str">
        <f t="shared" si="28"/>
        <v>Prepared Food</v>
      </c>
      <c r="F953" t="str">
        <f t="shared" si="29"/>
        <v>Prepared Food</v>
      </c>
      <c r="G953" s="1">
        <v>6.59</v>
      </c>
      <c r="H953" t="s">
        <v>3122</v>
      </c>
      <c r="I953" s="3" t="s">
        <v>551</v>
      </c>
    </row>
    <row r="954" spans="1:9" x14ac:dyDescent="0.25">
      <c r="A954" t="s">
        <v>3123</v>
      </c>
      <c r="B954" t="s">
        <v>3124</v>
      </c>
      <c r="C954" t="s">
        <v>3125</v>
      </c>
      <c r="D954" t="str" cm="1">
        <f t="array" ref="D954">_xlfn.TEXTJOIN("", TRUE, IF(ISNUMBER(SEARCH($K$1379:$K$1423, C954)), $K$1379:$K$1423, ""))</f>
        <v>OREO</v>
      </c>
      <c r="E954" t="str">
        <f t="shared" si="28"/>
        <v>Prepared Food</v>
      </c>
      <c r="F954" t="str">
        <f t="shared" si="29"/>
        <v>Prepared Food</v>
      </c>
      <c r="G954" s="1">
        <v>4.99</v>
      </c>
      <c r="H954" t="s">
        <v>1234</v>
      </c>
      <c r="I954" s="3" t="s">
        <v>1118</v>
      </c>
    </row>
    <row r="955" spans="1:9" x14ac:dyDescent="0.25">
      <c r="A955" t="s">
        <v>3126</v>
      </c>
      <c r="B955" t="s">
        <v>3127</v>
      </c>
      <c r="C955" t="s">
        <v>3128</v>
      </c>
      <c r="D955" t="str" cm="1">
        <f t="array" ref="D955">_xlfn.TEXTJOIN("", TRUE, IF(ISNUMBER(SEARCH($K$1379:$K$1423, C955)), $K$1379:$K$1423, ""))</f>
        <v>OREO</v>
      </c>
      <c r="E955" t="str">
        <f t="shared" si="28"/>
        <v>Prepared Food</v>
      </c>
      <c r="F955" t="str">
        <f t="shared" si="29"/>
        <v>Prepared Food</v>
      </c>
      <c r="G955" s="1">
        <v>4.99</v>
      </c>
      <c r="H955" t="s">
        <v>3097</v>
      </c>
      <c r="I955" s="3" t="s">
        <v>507</v>
      </c>
    </row>
    <row r="956" spans="1:9" x14ac:dyDescent="0.25">
      <c r="A956" t="s">
        <v>3129</v>
      </c>
      <c r="B956" t="s">
        <v>3130</v>
      </c>
      <c r="C956" t="s">
        <v>3131</v>
      </c>
      <c r="D956" t="str" cm="1">
        <f t="array" ref="D956">_xlfn.TEXTJOIN("", TRUE, IF(ISNUMBER(SEARCH($K$1379:$K$1423, C956)), $K$1379:$K$1423, ""))</f>
        <v>OREO</v>
      </c>
      <c r="E956" t="str">
        <f t="shared" si="28"/>
        <v>Prepared Food</v>
      </c>
      <c r="F956" t="str">
        <f t="shared" si="29"/>
        <v>Prepared Food</v>
      </c>
      <c r="G956" s="1">
        <v>4.99</v>
      </c>
      <c r="H956" t="s">
        <v>3111</v>
      </c>
      <c r="I956" s="3" t="s">
        <v>308</v>
      </c>
    </row>
    <row r="957" spans="1:9" x14ac:dyDescent="0.25">
      <c r="A957" t="s">
        <v>3132</v>
      </c>
      <c r="B957" t="s">
        <v>3133</v>
      </c>
      <c r="C957" t="s">
        <v>3134</v>
      </c>
      <c r="D957" t="str" cm="1">
        <f t="array" ref="D957">_xlfn.TEXTJOIN("", TRUE, IF(ISNUMBER(SEARCH($K$1379:$K$1423, C957)), $K$1379:$K$1423, ""))</f>
        <v>OREO</v>
      </c>
      <c r="E957" t="str">
        <f t="shared" si="28"/>
        <v>Prepared Food</v>
      </c>
      <c r="F957" t="str">
        <f t="shared" si="29"/>
        <v>Prepared Food</v>
      </c>
      <c r="G957" s="1">
        <v>4.99</v>
      </c>
      <c r="H957" t="s">
        <v>3074</v>
      </c>
      <c r="I957" s="3" t="s">
        <v>79</v>
      </c>
    </row>
    <row r="958" spans="1:9" x14ac:dyDescent="0.25">
      <c r="A958" t="s">
        <v>3135</v>
      </c>
      <c r="B958" t="s">
        <v>3136</v>
      </c>
      <c r="C958" t="s">
        <v>3137</v>
      </c>
      <c r="D958" t="str" cm="1">
        <f t="array" ref="D958">_xlfn.TEXTJOIN("", TRUE, IF(ISNUMBER(SEARCH($K$1379:$K$1423, C958)), $K$1379:$K$1423, ""))</f>
        <v>OREO</v>
      </c>
      <c r="E958" t="str">
        <f t="shared" si="28"/>
        <v>Prepared Food</v>
      </c>
      <c r="F958" t="str">
        <f t="shared" si="29"/>
        <v>Prepared Food</v>
      </c>
      <c r="G958" s="1">
        <v>4.99</v>
      </c>
      <c r="H958" t="s">
        <v>3097</v>
      </c>
      <c r="I958" s="3" t="s">
        <v>507</v>
      </c>
    </row>
    <row r="959" spans="1:9" x14ac:dyDescent="0.25">
      <c r="A959" t="s">
        <v>3138</v>
      </c>
      <c r="B959" t="s">
        <v>3139</v>
      </c>
      <c r="C959" t="s">
        <v>3140</v>
      </c>
      <c r="D959" t="str" cm="1">
        <f t="array" ref="D959">_xlfn.TEXTJOIN("", TRUE, IF(ISNUMBER(SEARCH($K$1379:$K$1423, C959)), $K$1379:$K$1423, ""))</f>
        <v>OREO</v>
      </c>
      <c r="E959" t="str">
        <f t="shared" si="28"/>
        <v>Prepared Food</v>
      </c>
      <c r="F959" t="str">
        <f t="shared" si="29"/>
        <v>Prepared Food</v>
      </c>
      <c r="G959" s="1">
        <v>6.59</v>
      </c>
      <c r="H959" t="s">
        <v>3141</v>
      </c>
      <c r="I959" s="3" t="s">
        <v>79</v>
      </c>
    </row>
    <row r="960" spans="1:9" x14ac:dyDescent="0.25">
      <c r="A960" t="s">
        <v>3142</v>
      </c>
      <c r="B960" t="s">
        <v>3143</v>
      </c>
      <c r="C960" t="s">
        <v>3144</v>
      </c>
      <c r="D960" t="str" cm="1">
        <f t="array" ref="D960">_xlfn.TEXTJOIN("", TRUE, IF(ISNUMBER(SEARCH($K$1379:$K$1423, C960)), $K$1379:$K$1423, ""))</f>
        <v>OREO</v>
      </c>
      <c r="E960" t="str">
        <f t="shared" si="28"/>
        <v>Prepared Food</v>
      </c>
      <c r="F960" t="str">
        <f t="shared" si="29"/>
        <v>Prepared Food</v>
      </c>
      <c r="G960" s="1">
        <v>4.99</v>
      </c>
      <c r="H960" t="s">
        <v>3097</v>
      </c>
      <c r="I960" s="3" t="s">
        <v>507</v>
      </c>
    </row>
    <row r="961" spans="1:9" x14ac:dyDescent="0.25">
      <c r="A961" t="s">
        <v>3145</v>
      </c>
      <c r="B961" t="s">
        <v>3146</v>
      </c>
      <c r="C961" t="s">
        <v>3147</v>
      </c>
      <c r="D961" t="str" cm="1">
        <f t="array" ref="D961">_xlfn.TEXTJOIN("", TRUE, IF(ISNUMBER(SEARCH($K$1379:$K$1423, C961)), $K$1379:$K$1423, ""))</f>
        <v>OREO</v>
      </c>
      <c r="E961" t="str">
        <f t="shared" si="28"/>
        <v>Prepared Food</v>
      </c>
      <c r="F961" t="str">
        <f t="shared" si="29"/>
        <v>Prepared Food</v>
      </c>
      <c r="G961" s="1">
        <v>4.99</v>
      </c>
      <c r="H961" t="s">
        <v>3148</v>
      </c>
      <c r="I961" s="3" t="s">
        <v>1118</v>
      </c>
    </row>
    <row r="962" spans="1:9" x14ac:dyDescent="0.25">
      <c r="A962" t="s">
        <v>3149</v>
      </c>
      <c r="B962" t="s">
        <v>3150</v>
      </c>
      <c r="C962" t="s">
        <v>3151</v>
      </c>
      <c r="D962" t="str" cm="1">
        <f t="array" ref="D962">_xlfn.TEXTJOIN("", TRUE, IF(ISNUMBER(SEARCH($K$1379:$K$1423, C962)), $K$1379:$K$1423, ""))</f>
        <v>OREO</v>
      </c>
      <c r="E962" t="str">
        <f t="shared" ref="E962:E1025" si="30">IF(OR(D962="Mission",D962="Nature's Own",D962="Sara Lee"),"Bread",
IF(OR(D962="Del Monte",D962="Dole",D962="Mott's"),"Canned Fruit",
IF(OR(D962="Goya",D962="Hunt's",D962="Birds Eye"),"Canned Vegetables",
IF(OR(D962="fairlife",D962="Horizon Organic",D962="Lactaid",D962="Ben &amp; Jerry's"),"Milk",
IF(OR(D962="BelGioioso",D962="Kraft",D962="Philadelphia"),"Cheese",
IF(OR(D962="Chobani",D962="Oikos",D962="Dannon Light + Fit"),"Yogurt",
IF(OR(D962="Barilla",D962="Annie's",D962="Rao's Homemade"),"Pasta",
IF(OR(D962="Hershey's",D962="Lay's",D962="Totino's",D962="Cheerios",D962="Jif",D962="Skippy",D962="Nature Valley",D962="OREO",D962="DiGiorno",D962="Eggo"),"Prepared Food",
IF(OR(D962="Ben's Original",D962="Lundberg",D962="Quaker"),"Rice",
IF(OR(D962="Bush's",D962="Hillshire Farm",D962="Oscar Mayer",D962="SPAM"),"Protein",
IF(OR(D962="Starbucks",D962="Sparkling Ice",D962="Coca-Cola",D962="San Pellegrino",D962="Gatorade",D962="Arizona"),"Beverages",
"Other")))))))))))</f>
        <v>Prepared Food</v>
      </c>
      <c r="F962" t="str">
        <f t="shared" ref="F962:F1025" si="31">IF(OR(E962="Bread",E962="Rice",E962="Pasta"), "Grain",
IF(OR(E962="Milk",E962="Cheese",E962="Yogurt"), "Dairy",
IF(OR(E962="Canned Fruit",E962="Canned Vegetables"), "Fruit &amp; Vegetables",
IF(E962="Prepared Food", "Prepared Food",
IF(E962="Protein", "Protein",
IF(E962="Beverages", "Beverages",
"Other"))))))</f>
        <v>Prepared Food</v>
      </c>
      <c r="G962" s="1">
        <v>4.99</v>
      </c>
      <c r="H962" t="s">
        <v>3118</v>
      </c>
      <c r="I962" s="3" t="s">
        <v>689</v>
      </c>
    </row>
    <row r="963" spans="1:9" x14ac:dyDescent="0.25">
      <c r="A963" t="s">
        <v>3152</v>
      </c>
      <c r="B963" t="s">
        <v>3153</v>
      </c>
      <c r="C963" t="s">
        <v>3154</v>
      </c>
      <c r="D963" t="str" cm="1">
        <f t="array" ref="D963">_xlfn.TEXTJOIN("", TRUE, IF(ISNUMBER(SEARCH($K$1379:$K$1423, C963)), $K$1379:$K$1423, ""))</f>
        <v>OREO</v>
      </c>
      <c r="E963" t="str">
        <f t="shared" si="30"/>
        <v>Prepared Food</v>
      </c>
      <c r="F963" t="str">
        <f t="shared" si="31"/>
        <v>Prepared Food</v>
      </c>
      <c r="G963" s="1">
        <v>4.99</v>
      </c>
      <c r="H963" t="s">
        <v>3111</v>
      </c>
      <c r="I963" s="3" t="s">
        <v>308</v>
      </c>
    </row>
    <row r="964" spans="1:9" x14ac:dyDescent="0.25">
      <c r="A964" t="s">
        <v>3155</v>
      </c>
      <c r="B964" t="s">
        <v>3156</v>
      </c>
      <c r="C964" t="s">
        <v>3157</v>
      </c>
      <c r="D964" t="str" cm="1">
        <f t="array" ref="D964">_xlfn.TEXTJOIN("", TRUE, IF(ISNUMBER(SEARCH($K$1379:$K$1423, C964)), $K$1379:$K$1423, ""))</f>
        <v>OREO</v>
      </c>
      <c r="E964" t="str">
        <f t="shared" si="30"/>
        <v>Prepared Food</v>
      </c>
      <c r="F964" t="str">
        <f t="shared" si="31"/>
        <v>Prepared Food</v>
      </c>
      <c r="G964" s="1">
        <v>4.99</v>
      </c>
      <c r="H964" t="s">
        <v>3158</v>
      </c>
      <c r="I964" s="3" t="s">
        <v>1594</v>
      </c>
    </row>
    <row r="965" spans="1:9" x14ac:dyDescent="0.25">
      <c r="A965" t="s">
        <v>3159</v>
      </c>
      <c r="B965" t="s">
        <v>3160</v>
      </c>
      <c r="C965" t="s">
        <v>3161</v>
      </c>
      <c r="D965" t="str" cm="1">
        <f t="array" ref="D965">_xlfn.TEXTJOIN("", TRUE, IF(ISNUMBER(SEARCH($K$1379:$K$1423, C965)), $K$1379:$K$1423, ""))</f>
        <v>OREO</v>
      </c>
      <c r="E965" t="str">
        <f t="shared" si="30"/>
        <v>Prepared Food</v>
      </c>
      <c r="F965" t="str">
        <f t="shared" si="31"/>
        <v>Prepared Food</v>
      </c>
      <c r="G965" s="1">
        <v>4.99</v>
      </c>
      <c r="H965" t="s">
        <v>3158</v>
      </c>
      <c r="I965" s="3" t="s">
        <v>1594</v>
      </c>
    </row>
    <row r="966" spans="1:9" x14ac:dyDescent="0.25">
      <c r="A966" t="s">
        <v>3162</v>
      </c>
      <c r="B966" t="s">
        <v>3163</v>
      </c>
      <c r="C966" t="s">
        <v>3164</v>
      </c>
      <c r="D966" t="str" cm="1">
        <f t="array" ref="D966">_xlfn.TEXTJOIN("", TRUE, IF(ISNUMBER(SEARCH($K$1379:$K$1423, C966)), $K$1379:$K$1423, ""))</f>
        <v>OREO</v>
      </c>
      <c r="E966" t="str">
        <f t="shared" si="30"/>
        <v>Prepared Food</v>
      </c>
      <c r="F966" t="str">
        <f t="shared" si="31"/>
        <v>Prepared Food</v>
      </c>
      <c r="G966" s="1">
        <v>4.99</v>
      </c>
      <c r="H966" t="s">
        <v>3165</v>
      </c>
      <c r="I966" s="3" t="s">
        <v>1518</v>
      </c>
    </row>
    <row r="967" spans="1:9" x14ac:dyDescent="0.25">
      <c r="A967" t="s">
        <v>3166</v>
      </c>
      <c r="B967" t="s">
        <v>3167</v>
      </c>
      <c r="C967" t="s">
        <v>3168</v>
      </c>
      <c r="D967" t="str" cm="1">
        <f t="array" ref="D967">_xlfn.TEXTJOIN("", TRUE, IF(ISNUMBER(SEARCH($K$1379:$K$1423, C967)), $K$1379:$K$1423, ""))</f>
        <v>OREO</v>
      </c>
      <c r="E967" t="str">
        <f t="shared" si="30"/>
        <v>Prepared Food</v>
      </c>
      <c r="F967" t="str">
        <f t="shared" si="31"/>
        <v>Prepared Food</v>
      </c>
      <c r="G967" s="1">
        <v>4.6900000000000004</v>
      </c>
      <c r="H967" t="s">
        <v>3169</v>
      </c>
      <c r="I967" s="3" t="s">
        <v>2214</v>
      </c>
    </row>
    <row r="968" spans="1:9" x14ac:dyDescent="0.25">
      <c r="A968" t="s">
        <v>3170</v>
      </c>
      <c r="B968" t="s">
        <v>3171</v>
      </c>
      <c r="C968" t="s">
        <v>3172</v>
      </c>
      <c r="D968" t="str" cm="1">
        <f t="array" ref="D968">_xlfn.TEXTJOIN("", TRUE, IF(ISNUMBER(SEARCH($K$1379:$K$1423, C968)), $K$1379:$K$1423, ""))</f>
        <v>OREO</v>
      </c>
      <c r="E968" t="str">
        <f t="shared" si="30"/>
        <v>Prepared Food</v>
      </c>
      <c r="F968" t="str">
        <f t="shared" si="31"/>
        <v>Prepared Food</v>
      </c>
      <c r="G968" s="1">
        <v>4.6900000000000004</v>
      </c>
      <c r="H968" t="s">
        <v>3173</v>
      </c>
      <c r="I968" s="3" t="s">
        <v>3174</v>
      </c>
    </row>
    <row r="969" spans="1:9" x14ac:dyDescent="0.25">
      <c r="A969" t="s">
        <v>3175</v>
      </c>
      <c r="B969" t="s">
        <v>3176</v>
      </c>
      <c r="C969" t="s">
        <v>3177</v>
      </c>
      <c r="D969" t="str" cm="1">
        <f t="array" ref="D969">_xlfn.TEXTJOIN("", TRUE, IF(ISNUMBER(SEARCH($K$1379:$K$1423, C969)), $K$1379:$K$1423, ""))</f>
        <v>OREO</v>
      </c>
      <c r="E969" t="str">
        <f t="shared" si="30"/>
        <v>Prepared Food</v>
      </c>
      <c r="F969" t="str">
        <f t="shared" si="31"/>
        <v>Prepared Food</v>
      </c>
      <c r="G969" s="1">
        <v>4.99</v>
      </c>
      <c r="H969" t="s">
        <v>3111</v>
      </c>
      <c r="I969" s="3" t="s">
        <v>308</v>
      </c>
    </row>
    <row r="970" spans="1:9" x14ac:dyDescent="0.25">
      <c r="A970" t="s">
        <v>3178</v>
      </c>
      <c r="B970" t="s">
        <v>3179</v>
      </c>
      <c r="C970" t="s">
        <v>3180</v>
      </c>
      <c r="D970" t="str" cm="1">
        <f t="array" ref="D970">_xlfn.TEXTJOIN("", TRUE, IF(ISNUMBER(SEARCH($K$1379:$K$1423, C970)), $K$1379:$K$1423, ""))</f>
        <v>OREO</v>
      </c>
      <c r="E970" t="str">
        <f t="shared" si="30"/>
        <v>Prepared Food</v>
      </c>
      <c r="F970" t="str">
        <f t="shared" si="31"/>
        <v>Prepared Food</v>
      </c>
      <c r="G970" s="1">
        <v>6.59</v>
      </c>
      <c r="H970" t="s">
        <v>3122</v>
      </c>
      <c r="I970" s="3" t="s">
        <v>551</v>
      </c>
    </row>
    <row r="971" spans="1:9" x14ac:dyDescent="0.25">
      <c r="A971" t="s">
        <v>3181</v>
      </c>
      <c r="B971" t="s">
        <v>3182</v>
      </c>
      <c r="C971" t="s">
        <v>3183</v>
      </c>
      <c r="D971" t="str" cm="1">
        <f t="array" ref="D971">_xlfn.TEXTJOIN("", TRUE, IF(ISNUMBER(SEARCH($K$1379:$K$1423, C971)), $K$1379:$K$1423, ""))</f>
        <v>OREO</v>
      </c>
      <c r="E971" t="str">
        <f t="shared" si="30"/>
        <v>Prepared Food</v>
      </c>
      <c r="F971" t="str">
        <f t="shared" si="31"/>
        <v>Prepared Food</v>
      </c>
      <c r="G971" s="1">
        <v>4.99</v>
      </c>
      <c r="H971" t="s">
        <v>3184</v>
      </c>
      <c r="I971" s="3" t="s">
        <v>507</v>
      </c>
    </row>
    <row r="972" spans="1:9" x14ac:dyDescent="0.25">
      <c r="A972" t="s">
        <v>3185</v>
      </c>
      <c r="B972" t="s">
        <v>3186</v>
      </c>
      <c r="C972" t="s">
        <v>3187</v>
      </c>
      <c r="D972" t="str" cm="1">
        <f t="array" ref="D972">_xlfn.TEXTJOIN("", TRUE, IF(ISNUMBER(SEARCH($K$1379:$K$1423, C972)), $K$1379:$K$1423, ""))</f>
        <v>OREO</v>
      </c>
      <c r="E972" t="str">
        <f t="shared" si="30"/>
        <v>Prepared Food</v>
      </c>
      <c r="F972" t="str">
        <f t="shared" si="31"/>
        <v>Prepared Food</v>
      </c>
      <c r="G972" s="1">
        <v>4.6900000000000004</v>
      </c>
      <c r="H972" t="s">
        <v>3169</v>
      </c>
      <c r="I972" s="3" t="s">
        <v>2214</v>
      </c>
    </row>
    <row r="973" spans="1:9" x14ac:dyDescent="0.25">
      <c r="A973" t="s">
        <v>3188</v>
      </c>
      <c r="B973" t="s">
        <v>3189</v>
      </c>
      <c r="C973" t="s">
        <v>3190</v>
      </c>
      <c r="D973" t="str" cm="1">
        <f t="array" ref="D973">_xlfn.TEXTJOIN("", TRUE, IF(ISNUMBER(SEARCH($K$1379:$K$1423, C973)), $K$1379:$K$1423, ""))</f>
        <v>OREO</v>
      </c>
      <c r="E973" t="str">
        <f t="shared" si="30"/>
        <v>Prepared Food</v>
      </c>
      <c r="F973" t="str">
        <f t="shared" si="31"/>
        <v>Prepared Food</v>
      </c>
      <c r="G973" s="1">
        <v>6.59</v>
      </c>
      <c r="H973" t="s">
        <v>3191</v>
      </c>
      <c r="I973" s="3" t="s">
        <v>551</v>
      </c>
    </row>
    <row r="974" spans="1:9" x14ac:dyDescent="0.25">
      <c r="A974" t="s">
        <v>3192</v>
      </c>
      <c r="B974" t="s">
        <v>3193</v>
      </c>
      <c r="C974" t="s">
        <v>3194</v>
      </c>
      <c r="D974" t="str" cm="1">
        <f t="array" ref="D974">_xlfn.TEXTJOIN("", TRUE, IF(ISNUMBER(SEARCH($K$1379:$K$1423, C974)), $K$1379:$K$1423, ""))</f>
        <v>OREO</v>
      </c>
      <c r="E974" t="str">
        <f t="shared" si="30"/>
        <v>Prepared Food</v>
      </c>
      <c r="F974" t="str">
        <f t="shared" si="31"/>
        <v>Prepared Food</v>
      </c>
      <c r="G974" s="1">
        <v>4.99</v>
      </c>
      <c r="H974" t="s">
        <v>3111</v>
      </c>
      <c r="I974" s="3" t="s">
        <v>308</v>
      </c>
    </row>
    <row r="975" spans="1:9" x14ac:dyDescent="0.25">
      <c r="A975" t="s">
        <v>3195</v>
      </c>
      <c r="B975" t="s">
        <v>3196</v>
      </c>
      <c r="C975" t="s">
        <v>3197</v>
      </c>
      <c r="D975" t="str" cm="1">
        <f t="array" ref="D975">_xlfn.TEXTJOIN("", TRUE, IF(ISNUMBER(SEARCH($K$1379:$K$1423, C975)), $K$1379:$K$1423, ""))</f>
        <v>OREO</v>
      </c>
      <c r="E975" t="str">
        <f t="shared" si="30"/>
        <v>Prepared Food</v>
      </c>
      <c r="F975" t="str">
        <f t="shared" si="31"/>
        <v>Prepared Food</v>
      </c>
      <c r="G975" s="1">
        <v>4.6900000000000004</v>
      </c>
      <c r="H975" t="s">
        <v>3085</v>
      </c>
      <c r="I975" s="3" t="s">
        <v>752</v>
      </c>
    </row>
    <row r="976" spans="1:9" x14ac:dyDescent="0.25">
      <c r="A976" t="s">
        <v>3198</v>
      </c>
      <c r="B976" t="s">
        <v>3199</v>
      </c>
      <c r="C976" t="s">
        <v>3200</v>
      </c>
      <c r="D976" t="str" cm="1">
        <f t="array" ref="D976">_xlfn.TEXTJOIN("", TRUE, IF(ISNUMBER(SEARCH($K$1379:$K$1423, C976)), $K$1379:$K$1423, ""))</f>
        <v>OREO</v>
      </c>
      <c r="E976" t="str">
        <f t="shared" si="30"/>
        <v>Prepared Food</v>
      </c>
      <c r="F976" t="str">
        <f t="shared" si="31"/>
        <v>Prepared Food</v>
      </c>
      <c r="G976" s="1">
        <v>6.59</v>
      </c>
      <c r="H976" t="s">
        <v>3141</v>
      </c>
      <c r="I976" s="3" t="s">
        <v>79</v>
      </c>
    </row>
    <row r="977" spans="1:9" x14ac:dyDescent="0.25">
      <c r="A977" t="s">
        <v>3201</v>
      </c>
      <c r="B977" t="s">
        <v>3202</v>
      </c>
      <c r="C977" t="s">
        <v>3203</v>
      </c>
      <c r="D977" t="str" cm="1">
        <f t="array" ref="D977">_xlfn.TEXTJOIN("", TRUE, IF(ISNUMBER(SEARCH($K$1379:$K$1423, C977)), $K$1379:$K$1423, ""))</f>
        <v>OREO</v>
      </c>
      <c r="E977" t="str">
        <f t="shared" si="30"/>
        <v>Prepared Food</v>
      </c>
      <c r="F977" t="str">
        <f t="shared" si="31"/>
        <v>Prepared Food</v>
      </c>
      <c r="G977" s="1">
        <v>8.99</v>
      </c>
      <c r="H977" t="s">
        <v>181</v>
      </c>
      <c r="I977" s="3" t="s">
        <v>3204</v>
      </c>
    </row>
    <row r="978" spans="1:9" x14ac:dyDescent="0.25">
      <c r="A978" t="s">
        <v>3205</v>
      </c>
      <c r="B978" t="s">
        <v>3206</v>
      </c>
      <c r="C978" t="s">
        <v>3207</v>
      </c>
      <c r="D978" t="str" cm="1">
        <f t="array" ref="D978">_xlfn.TEXTJOIN("", TRUE, IF(ISNUMBER(SEARCH($K$1379:$K$1423, C978)), $K$1379:$K$1423, ""))</f>
        <v>OREO</v>
      </c>
      <c r="E978" t="str">
        <f t="shared" si="30"/>
        <v>Prepared Food</v>
      </c>
      <c r="F978" t="str">
        <f t="shared" si="31"/>
        <v>Prepared Food</v>
      </c>
      <c r="G978" s="1">
        <v>14.49</v>
      </c>
      <c r="H978" t="s">
        <v>3208</v>
      </c>
      <c r="I978" s="3" t="s">
        <v>1378</v>
      </c>
    </row>
    <row r="979" spans="1:9" x14ac:dyDescent="0.25">
      <c r="A979" t="s">
        <v>3209</v>
      </c>
      <c r="B979" t="s">
        <v>3210</v>
      </c>
      <c r="C979" t="s">
        <v>3211</v>
      </c>
      <c r="D979" t="str" cm="1">
        <f t="array" ref="D979">_xlfn.TEXTJOIN("", TRUE, IF(ISNUMBER(SEARCH($K$1379:$K$1423, C979)), $K$1379:$K$1423, ""))</f>
        <v>OREO</v>
      </c>
      <c r="E979" t="str">
        <f t="shared" si="30"/>
        <v>Prepared Food</v>
      </c>
      <c r="F979" t="str">
        <f t="shared" si="31"/>
        <v>Prepared Food</v>
      </c>
      <c r="G979" s="1">
        <v>1.66</v>
      </c>
      <c r="H979" t="s">
        <v>3212</v>
      </c>
      <c r="I979" s="3" t="s">
        <v>1518</v>
      </c>
    </row>
    <row r="980" spans="1:9" x14ac:dyDescent="0.25">
      <c r="A980" t="s">
        <v>3213</v>
      </c>
      <c r="B980" t="s">
        <v>3214</v>
      </c>
      <c r="C980" t="s">
        <v>3215</v>
      </c>
      <c r="D980" t="str" cm="1">
        <f t="array" ref="D980">_xlfn.TEXTJOIN("", TRUE, IF(ISNUMBER(SEARCH($K$1379:$K$1423, C980)), $K$1379:$K$1423, ""))</f>
        <v>OREO</v>
      </c>
      <c r="E980" t="str">
        <f t="shared" si="30"/>
        <v>Prepared Food</v>
      </c>
      <c r="F980" t="str">
        <f t="shared" si="31"/>
        <v>Prepared Food</v>
      </c>
      <c r="G980" s="1">
        <v>4.79</v>
      </c>
      <c r="H980" t="s">
        <v>3216</v>
      </c>
      <c r="I980" s="3" t="s">
        <v>2305</v>
      </c>
    </row>
    <row r="981" spans="1:9" x14ac:dyDescent="0.25">
      <c r="A981" t="s">
        <v>3217</v>
      </c>
      <c r="B981" t="s">
        <v>3218</v>
      </c>
      <c r="C981" t="s">
        <v>3219</v>
      </c>
      <c r="D981" t="str" cm="1">
        <f t="array" ref="D981">_xlfn.TEXTJOIN("", TRUE, IF(ISNUMBER(SEARCH($K$1379:$K$1423, C981)), $K$1379:$K$1423, ""))</f>
        <v>OREO</v>
      </c>
      <c r="E981" t="str">
        <f t="shared" si="30"/>
        <v>Prepared Food</v>
      </c>
      <c r="F981" t="str">
        <f t="shared" si="31"/>
        <v>Prepared Food</v>
      </c>
      <c r="G981" s="1">
        <v>4.99</v>
      </c>
      <c r="H981" t="s">
        <v>3074</v>
      </c>
      <c r="I981" s="3" t="s">
        <v>79</v>
      </c>
    </row>
    <row r="982" spans="1:9" x14ac:dyDescent="0.25">
      <c r="A982" t="s">
        <v>3220</v>
      </c>
      <c r="B982" t="s">
        <v>3221</v>
      </c>
      <c r="C982" t="s">
        <v>3222</v>
      </c>
      <c r="D982" t="str" cm="1">
        <f t="array" ref="D982">_xlfn.TEXTJOIN("", TRUE, IF(ISNUMBER(SEARCH($K$1379:$K$1423, C982)), $K$1379:$K$1423, ""))</f>
        <v>OREO</v>
      </c>
      <c r="E982" t="str">
        <f t="shared" si="30"/>
        <v>Prepared Food</v>
      </c>
      <c r="F982" t="str">
        <f t="shared" si="31"/>
        <v>Prepared Food</v>
      </c>
      <c r="G982" s="1">
        <v>6.79</v>
      </c>
      <c r="H982" t="s">
        <v>181</v>
      </c>
      <c r="I982" s="3" t="s">
        <v>3223</v>
      </c>
    </row>
    <row r="983" spans="1:9" x14ac:dyDescent="0.25">
      <c r="A983" t="s">
        <v>3224</v>
      </c>
      <c r="B983" t="s">
        <v>3225</v>
      </c>
      <c r="C983" t="s">
        <v>3226</v>
      </c>
      <c r="D983" t="str" cm="1">
        <f t="array" ref="D983">_xlfn.TEXTJOIN("", TRUE, IF(ISNUMBER(SEARCH($K$1379:$K$1423, C983)), $K$1379:$K$1423, ""))</f>
        <v>OREO</v>
      </c>
      <c r="E983" t="str">
        <f t="shared" si="30"/>
        <v>Prepared Food</v>
      </c>
      <c r="F983" t="str">
        <f t="shared" si="31"/>
        <v>Prepared Food</v>
      </c>
      <c r="G983" s="1">
        <v>4</v>
      </c>
      <c r="H983" t="s">
        <v>223</v>
      </c>
      <c r="I983" s="3" t="s">
        <v>149</v>
      </c>
    </row>
    <row r="984" spans="1:9" x14ac:dyDescent="0.25">
      <c r="A984" t="s">
        <v>3227</v>
      </c>
      <c r="B984" t="s">
        <v>3228</v>
      </c>
      <c r="C984" t="s">
        <v>3229</v>
      </c>
      <c r="D984" t="str" cm="1">
        <f t="array" ref="D984">_xlfn.TEXTJOIN("", TRUE, IF(ISNUMBER(SEARCH($K$1379:$K$1423, C984)), $K$1379:$K$1423, ""))</f>
        <v>OREO</v>
      </c>
      <c r="E984" t="str">
        <f t="shared" si="30"/>
        <v>Prepared Food</v>
      </c>
      <c r="F984" t="str">
        <f t="shared" si="31"/>
        <v>Prepared Food</v>
      </c>
      <c r="G984" s="1">
        <v>6.79</v>
      </c>
      <c r="H984" t="s">
        <v>3230</v>
      </c>
      <c r="I984" s="3" t="s">
        <v>1337</v>
      </c>
    </row>
    <row r="985" spans="1:9" x14ac:dyDescent="0.25">
      <c r="A985" t="s">
        <v>3231</v>
      </c>
      <c r="B985" t="s">
        <v>3232</v>
      </c>
      <c r="C985" t="s">
        <v>3233</v>
      </c>
      <c r="D985" t="str" cm="1">
        <f t="array" ref="D985">_xlfn.TEXTJOIN("", TRUE, IF(ISNUMBER(SEARCH($K$1379:$K$1423, C985)), $K$1379:$K$1423, ""))</f>
        <v>OREO</v>
      </c>
      <c r="E985" t="str">
        <f t="shared" si="30"/>
        <v>Prepared Food</v>
      </c>
      <c r="F985" t="str">
        <f t="shared" si="31"/>
        <v>Prepared Food</v>
      </c>
      <c r="G985" s="1">
        <v>2.99</v>
      </c>
      <c r="H985" t="s">
        <v>3234</v>
      </c>
      <c r="I985" s="3" t="s">
        <v>689</v>
      </c>
    </row>
    <row r="986" spans="1:9" x14ac:dyDescent="0.25">
      <c r="A986" t="s">
        <v>3235</v>
      </c>
      <c r="B986" t="s">
        <v>3236</v>
      </c>
      <c r="C986" t="s">
        <v>3237</v>
      </c>
      <c r="D986" t="str" cm="1">
        <f t="array" ref="D986">_xlfn.TEXTJOIN("", TRUE, IF(ISNUMBER(SEARCH($K$1379:$K$1423, C986)), $K$1379:$K$1423, ""))</f>
        <v>OREO</v>
      </c>
      <c r="E986" t="str">
        <f t="shared" si="30"/>
        <v>Prepared Food</v>
      </c>
      <c r="F986" t="str">
        <f t="shared" si="31"/>
        <v>Prepared Food</v>
      </c>
      <c r="G986" s="1">
        <v>2.99</v>
      </c>
      <c r="H986" t="s">
        <v>3234</v>
      </c>
      <c r="I986" s="3" t="s">
        <v>689</v>
      </c>
    </row>
    <row r="987" spans="1:9" x14ac:dyDescent="0.25">
      <c r="A987" t="s">
        <v>3238</v>
      </c>
      <c r="B987" t="s">
        <v>3239</v>
      </c>
      <c r="C987" t="s">
        <v>3240</v>
      </c>
      <c r="D987" t="str" cm="1">
        <f t="array" ref="D987">_xlfn.TEXTJOIN("", TRUE, IF(ISNUMBER(SEARCH($K$1379:$K$1423, C987)), $K$1379:$K$1423, ""))</f>
        <v>OREO</v>
      </c>
      <c r="E987" t="str">
        <f t="shared" si="30"/>
        <v>Prepared Food</v>
      </c>
      <c r="F987" t="str">
        <f t="shared" si="31"/>
        <v>Prepared Food</v>
      </c>
      <c r="G987" s="1">
        <v>15.99</v>
      </c>
      <c r="H987" t="s">
        <v>3241</v>
      </c>
      <c r="I987" s="3" t="s">
        <v>2620</v>
      </c>
    </row>
    <row r="988" spans="1:9" x14ac:dyDescent="0.25">
      <c r="A988" t="s">
        <v>3242</v>
      </c>
      <c r="B988" t="s">
        <v>3243</v>
      </c>
      <c r="C988" t="s">
        <v>3244</v>
      </c>
      <c r="D988" t="str" cm="1">
        <f t="array" ref="D988">_xlfn.TEXTJOIN("", TRUE, IF(ISNUMBER(SEARCH($K$1379:$K$1423, C988)), $K$1379:$K$1423, ""))</f>
        <v>Sparkling Ice</v>
      </c>
      <c r="E988" t="str">
        <f t="shared" si="30"/>
        <v>Beverages</v>
      </c>
      <c r="F988" t="str">
        <f t="shared" si="31"/>
        <v>Beverages</v>
      </c>
      <c r="G988" s="1">
        <v>1.1100000000000001</v>
      </c>
      <c r="H988" t="s">
        <v>3246</v>
      </c>
      <c r="I988" t="s">
        <v>1466</v>
      </c>
    </row>
    <row r="989" spans="1:9" x14ac:dyDescent="0.25">
      <c r="A989" t="s">
        <v>3247</v>
      </c>
      <c r="B989" t="s">
        <v>3248</v>
      </c>
      <c r="C989" t="s">
        <v>3249</v>
      </c>
      <c r="D989" t="str" cm="1">
        <f t="array" ref="D989">_xlfn.TEXTJOIN("", TRUE, IF(ISNUMBER(SEARCH($K$1379:$K$1423, C989)), $K$1379:$K$1423, ""))</f>
        <v>Sparkling Ice</v>
      </c>
      <c r="E989" t="str">
        <f t="shared" si="30"/>
        <v>Beverages</v>
      </c>
      <c r="F989" t="str">
        <f t="shared" si="31"/>
        <v>Beverages</v>
      </c>
      <c r="G989" s="1">
        <v>1.1100000000000001</v>
      </c>
      <c r="H989" t="s">
        <v>3246</v>
      </c>
      <c r="I989" t="s">
        <v>1466</v>
      </c>
    </row>
    <row r="990" spans="1:9" x14ac:dyDescent="0.25">
      <c r="A990" t="s">
        <v>3250</v>
      </c>
      <c r="B990" t="s">
        <v>3251</v>
      </c>
      <c r="C990" t="s">
        <v>3252</v>
      </c>
      <c r="D990" t="str" cm="1">
        <f t="array" ref="D990">_xlfn.TEXTJOIN("", TRUE, IF(ISNUMBER(SEARCH($K$1379:$K$1423, C990)), $K$1379:$K$1423, ""))</f>
        <v>Sparkling Ice</v>
      </c>
      <c r="E990" t="str">
        <f t="shared" si="30"/>
        <v>Beverages</v>
      </c>
      <c r="F990" t="str">
        <f t="shared" si="31"/>
        <v>Beverages</v>
      </c>
      <c r="G990" s="1">
        <v>1.1100000000000001</v>
      </c>
      <c r="H990" t="s">
        <v>3246</v>
      </c>
      <c r="I990" t="s">
        <v>1466</v>
      </c>
    </row>
    <row r="991" spans="1:9" x14ac:dyDescent="0.25">
      <c r="A991" t="s">
        <v>3253</v>
      </c>
      <c r="B991" t="s">
        <v>3254</v>
      </c>
      <c r="C991" t="s">
        <v>3255</v>
      </c>
      <c r="D991" t="str" cm="1">
        <f t="array" ref="D991">_xlfn.TEXTJOIN("", TRUE, IF(ISNUMBER(SEARCH($K$1379:$K$1423, C991)), $K$1379:$K$1423, ""))</f>
        <v>Sparkling Ice</v>
      </c>
      <c r="E991" t="str">
        <f t="shared" si="30"/>
        <v>Beverages</v>
      </c>
      <c r="F991" t="str">
        <f t="shared" si="31"/>
        <v>Beverages</v>
      </c>
      <c r="G991" s="1">
        <v>1.1100000000000001</v>
      </c>
      <c r="H991" t="s">
        <v>3246</v>
      </c>
      <c r="I991" t="s">
        <v>1466</v>
      </c>
    </row>
    <row r="992" spans="1:9" x14ac:dyDescent="0.25">
      <c r="A992" t="s">
        <v>3256</v>
      </c>
      <c r="B992" t="s">
        <v>3257</v>
      </c>
      <c r="C992" t="s">
        <v>3258</v>
      </c>
      <c r="D992" t="str" cm="1">
        <f t="array" ref="D992">_xlfn.TEXTJOIN("", TRUE, IF(ISNUMBER(SEARCH($K$1379:$K$1423, C992)), $K$1379:$K$1423, ""))</f>
        <v>Sparkling Ice</v>
      </c>
      <c r="E992" t="str">
        <f t="shared" si="30"/>
        <v>Beverages</v>
      </c>
      <c r="F992" t="str">
        <f t="shared" si="31"/>
        <v>Beverages</v>
      </c>
      <c r="G992" s="1">
        <v>1.1100000000000001</v>
      </c>
      <c r="H992" t="s">
        <v>3246</v>
      </c>
      <c r="I992" t="s">
        <v>1466</v>
      </c>
    </row>
    <row r="993" spans="1:9" x14ac:dyDescent="0.25">
      <c r="A993" t="s">
        <v>3259</v>
      </c>
      <c r="B993" t="s">
        <v>3260</v>
      </c>
      <c r="C993" t="s">
        <v>3261</v>
      </c>
      <c r="D993" t="str" cm="1">
        <f t="array" ref="D993">_xlfn.TEXTJOIN("", TRUE, IF(ISNUMBER(SEARCH($K$1379:$K$1423, C993)), $K$1379:$K$1423, ""))</f>
        <v>Sparkling Ice</v>
      </c>
      <c r="E993" t="str">
        <f t="shared" si="30"/>
        <v>Beverages</v>
      </c>
      <c r="F993" t="str">
        <f t="shared" si="31"/>
        <v>Beverages</v>
      </c>
      <c r="G993" s="1">
        <v>1.1100000000000001</v>
      </c>
      <c r="H993" t="s">
        <v>3246</v>
      </c>
      <c r="I993" t="s">
        <v>1466</v>
      </c>
    </row>
    <row r="994" spans="1:9" x14ac:dyDescent="0.25">
      <c r="A994" t="s">
        <v>3262</v>
      </c>
      <c r="B994" t="s">
        <v>3263</v>
      </c>
      <c r="C994" t="s">
        <v>3264</v>
      </c>
      <c r="D994" t="str" cm="1">
        <f t="array" ref="D994">_xlfn.TEXTJOIN("", TRUE, IF(ISNUMBER(SEARCH($K$1379:$K$1423, C994)), $K$1379:$K$1423, ""))</f>
        <v>Sparkling Ice</v>
      </c>
      <c r="E994" t="str">
        <f t="shared" si="30"/>
        <v>Beverages</v>
      </c>
      <c r="F994" t="str">
        <f t="shared" si="31"/>
        <v>Beverages</v>
      </c>
      <c r="G994" s="1">
        <v>1.1100000000000001</v>
      </c>
      <c r="H994" t="s">
        <v>3246</v>
      </c>
      <c r="I994" t="s">
        <v>1466</v>
      </c>
    </row>
    <row r="995" spans="1:9" x14ac:dyDescent="0.25">
      <c r="A995" t="s">
        <v>3265</v>
      </c>
      <c r="B995" t="s">
        <v>3266</v>
      </c>
      <c r="C995" t="s">
        <v>3267</v>
      </c>
      <c r="D995" t="str" cm="1">
        <f t="array" ref="D995">_xlfn.TEXTJOIN("", TRUE, IF(ISNUMBER(SEARCH($K$1379:$K$1423, C995)), $K$1379:$K$1423, ""))</f>
        <v>Sparkling Ice</v>
      </c>
      <c r="E995" t="str">
        <f t="shared" si="30"/>
        <v>Beverages</v>
      </c>
      <c r="F995" t="str">
        <f t="shared" si="31"/>
        <v>Beverages</v>
      </c>
      <c r="G995" s="1">
        <v>1.1100000000000001</v>
      </c>
      <c r="H995" t="s">
        <v>3246</v>
      </c>
      <c r="I995" t="s">
        <v>1466</v>
      </c>
    </row>
    <row r="996" spans="1:9" x14ac:dyDescent="0.25">
      <c r="A996" t="s">
        <v>3268</v>
      </c>
      <c r="B996" t="s">
        <v>3269</v>
      </c>
      <c r="C996" t="s">
        <v>3270</v>
      </c>
      <c r="D996" t="str" cm="1">
        <f t="array" ref="D996">_xlfn.TEXTJOIN("", TRUE, IF(ISNUMBER(SEARCH($K$1379:$K$1423, C996)), $K$1379:$K$1423, ""))</f>
        <v>Sparkling Ice</v>
      </c>
      <c r="E996" t="str">
        <f t="shared" si="30"/>
        <v>Beverages</v>
      </c>
      <c r="F996" t="str">
        <f t="shared" si="31"/>
        <v>Beverages</v>
      </c>
      <c r="G996" s="1">
        <v>1.1100000000000001</v>
      </c>
      <c r="H996" t="s">
        <v>3246</v>
      </c>
      <c r="I996" t="s">
        <v>1466</v>
      </c>
    </row>
    <row r="997" spans="1:9" x14ac:dyDescent="0.25">
      <c r="A997" t="s">
        <v>3271</v>
      </c>
      <c r="B997" t="s">
        <v>3272</v>
      </c>
      <c r="C997" t="s">
        <v>3273</v>
      </c>
      <c r="D997" t="str" cm="1">
        <f t="array" ref="D997">_xlfn.TEXTJOIN("", TRUE, IF(ISNUMBER(SEARCH($K$1379:$K$1423, C997)), $K$1379:$K$1423, ""))</f>
        <v>Sparkling Ice</v>
      </c>
      <c r="E997" t="str">
        <f t="shared" si="30"/>
        <v>Beverages</v>
      </c>
      <c r="F997" t="str">
        <f t="shared" si="31"/>
        <v>Beverages</v>
      </c>
      <c r="G997" s="1">
        <v>1.1100000000000001</v>
      </c>
      <c r="H997" t="s">
        <v>3246</v>
      </c>
      <c r="I997" t="s">
        <v>1466</v>
      </c>
    </row>
    <row r="998" spans="1:9" x14ac:dyDescent="0.25">
      <c r="A998" t="s">
        <v>3274</v>
      </c>
      <c r="B998" t="s">
        <v>3056</v>
      </c>
      <c r="C998" t="s">
        <v>3275</v>
      </c>
      <c r="D998" t="str" cm="1">
        <f t="array" ref="D998">_xlfn.TEXTJOIN("", TRUE, IF(ISNUMBER(SEARCH($K$1379:$K$1423, C998)), $K$1379:$K$1423, ""))</f>
        <v>Sparkling Ice</v>
      </c>
      <c r="E998" t="str">
        <f t="shared" si="30"/>
        <v>Beverages</v>
      </c>
      <c r="F998" t="str">
        <f t="shared" si="31"/>
        <v>Beverages</v>
      </c>
      <c r="G998" s="1">
        <v>1.1100000000000001</v>
      </c>
      <c r="H998" t="s">
        <v>3246</v>
      </c>
      <c r="I998" t="s">
        <v>1466</v>
      </c>
    </row>
    <row r="999" spans="1:9" x14ac:dyDescent="0.25">
      <c r="A999" t="s">
        <v>3276</v>
      </c>
      <c r="B999" t="s">
        <v>3056</v>
      </c>
      <c r="C999" t="s">
        <v>3277</v>
      </c>
      <c r="D999" t="str" cm="1">
        <f t="array" ref="D999">_xlfn.TEXTJOIN("", TRUE, IF(ISNUMBER(SEARCH($K$1379:$K$1423, C999)), $K$1379:$K$1423, ""))</f>
        <v>Sparkling Ice</v>
      </c>
      <c r="E999" t="str">
        <f t="shared" si="30"/>
        <v>Beverages</v>
      </c>
      <c r="F999" t="str">
        <f t="shared" si="31"/>
        <v>Beverages</v>
      </c>
      <c r="G999" s="1">
        <v>1.1100000000000001</v>
      </c>
      <c r="H999" t="s">
        <v>3246</v>
      </c>
      <c r="I999" t="s">
        <v>1466</v>
      </c>
    </row>
    <row r="1000" spans="1:9" x14ac:dyDescent="0.25">
      <c r="A1000" t="s">
        <v>3278</v>
      </c>
      <c r="B1000" t="s">
        <v>3056</v>
      </c>
      <c r="C1000" t="s">
        <v>3279</v>
      </c>
      <c r="D1000" t="str" cm="1">
        <f t="array" ref="D1000">_xlfn.TEXTJOIN("", TRUE, IF(ISNUMBER(SEARCH($K$1379:$K$1423, C1000)), $K$1379:$K$1423, ""))</f>
        <v>Sparkling Ice</v>
      </c>
      <c r="E1000" t="str">
        <f t="shared" si="30"/>
        <v>Beverages</v>
      </c>
      <c r="F1000" t="str">
        <f t="shared" si="31"/>
        <v>Beverages</v>
      </c>
      <c r="G1000" s="1">
        <v>1.1100000000000001</v>
      </c>
      <c r="H1000" t="s">
        <v>3246</v>
      </c>
      <c r="I1000" t="s">
        <v>1466</v>
      </c>
    </row>
    <row r="1001" spans="1:9" x14ac:dyDescent="0.25">
      <c r="A1001" t="s">
        <v>3280</v>
      </c>
      <c r="B1001" t="s">
        <v>3056</v>
      </c>
      <c r="C1001" t="s">
        <v>3281</v>
      </c>
      <c r="D1001" t="str" cm="1">
        <f t="array" ref="D1001">_xlfn.TEXTJOIN("", TRUE, IF(ISNUMBER(SEARCH($K$1379:$K$1423, C1001)), $K$1379:$K$1423, ""))</f>
        <v>Sparkling Ice</v>
      </c>
      <c r="E1001" t="str">
        <f t="shared" si="30"/>
        <v>Beverages</v>
      </c>
      <c r="F1001" t="str">
        <f t="shared" si="31"/>
        <v>Beverages</v>
      </c>
      <c r="G1001" s="1">
        <v>1.1100000000000001</v>
      </c>
      <c r="H1001" t="s">
        <v>3246</v>
      </c>
      <c r="I1001" t="s">
        <v>1466</v>
      </c>
    </row>
    <row r="1002" spans="1:9" x14ac:dyDescent="0.25">
      <c r="A1002" t="s">
        <v>3282</v>
      </c>
      <c r="B1002" t="s">
        <v>3056</v>
      </c>
      <c r="C1002" t="s">
        <v>3283</v>
      </c>
      <c r="D1002" t="str" cm="1">
        <f t="array" ref="D1002">_xlfn.TEXTJOIN("", TRUE, IF(ISNUMBER(SEARCH($K$1379:$K$1423, C1002)), $K$1379:$K$1423, ""))</f>
        <v>Sparkling Ice</v>
      </c>
      <c r="E1002" t="str">
        <f t="shared" si="30"/>
        <v>Beverages</v>
      </c>
      <c r="F1002" t="str">
        <f t="shared" si="31"/>
        <v>Beverages</v>
      </c>
      <c r="G1002" s="1">
        <v>1.1100000000000001</v>
      </c>
      <c r="H1002" t="s">
        <v>3246</v>
      </c>
      <c r="I1002" t="s">
        <v>1466</v>
      </c>
    </row>
    <row r="1003" spans="1:9" x14ac:dyDescent="0.25">
      <c r="A1003" t="s">
        <v>3284</v>
      </c>
      <c r="B1003" t="s">
        <v>3056</v>
      </c>
      <c r="C1003" t="s">
        <v>3285</v>
      </c>
      <c r="D1003" t="str" cm="1">
        <f t="array" ref="D1003">_xlfn.TEXTJOIN("", TRUE, IF(ISNUMBER(SEARCH($K$1379:$K$1423, C1003)), $K$1379:$K$1423, ""))</f>
        <v>Sparkling Ice</v>
      </c>
      <c r="E1003" t="str">
        <f t="shared" si="30"/>
        <v>Beverages</v>
      </c>
      <c r="F1003" t="str">
        <f t="shared" si="31"/>
        <v>Beverages</v>
      </c>
      <c r="G1003" s="1">
        <v>1.25</v>
      </c>
      <c r="H1003" t="s">
        <v>410</v>
      </c>
      <c r="I1003" t="s">
        <v>993</v>
      </c>
    </row>
    <row r="1004" spans="1:9" x14ac:dyDescent="0.25">
      <c r="A1004" t="s">
        <v>3286</v>
      </c>
      <c r="B1004" t="s">
        <v>3056</v>
      </c>
      <c r="C1004" t="s">
        <v>3287</v>
      </c>
      <c r="D1004" t="str" cm="1">
        <f t="array" ref="D1004">_xlfn.TEXTJOIN("", TRUE, IF(ISNUMBER(SEARCH($K$1379:$K$1423, C1004)), $K$1379:$K$1423, ""))</f>
        <v>Sparkling Ice</v>
      </c>
      <c r="E1004" t="str">
        <f t="shared" si="30"/>
        <v>Beverages</v>
      </c>
      <c r="F1004" t="str">
        <f t="shared" si="31"/>
        <v>Beverages</v>
      </c>
      <c r="G1004" s="1">
        <v>1.25</v>
      </c>
      <c r="H1004" t="s">
        <v>410</v>
      </c>
      <c r="I1004" t="s">
        <v>993</v>
      </c>
    </row>
    <row r="1005" spans="1:9" x14ac:dyDescent="0.25">
      <c r="A1005" t="s">
        <v>3288</v>
      </c>
      <c r="B1005" t="s">
        <v>3056</v>
      </c>
      <c r="C1005" t="s">
        <v>3289</v>
      </c>
      <c r="D1005" t="str" cm="1">
        <f t="array" ref="D1005">_xlfn.TEXTJOIN("", TRUE, IF(ISNUMBER(SEARCH($K$1379:$K$1423, C1005)), $K$1379:$K$1423, ""))</f>
        <v>Sparkling Ice</v>
      </c>
      <c r="E1005" t="str">
        <f t="shared" si="30"/>
        <v>Beverages</v>
      </c>
      <c r="F1005" t="str">
        <f t="shared" si="31"/>
        <v>Beverages</v>
      </c>
      <c r="G1005" s="1">
        <v>12.99</v>
      </c>
      <c r="H1005" t="s">
        <v>3246</v>
      </c>
      <c r="I1005" t="s">
        <v>3290</v>
      </c>
    </row>
    <row r="1006" spans="1:9" x14ac:dyDescent="0.25">
      <c r="A1006" t="s">
        <v>3291</v>
      </c>
      <c r="B1006" t="s">
        <v>3056</v>
      </c>
      <c r="C1006" t="s">
        <v>3292</v>
      </c>
      <c r="D1006" t="str" cm="1">
        <f t="array" ref="D1006">_xlfn.TEXTJOIN("", TRUE, IF(ISNUMBER(SEARCH($K$1379:$K$1423, C1006)), $K$1379:$K$1423, ""))</f>
        <v>Sparkling Ice</v>
      </c>
      <c r="E1006" t="str">
        <f t="shared" si="30"/>
        <v>Beverages</v>
      </c>
      <c r="F1006" t="str">
        <f t="shared" si="31"/>
        <v>Beverages</v>
      </c>
      <c r="G1006" s="1">
        <v>1.1100000000000001</v>
      </c>
      <c r="H1006" t="s">
        <v>3246</v>
      </c>
      <c r="I1006" t="s">
        <v>1466</v>
      </c>
    </row>
    <row r="1007" spans="1:9" x14ac:dyDescent="0.25">
      <c r="A1007" t="s">
        <v>3293</v>
      </c>
      <c r="B1007" t="s">
        <v>3056</v>
      </c>
      <c r="C1007" t="s">
        <v>3294</v>
      </c>
      <c r="D1007" t="str" cm="1">
        <f t="array" ref="D1007">_xlfn.TEXTJOIN("", TRUE, IF(ISNUMBER(SEARCH($K$1379:$K$1423, C1007)), $K$1379:$K$1423, ""))</f>
        <v>Sparkling Ice</v>
      </c>
      <c r="E1007" t="str">
        <f t="shared" si="30"/>
        <v>Beverages</v>
      </c>
      <c r="F1007" t="str">
        <f t="shared" si="31"/>
        <v>Beverages</v>
      </c>
      <c r="G1007" s="1">
        <v>12.99</v>
      </c>
      <c r="H1007" t="s">
        <v>3246</v>
      </c>
      <c r="I1007" t="s">
        <v>3290</v>
      </c>
    </row>
    <row r="1008" spans="1:9" x14ac:dyDescent="0.25">
      <c r="A1008" t="s">
        <v>3295</v>
      </c>
      <c r="B1008" t="s">
        <v>3056</v>
      </c>
      <c r="C1008" t="s">
        <v>3296</v>
      </c>
      <c r="D1008" t="str" cm="1">
        <f t="array" ref="D1008">_xlfn.TEXTJOIN("", TRUE, IF(ISNUMBER(SEARCH($K$1379:$K$1423, C1008)), $K$1379:$K$1423, ""))</f>
        <v>Sparkling Ice</v>
      </c>
      <c r="E1008" t="str">
        <f t="shared" si="30"/>
        <v>Beverages</v>
      </c>
      <c r="F1008" t="str">
        <f t="shared" si="31"/>
        <v>Beverages</v>
      </c>
      <c r="G1008" s="1">
        <v>12.99</v>
      </c>
      <c r="H1008" t="s">
        <v>3246</v>
      </c>
      <c r="I1008" t="s">
        <v>3290</v>
      </c>
    </row>
    <row r="1009" spans="1:9" x14ac:dyDescent="0.25">
      <c r="A1009" t="s">
        <v>3297</v>
      </c>
      <c r="B1009" t="s">
        <v>3056</v>
      </c>
      <c r="C1009" t="s">
        <v>3298</v>
      </c>
      <c r="D1009" t="str" cm="1">
        <f t="array" ref="D1009">_xlfn.TEXTJOIN("", TRUE, IF(ISNUMBER(SEARCH($K$1379:$K$1423, C1009)), $K$1379:$K$1423, ""))</f>
        <v>Sparkling Ice</v>
      </c>
      <c r="E1009" t="str">
        <f t="shared" si="30"/>
        <v>Beverages</v>
      </c>
      <c r="F1009" t="str">
        <f t="shared" si="31"/>
        <v>Beverages</v>
      </c>
      <c r="G1009" s="1">
        <v>2.79</v>
      </c>
      <c r="H1009" t="s">
        <v>1040</v>
      </c>
      <c r="I1009" t="s">
        <v>1034</v>
      </c>
    </row>
    <row r="1010" spans="1:9" x14ac:dyDescent="0.25">
      <c r="A1010" t="s">
        <v>3299</v>
      </c>
      <c r="B1010" t="s">
        <v>3056</v>
      </c>
      <c r="C1010" t="s">
        <v>3300</v>
      </c>
      <c r="D1010" t="str" cm="1">
        <f t="array" ref="D1010">_xlfn.TEXTJOIN("", TRUE, IF(ISNUMBER(SEARCH($K$1379:$K$1423, C1010)), $K$1379:$K$1423, ""))</f>
        <v>Sparkling Ice</v>
      </c>
      <c r="E1010" t="str">
        <f t="shared" si="30"/>
        <v>Beverages</v>
      </c>
      <c r="F1010" t="str">
        <f t="shared" si="31"/>
        <v>Beverages</v>
      </c>
      <c r="G1010" s="1">
        <v>2.79</v>
      </c>
      <c r="H1010" t="s">
        <v>1040</v>
      </c>
      <c r="I1010" t="s">
        <v>1034</v>
      </c>
    </row>
    <row r="1011" spans="1:9" x14ac:dyDescent="0.25">
      <c r="A1011" t="s">
        <v>3301</v>
      </c>
      <c r="B1011" t="s">
        <v>3056</v>
      </c>
      <c r="C1011" t="s">
        <v>3302</v>
      </c>
      <c r="D1011" t="str" cm="1">
        <f t="array" ref="D1011">_xlfn.TEXTJOIN("", TRUE, IF(ISNUMBER(SEARCH($K$1379:$K$1423, C1011)), $K$1379:$K$1423, ""))</f>
        <v>Sparkling Ice</v>
      </c>
      <c r="E1011" t="str">
        <f t="shared" si="30"/>
        <v>Beverages</v>
      </c>
      <c r="F1011" t="str">
        <f t="shared" si="31"/>
        <v>Beverages</v>
      </c>
      <c r="G1011" s="1">
        <v>2.79</v>
      </c>
      <c r="H1011" t="s">
        <v>1040</v>
      </c>
      <c r="I1011" t="s">
        <v>1034</v>
      </c>
    </row>
    <row r="1012" spans="1:9" x14ac:dyDescent="0.25">
      <c r="A1012" t="s">
        <v>3303</v>
      </c>
      <c r="B1012" t="s">
        <v>3056</v>
      </c>
      <c r="C1012" t="s">
        <v>3304</v>
      </c>
      <c r="D1012" t="str" cm="1">
        <f t="array" ref="D1012">_xlfn.TEXTJOIN("", TRUE, IF(ISNUMBER(SEARCH($K$1379:$K$1423, C1012)), $K$1379:$K$1423, ""))</f>
        <v>Starbucks</v>
      </c>
      <c r="E1012" t="str">
        <f t="shared" si="30"/>
        <v>Beverages</v>
      </c>
      <c r="F1012" t="str">
        <f t="shared" si="31"/>
        <v>Beverages</v>
      </c>
      <c r="G1012" s="1">
        <v>2</v>
      </c>
      <c r="H1012" t="s">
        <v>1040</v>
      </c>
      <c r="I1012" t="s">
        <v>83</v>
      </c>
    </row>
    <row r="1013" spans="1:9" x14ac:dyDescent="0.25">
      <c r="A1013" t="s">
        <v>3305</v>
      </c>
      <c r="B1013" t="s">
        <v>3056</v>
      </c>
      <c r="C1013" t="s">
        <v>3306</v>
      </c>
      <c r="D1013" t="str" cm="1">
        <f t="array" ref="D1013">_xlfn.TEXTJOIN("", TRUE, IF(ISNUMBER(SEARCH($K$1379:$K$1423, C1013)), $K$1379:$K$1423, ""))</f>
        <v>Starbucks</v>
      </c>
      <c r="E1013" t="str">
        <f t="shared" si="30"/>
        <v>Beverages</v>
      </c>
      <c r="F1013" t="str">
        <f t="shared" si="31"/>
        <v>Beverages</v>
      </c>
      <c r="G1013" s="1">
        <v>2</v>
      </c>
      <c r="H1013" t="s">
        <v>1040</v>
      </c>
      <c r="I1013" t="s">
        <v>83</v>
      </c>
    </row>
    <row r="1014" spans="1:9" x14ac:dyDescent="0.25">
      <c r="A1014" t="s">
        <v>3307</v>
      </c>
      <c r="B1014" t="s">
        <v>3056</v>
      </c>
      <c r="C1014" t="s">
        <v>3308</v>
      </c>
      <c r="D1014" t="str" cm="1">
        <f t="array" ref="D1014">_xlfn.TEXTJOIN("", TRUE, IF(ISNUMBER(SEARCH($K$1379:$K$1423, C1014)), $K$1379:$K$1423, ""))</f>
        <v>Starbucks</v>
      </c>
      <c r="E1014" t="str">
        <f t="shared" si="30"/>
        <v>Beverages</v>
      </c>
      <c r="F1014" t="str">
        <f t="shared" si="31"/>
        <v>Beverages</v>
      </c>
      <c r="G1014" s="1">
        <v>2</v>
      </c>
      <c r="H1014" t="s">
        <v>1040</v>
      </c>
      <c r="I1014" t="s">
        <v>83</v>
      </c>
    </row>
    <row r="1015" spans="1:9" x14ac:dyDescent="0.25">
      <c r="A1015" t="s">
        <v>3309</v>
      </c>
      <c r="B1015" t="s">
        <v>3310</v>
      </c>
      <c r="C1015" t="s">
        <v>3311</v>
      </c>
      <c r="D1015" t="str" cm="1">
        <f t="array" ref="D1015">_xlfn.TEXTJOIN("", TRUE, IF(ISNUMBER(SEARCH($K$1379:$K$1423, C1015)), $K$1379:$K$1423, ""))</f>
        <v>Coca-Cola</v>
      </c>
      <c r="E1015" t="str">
        <f t="shared" si="30"/>
        <v>Beverages</v>
      </c>
      <c r="F1015" t="str">
        <f t="shared" si="31"/>
        <v>Beverages</v>
      </c>
      <c r="G1015" s="1">
        <v>10.29</v>
      </c>
      <c r="H1015" t="s">
        <v>1040</v>
      </c>
      <c r="I1015" s="3" t="s">
        <v>1466</v>
      </c>
    </row>
    <row r="1016" spans="1:9" x14ac:dyDescent="0.25">
      <c r="A1016" t="s">
        <v>3313</v>
      </c>
      <c r="B1016" t="s">
        <v>3314</v>
      </c>
      <c r="C1016" t="s">
        <v>4403</v>
      </c>
      <c r="D1016" t="str" cm="1">
        <f t="array" ref="D1016">_xlfn.TEXTJOIN("", TRUE, IF(ISNUMBER(SEARCH($K$1379:$K$1423, C1016)), $K$1379:$K$1423, ""))</f>
        <v>Coca-Cola</v>
      </c>
      <c r="E1016" t="str">
        <f t="shared" si="30"/>
        <v>Beverages</v>
      </c>
      <c r="F1016" t="str">
        <f t="shared" si="31"/>
        <v>Beverages</v>
      </c>
      <c r="G1016" s="1">
        <v>10.29</v>
      </c>
      <c r="H1016" t="s">
        <v>1040</v>
      </c>
      <c r="I1016" s="3" t="s">
        <v>1466</v>
      </c>
    </row>
    <row r="1017" spans="1:9" x14ac:dyDescent="0.25">
      <c r="A1017" t="s">
        <v>3315</v>
      </c>
      <c r="B1017" t="s">
        <v>3316</v>
      </c>
      <c r="C1017" t="s">
        <v>3317</v>
      </c>
      <c r="D1017" t="str" cm="1">
        <f t="array" ref="D1017">_xlfn.TEXTJOIN("", TRUE, IF(ISNUMBER(SEARCH($K$1379:$K$1423, C1017)), $K$1379:$K$1423, ""))</f>
        <v>Coca-Cola</v>
      </c>
      <c r="E1017" t="str">
        <f t="shared" si="30"/>
        <v>Beverages</v>
      </c>
      <c r="F1017" t="str">
        <f t="shared" si="31"/>
        <v>Beverages</v>
      </c>
      <c r="G1017" s="1">
        <v>7.49</v>
      </c>
      <c r="H1017" t="s">
        <v>3318</v>
      </c>
      <c r="I1017" s="3" t="s">
        <v>1466</v>
      </c>
    </row>
    <row r="1018" spans="1:9" x14ac:dyDescent="0.25">
      <c r="A1018" t="s">
        <v>3319</v>
      </c>
      <c r="B1018" t="s">
        <v>3320</v>
      </c>
      <c r="C1018" t="s">
        <v>4402</v>
      </c>
      <c r="D1018" t="str" cm="1">
        <f t="array" ref="D1018">_xlfn.TEXTJOIN("", TRUE, IF(ISNUMBER(SEARCH($K$1379:$K$1423, C1018)), $K$1379:$K$1423, ""))</f>
        <v>Coca-Cola</v>
      </c>
      <c r="E1018" t="str">
        <f t="shared" si="30"/>
        <v>Beverages</v>
      </c>
      <c r="F1018" t="str">
        <f t="shared" si="31"/>
        <v>Beverages</v>
      </c>
      <c r="G1018" s="1">
        <v>7.49</v>
      </c>
      <c r="H1018" t="s">
        <v>3318</v>
      </c>
      <c r="I1018" s="3" t="s">
        <v>1466</v>
      </c>
    </row>
    <row r="1019" spans="1:9" x14ac:dyDescent="0.25">
      <c r="A1019" t="s">
        <v>3321</v>
      </c>
      <c r="B1019" t="s">
        <v>3322</v>
      </c>
      <c r="C1019" t="s">
        <v>3323</v>
      </c>
      <c r="D1019" t="str" cm="1">
        <f t="array" ref="D1019">_xlfn.TEXTJOIN("", TRUE, IF(ISNUMBER(SEARCH($K$1379:$K$1423, C1019)), $K$1379:$K$1423, ""))</f>
        <v>Coca-Cola</v>
      </c>
      <c r="E1019" t="str">
        <f t="shared" si="30"/>
        <v>Beverages</v>
      </c>
      <c r="F1019" t="str">
        <f t="shared" si="31"/>
        <v>Beverages</v>
      </c>
      <c r="G1019" s="1">
        <v>10.29</v>
      </c>
      <c r="H1019" t="s">
        <v>1040</v>
      </c>
      <c r="I1019" s="3" t="s">
        <v>1466</v>
      </c>
    </row>
    <row r="1020" spans="1:9" x14ac:dyDescent="0.25">
      <c r="A1020" t="s">
        <v>3324</v>
      </c>
      <c r="B1020" t="s">
        <v>3325</v>
      </c>
      <c r="C1020" t="s">
        <v>3326</v>
      </c>
      <c r="D1020" t="str" cm="1">
        <f t="array" ref="D1020">_xlfn.TEXTJOIN("", TRUE, IF(ISNUMBER(SEARCH($K$1379:$K$1423, C1020)), $K$1379:$K$1423, ""))</f>
        <v>Coca-Cola</v>
      </c>
      <c r="E1020" t="str">
        <f t="shared" si="30"/>
        <v>Beverages</v>
      </c>
      <c r="F1020" t="str">
        <f t="shared" si="31"/>
        <v>Beverages</v>
      </c>
      <c r="G1020" s="1">
        <v>7.49</v>
      </c>
      <c r="H1020" t="s">
        <v>3318</v>
      </c>
      <c r="I1020" s="3" t="s">
        <v>1466</v>
      </c>
    </row>
    <row r="1021" spans="1:9" x14ac:dyDescent="0.25">
      <c r="A1021" t="s">
        <v>3327</v>
      </c>
      <c r="B1021" t="s">
        <v>3328</v>
      </c>
      <c r="C1021" t="s">
        <v>3329</v>
      </c>
      <c r="D1021" t="str" cm="1">
        <f t="array" ref="D1021">_xlfn.TEXTJOIN("", TRUE, IF(ISNUMBER(SEARCH($K$1379:$K$1423, C1021)), $K$1379:$K$1423, ""))</f>
        <v>Coca-Cola</v>
      </c>
      <c r="E1021" t="str">
        <f t="shared" si="30"/>
        <v>Beverages</v>
      </c>
      <c r="F1021" t="str">
        <f t="shared" si="31"/>
        <v>Beverages</v>
      </c>
      <c r="G1021" s="1">
        <v>7.99</v>
      </c>
      <c r="H1021" t="s">
        <v>3330</v>
      </c>
      <c r="I1021" s="3" t="s">
        <v>436</v>
      </c>
    </row>
    <row r="1022" spans="1:9" x14ac:dyDescent="0.25">
      <c r="A1022" t="s">
        <v>3331</v>
      </c>
      <c r="B1022" t="s">
        <v>3332</v>
      </c>
      <c r="C1022" t="s">
        <v>3333</v>
      </c>
      <c r="D1022" t="str" cm="1">
        <f t="array" ref="D1022">_xlfn.TEXTJOIN("", TRUE, IF(ISNUMBER(SEARCH($K$1379:$K$1423, C1022)), $K$1379:$K$1423, ""))</f>
        <v>Coca-Cola</v>
      </c>
      <c r="E1022" t="str">
        <f t="shared" si="30"/>
        <v>Beverages</v>
      </c>
      <c r="F1022" t="str">
        <f t="shared" si="31"/>
        <v>Beverages</v>
      </c>
      <c r="G1022" s="1">
        <v>3.49</v>
      </c>
      <c r="H1022" t="s">
        <v>3334</v>
      </c>
      <c r="I1022" s="3" t="s">
        <v>3335</v>
      </c>
    </row>
    <row r="1023" spans="1:9" x14ac:dyDescent="0.25">
      <c r="A1023" t="s">
        <v>3336</v>
      </c>
      <c r="B1023" t="s">
        <v>3337</v>
      </c>
      <c r="C1023" t="s">
        <v>4392</v>
      </c>
      <c r="D1023" t="str" cm="1">
        <f t="array" ref="D1023">_xlfn.TEXTJOIN("", TRUE, IF(ISNUMBER(SEARCH($K$1379:$K$1423, C1023)), $K$1379:$K$1423, ""))</f>
        <v>Coca-Cola</v>
      </c>
      <c r="E1023" t="str">
        <f t="shared" si="30"/>
        <v>Beverages</v>
      </c>
      <c r="F1023" t="str">
        <f t="shared" si="31"/>
        <v>Beverages</v>
      </c>
      <c r="G1023" s="1">
        <v>1.66</v>
      </c>
      <c r="H1023" t="s">
        <v>3338</v>
      </c>
      <c r="I1023" s="3" t="s">
        <v>3339</v>
      </c>
    </row>
    <row r="1024" spans="1:9" x14ac:dyDescent="0.25">
      <c r="A1024" t="s">
        <v>3340</v>
      </c>
      <c r="B1024" t="s">
        <v>3341</v>
      </c>
      <c r="C1024" t="s">
        <v>3342</v>
      </c>
      <c r="D1024" t="str" cm="1">
        <f t="array" ref="D1024">_xlfn.TEXTJOIN("", TRUE, IF(ISNUMBER(SEARCH($K$1379:$K$1423, C1024)), $K$1379:$K$1423, ""))</f>
        <v>Coca-Cola</v>
      </c>
      <c r="E1024" t="str">
        <f t="shared" si="30"/>
        <v>Beverages</v>
      </c>
      <c r="F1024" t="str">
        <f t="shared" si="31"/>
        <v>Beverages</v>
      </c>
      <c r="G1024" s="1">
        <v>10.29</v>
      </c>
      <c r="H1024" t="s">
        <v>1040</v>
      </c>
      <c r="I1024" s="3" t="s">
        <v>1466</v>
      </c>
    </row>
    <row r="1025" spans="1:9" x14ac:dyDescent="0.25">
      <c r="A1025" t="s">
        <v>3343</v>
      </c>
      <c r="B1025" t="s">
        <v>3344</v>
      </c>
      <c r="C1025" t="s">
        <v>3345</v>
      </c>
      <c r="D1025" t="str" cm="1">
        <f t="array" ref="D1025">_xlfn.TEXTJOIN("", TRUE, IF(ISNUMBER(SEARCH($K$1379:$K$1423, C1025)), $K$1379:$K$1423, ""))</f>
        <v>Coca-Cola</v>
      </c>
      <c r="E1025" t="str">
        <f t="shared" si="30"/>
        <v>Beverages</v>
      </c>
      <c r="F1025" t="str">
        <f t="shared" si="31"/>
        <v>Beverages</v>
      </c>
      <c r="G1025" s="1">
        <v>13.99</v>
      </c>
      <c r="H1025" t="s">
        <v>1040</v>
      </c>
      <c r="I1025" s="3" t="s">
        <v>3335</v>
      </c>
    </row>
    <row r="1026" spans="1:9" x14ac:dyDescent="0.25">
      <c r="A1026" t="s">
        <v>3346</v>
      </c>
      <c r="B1026" t="s">
        <v>3347</v>
      </c>
      <c r="C1026" t="s">
        <v>4392</v>
      </c>
      <c r="D1026" t="str" cm="1">
        <f t="array" ref="D1026">_xlfn.TEXTJOIN("", TRUE, IF(ISNUMBER(SEARCH($K$1379:$K$1423, C1026)), $K$1379:$K$1423, ""))</f>
        <v>Coca-Cola</v>
      </c>
      <c r="E1026" t="str">
        <f t="shared" ref="E1026:E1089" si="32">IF(OR(D1026="Mission",D1026="Nature's Own",D1026="Sara Lee"),"Bread",
IF(OR(D1026="Del Monte",D1026="Dole",D1026="Mott's"),"Canned Fruit",
IF(OR(D1026="Goya",D1026="Hunt's",D1026="Birds Eye"),"Canned Vegetables",
IF(OR(D1026="fairlife",D1026="Horizon Organic",D1026="Lactaid",D1026="Ben &amp; Jerry's"),"Milk",
IF(OR(D1026="BelGioioso",D1026="Kraft",D1026="Philadelphia"),"Cheese",
IF(OR(D1026="Chobani",D1026="Oikos",D1026="Dannon Light + Fit"),"Yogurt",
IF(OR(D1026="Barilla",D1026="Annie's",D1026="Rao's Homemade"),"Pasta",
IF(OR(D1026="Hershey's",D1026="Lay's",D1026="Totino's",D1026="Cheerios",D1026="Jif",D1026="Skippy",D1026="Nature Valley",D1026="OREO",D1026="DiGiorno",D1026="Eggo"),"Prepared Food",
IF(OR(D1026="Ben's Original",D1026="Lundberg",D1026="Quaker"),"Rice",
IF(OR(D1026="Bush's",D1026="Hillshire Farm",D1026="Oscar Mayer",D1026="SPAM"),"Protein",
IF(OR(D1026="Starbucks",D1026="Sparkling Ice",D1026="Coca-Cola",D1026="San Pellegrino",D1026="Gatorade",D1026="Arizona"),"Beverages",
"Other")))))))))))</f>
        <v>Beverages</v>
      </c>
      <c r="F1026" t="str">
        <f t="shared" ref="F1026:F1089" si="33">IF(OR(E1026="Bread",E1026="Rice",E1026="Pasta"), "Grain",
IF(OR(E1026="Milk",E1026="Cheese",E1026="Yogurt"), "Dairy",
IF(OR(E1026="Canned Fruit",E1026="Canned Vegetables"), "Fruit &amp; Vegetables",
IF(E1026="Prepared Food", "Prepared Food",
IF(E1026="Protein", "Protein",
IF(E1026="Beverages", "Beverages",
"Other"))))))</f>
        <v>Beverages</v>
      </c>
      <c r="G1026" s="1">
        <v>3.49</v>
      </c>
      <c r="H1026" t="s">
        <v>3334</v>
      </c>
      <c r="I1026" s="3" t="s">
        <v>3335</v>
      </c>
    </row>
    <row r="1027" spans="1:9" x14ac:dyDescent="0.25">
      <c r="A1027" t="s">
        <v>3348</v>
      </c>
      <c r="B1027" t="s">
        <v>3349</v>
      </c>
      <c r="C1027" t="s">
        <v>4401</v>
      </c>
      <c r="D1027" t="str" cm="1">
        <f t="array" ref="D1027">_xlfn.TEXTJOIN("", TRUE, IF(ISNUMBER(SEARCH($K$1379:$K$1423, C1027)), $K$1379:$K$1423, ""))</f>
        <v>Coca-Cola</v>
      </c>
      <c r="E1027" t="str">
        <f t="shared" si="32"/>
        <v>Beverages</v>
      </c>
      <c r="F1027" t="str">
        <f t="shared" si="33"/>
        <v>Beverages</v>
      </c>
      <c r="G1027" s="1">
        <v>7.99</v>
      </c>
      <c r="H1027" t="s">
        <v>3330</v>
      </c>
      <c r="I1027" s="3" t="s">
        <v>436</v>
      </c>
    </row>
    <row r="1028" spans="1:9" x14ac:dyDescent="0.25">
      <c r="A1028" t="s">
        <v>3350</v>
      </c>
      <c r="B1028" t="s">
        <v>3351</v>
      </c>
      <c r="C1028" t="s">
        <v>3333</v>
      </c>
      <c r="D1028" t="str" cm="1">
        <f t="array" ref="D1028">_xlfn.TEXTJOIN("", TRUE, IF(ISNUMBER(SEARCH($K$1379:$K$1423, C1028)), $K$1379:$K$1423, ""))</f>
        <v>Coca-Cola</v>
      </c>
      <c r="E1028" t="str">
        <f t="shared" si="32"/>
        <v>Beverages</v>
      </c>
      <c r="F1028" t="str">
        <f t="shared" si="33"/>
        <v>Beverages</v>
      </c>
      <c r="G1028" s="1">
        <v>1.66</v>
      </c>
      <c r="H1028" t="s">
        <v>3338</v>
      </c>
      <c r="I1028" s="3" t="s">
        <v>3339</v>
      </c>
    </row>
    <row r="1029" spans="1:9" x14ac:dyDescent="0.25">
      <c r="A1029" t="s">
        <v>3352</v>
      </c>
      <c r="B1029" t="s">
        <v>3353</v>
      </c>
      <c r="C1029" t="s">
        <v>4400</v>
      </c>
      <c r="D1029" t="str" cm="1">
        <f t="array" ref="D1029">_xlfn.TEXTJOIN("", TRUE, IF(ISNUMBER(SEARCH($K$1379:$K$1423, C1029)), $K$1379:$K$1423, ""))</f>
        <v>Coca-Cola</v>
      </c>
      <c r="E1029" t="str">
        <f t="shared" si="32"/>
        <v>Beverages</v>
      </c>
      <c r="F1029" t="str">
        <f t="shared" si="33"/>
        <v>Beverages</v>
      </c>
      <c r="G1029" s="1">
        <v>10.29</v>
      </c>
      <c r="H1029" t="s">
        <v>1040</v>
      </c>
      <c r="I1029" s="3" t="s">
        <v>1466</v>
      </c>
    </row>
    <row r="1030" spans="1:9" x14ac:dyDescent="0.25">
      <c r="A1030" t="s">
        <v>3354</v>
      </c>
      <c r="B1030" t="s">
        <v>3355</v>
      </c>
      <c r="C1030" t="s">
        <v>3356</v>
      </c>
      <c r="D1030" t="str" cm="1">
        <f t="array" ref="D1030">_xlfn.TEXTJOIN("", TRUE, IF(ISNUMBER(SEARCH($K$1379:$K$1423, C1030)), $K$1379:$K$1423, ""))</f>
        <v>Coca-Cola</v>
      </c>
      <c r="E1030" t="str">
        <f t="shared" si="32"/>
        <v>Beverages</v>
      </c>
      <c r="F1030" t="str">
        <f t="shared" si="33"/>
        <v>Beverages</v>
      </c>
      <c r="G1030" s="1">
        <v>10.29</v>
      </c>
      <c r="H1030" t="s">
        <v>1040</v>
      </c>
      <c r="I1030" s="3" t="s">
        <v>1466</v>
      </c>
    </row>
    <row r="1031" spans="1:9" x14ac:dyDescent="0.25">
      <c r="A1031" t="s">
        <v>3357</v>
      </c>
      <c r="B1031" t="s">
        <v>3358</v>
      </c>
      <c r="C1031" t="s">
        <v>4399</v>
      </c>
      <c r="D1031" t="str" cm="1">
        <f t="array" ref="D1031">_xlfn.TEXTJOIN("", TRUE, IF(ISNUMBER(SEARCH($K$1379:$K$1423, C1031)), $K$1379:$K$1423, ""))</f>
        <v>Coca-Cola</v>
      </c>
      <c r="E1031" t="str">
        <f t="shared" si="32"/>
        <v>Beverages</v>
      </c>
      <c r="F1031" t="str">
        <f t="shared" si="33"/>
        <v>Beverages</v>
      </c>
      <c r="G1031" s="1">
        <v>7.49</v>
      </c>
      <c r="H1031" t="s">
        <v>3318</v>
      </c>
      <c r="I1031" s="3" t="s">
        <v>1466</v>
      </c>
    </row>
    <row r="1032" spans="1:9" x14ac:dyDescent="0.25">
      <c r="A1032" t="s">
        <v>3359</v>
      </c>
      <c r="B1032" t="s">
        <v>3360</v>
      </c>
      <c r="C1032" t="s">
        <v>4398</v>
      </c>
      <c r="D1032" t="str" cm="1">
        <f t="array" ref="D1032">_xlfn.TEXTJOIN("", TRUE, IF(ISNUMBER(SEARCH($K$1379:$K$1423, C1032)), $K$1379:$K$1423, ""))</f>
        <v>Coca-Cola</v>
      </c>
      <c r="E1032" t="str">
        <f t="shared" si="32"/>
        <v>Beverages</v>
      </c>
      <c r="F1032" t="str">
        <f t="shared" si="33"/>
        <v>Beverages</v>
      </c>
      <c r="G1032" s="1">
        <v>13.99</v>
      </c>
      <c r="H1032" t="s">
        <v>1040</v>
      </c>
      <c r="I1032" s="3" t="s">
        <v>3335</v>
      </c>
    </row>
    <row r="1033" spans="1:9" x14ac:dyDescent="0.25">
      <c r="A1033" t="s">
        <v>3361</v>
      </c>
      <c r="B1033" t="s">
        <v>3362</v>
      </c>
      <c r="C1033" t="s">
        <v>3363</v>
      </c>
      <c r="D1033" t="str" cm="1">
        <f t="array" ref="D1033">_xlfn.TEXTJOIN("", TRUE, IF(ISNUMBER(SEARCH($K$1379:$K$1423, C1033)), $K$1379:$K$1423, ""))</f>
        <v>Coca-Cola</v>
      </c>
      <c r="E1033" t="str">
        <f t="shared" si="32"/>
        <v>Beverages</v>
      </c>
      <c r="F1033" t="str">
        <f t="shared" si="33"/>
        <v>Beverages</v>
      </c>
      <c r="G1033" s="1">
        <v>1.66</v>
      </c>
      <c r="H1033" t="s">
        <v>3338</v>
      </c>
      <c r="I1033" s="3" t="s">
        <v>3339</v>
      </c>
    </row>
    <row r="1034" spans="1:9" x14ac:dyDescent="0.25">
      <c r="A1034" t="s">
        <v>3364</v>
      </c>
      <c r="B1034" t="s">
        <v>3365</v>
      </c>
      <c r="C1034" t="s">
        <v>3366</v>
      </c>
      <c r="D1034" t="str" cm="1">
        <f t="array" ref="D1034">_xlfn.TEXTJOIN("", TRUE, IF(ISNUMBER(SEARCH($K$1379:$K$1423, C1034)), $K$1379:$K$1423, ""))</f>
        <v>Coca-Cola</v>
      </c>
      <c r="E1034" t="str">
        <f t="shared" si="32"/>
        <v>Beverages</v>
      </c>
      <c r="F1034" t="str">
        <f t="shared" si="33"/>
        <v>Beverages</v>
      </c>
      <c r="G1034" s="1">
        <v>3.49</v>
      </c>
      <c r="H1034" t="s">
        <v>3334</v>
      </c>
      <c r="I1034" s="3" t="s">
        <v>3335</v>
      </c>
    </row>
    <row r="1035" spans="1:9" x14ac:dyDescent="0.25">
      <c r="A1035" t="s">
        <v>3367</v>
      </c>
      <c r="B1035" t="s">
        <v>3368</v>
      </c>
      <c r="C1035" t="s">
        <v>3369</v>
      </c>
      <c r="D1035" t="str" cm="1">
        <f t="array" ref="D1035">_xlfn.TEXTJOIN("", TRUE, IF(ISNUMBER(SEARCH($K$1379:$K$1423, C1035)), $K$1379:$K$1423, ""))</f>
        <v>Coca-Cola</v>
      </c>
      <c r="E1035" t="str">
        <f t="shared" si="32"/>
        <v>Beverages</v>
      </c>
      <c r="F1035" t="str">
        <f t="shared" si="33"/>
        <v>Beverages</v>
      </c>
      <c r="G1035" s="1">
        <v>7.99</v>
      </c>
      <c r="H1035" t="s">
        <v>3330</v>
      </c>
      <c r="I1035" s="3" t="s">
        <v>436</v>
      </c>
    </row>
    <row r="1036" spans="1:9" x14ac:dyDescent="0.25">
      <c r="A1036" t="s">
        <v>3370</v>
      </c>
      <c r="B1036" t="s">
        <v>3371</v>
      </c>
      <c r="C1036" t="s">
        <v>3372</v>
      </c>
      <c r="D1036" t="str" cm="1">
        <f t="array" ref="D1036">_xlfn.TEXTJOIN("", TRUE, IF(ISNUMBER(SEARCH($K$1379:$K$1423, C1036)), $K$1379:$K$1423, ""))</f>
        <v>Coca-Cola</v>
      </c>
      <c r="E1036" t="str">
        <f t="shared" si="32"/>
        <v>Beverages</v>
      </c>
      <c r="F1036" t="str">
        <f t="shared" si="33"/>
        <v>Beverages</v>
      </c>
      <c r="G1036" s="1">
        <v>13.99</v>
      </c>
      <c r="H1036" t="s">
        <v>1040</v>
      </c>
      <c r="I1036" s="3" t="s">
        <v>3335</v>
      </c>
    </row>
    <row r="1037" spans="1:9" x14ac:dyDescent="0.25">
      <c r="A1037" t="s">
        <v>3373</v>
      </c>
      <c r="B1037" t="s">
        <v>3374</v>
      </c>
      <c r="C1037" t="s">
        <v>3375</v>
      </c>
      <c r="D1037" t="str" cm="1">
        <f t="array" ref="D1037">_xlfn.TEXTJOIN("", TRUE, IF(ISNUMBER(SEARCH($K$1379:$K$1423, C1037)), $K$1379:$K$1423, ""))</f>
        <v>Coca-Cola</v>
      </c>
      <c r="E1037" t="str">
        <f t="shared" si="32"/>
        <v>Beverages</v>
      </c>
      <c r="F1037" t="str">
        <f t="shared" si="33"/>
        <v>Beverages</v>
      </c>
      <c r="G1037" s="1">
        <v>5.99</v>
      </c>
      <c r="H1037" t="s">
        <v>3330</v>
      </c>
      <c r="I1037" s="3" t="s">
        <v>131</v>
      </c>
    </row>
    <row r="1038" spans="1:9" x14ac:dyDescent="0.25">
      <c r="A1038" t="s">
        <v>3376</v>
      </c>
      <c r="B1038" t="s">
        <v>3377</v>
      </c>
      <c r="C1038" t="s">
        <v>3378</v>
      </c>
      <c r="D1038" t="str" cm="1">
        <f t="array" ref="D1038">_xlfn.TEXTJOIN("", TRUE, IF(ISNUMBER(SEARCH($K$1379:$K$1423, C1038)), $K$1379:$K$1423, ""))</f>
        <v>Coca-Cola</v>
      </c>
      <c r="E1038" t="str">
        <f t="shared" si="32"/>
        <v>Beverages</v>
      </c>
      <c r="F1038" t="str">
        <f t="shared" si="33"/>
        <v>Beverages</v>
      </c>
      <c r="G1038" s="1">
        <v>10.29</v>
      </c>
      <c r="H1038" t="s">
        <v>3379</v>
      </c>
      <c r="I1038" s="3" t="s">
        <v>436</v>
      </c>
    </row>
    <row r="1039" spans="1:9" x14ac:dyDescent="0.25">
      <c r="A1039" t="s">
        <v>3380</v>
      </c>
      <c r="B1039" t="s">
        <v>3381</v>
      </c>
      <c r="C1039" t="s">
        <v>4397</v>
      </c>
      <c r="D1039" t="str" cm="1">
        <f t="array" ref="D1039">_xlfn.TEXTJOIN("", TRUE, IF(ISNUMBER(SEARCH($K$1379:$K$1423, C1039)), $K$1379:$K$1423, ""))</f>
        <v>Coca-Cola</v>
      </c>
      <c r="E1039" t="str">
        <f t="shared" si="32"/>
        <v>Beverages</v>
      </c>
      <c r="F1039" t="str">
        <f t="shared" si="33"/>
        <v>Beverages</v>
      </c>
      <c r="G1039" s="1">
        <v>3.49</v>
      </c>
      <c r="H1039" t="s">
        <v>3334</v>
      </c>
      <c r="I1039" s="3" t="s">
        <v>3335</v>
      </c>
    </row>
    <row r="1040" spans="1:9" x14ac:dyDescent="0.25">
      <c r="A1040" t="s">
        <v>3382</v>
      </c>
      <c r="B1040" t="s">
        <v>3383</v>
      </c>
      <c r="C1040" t="s">
        <v>3384</v>
      </c>
      <c r="D1040" t="str" cm="1">
        <f t="array" ref="D1040">_xlfn.TEXTJOIN("", TRUE, IF(ISNUMBER(SEARCH($K$1379:$K$1423, C1040)), $K$1379:$K$1423, ""))</f>
        <v>Coca-Cola</v>
      </c>
      <c r="E1040" t="str">
        <f t="shared" si="32"/>
        <v>Beverages</v>
      </c>
      <c r="F1040" t="str">
        <f t="shared" si="33"/>
        <v>Beverages</v>
      </c>
      <c r="G1040" s="1">
        <v>7.99</v>
      </c>
      <c r="H1040" t="s">
        <v>3330</v>
      </c>
      <c r="I1040" s="3" t="s">
        <v>436</v>
      </c>
    </row>
    <row r="1041" spans="1:9" x14ac:dyDescent="0.25">
      <c r="A1041" t="s">
        <v>3385</v>
      </c>
      <c r="B1041" t="s">
        <v>3386</v>
      </c>
      <c r="C1041" t="s">
        <v>3387</v>
      </c>
      <c r="D1041" t="str" cm="1">
        <f t="array" ref="D1041">_xlfn.TEXTJOIN("", TRUE, IF(ISNUMBER(SEARCH($K$1379:$K$1423, C1041)), $K$1379:$K$1423, ""))</f>
        <v>Coca-Cola</v>
      </c>
      <c r="E1041" t="str">
        <f t="shared" si="32"/>
        <v>Beverages</v>
      </c>
      <c r="F1041" t="str">
        <f t="shared" si="33"/>
        <v>Beverages</v>
      </c>
      <c r="G1041" s="1">
        <v>10.29</v>
      </c>
      <c r="H1041" t="s">
        <v>1040</v>
      </c>
      <c r="I1041" s="3" t="s">
        <v>1466</v>
      </c>
    </row>
    <row r="1042" spans="1:9" x14ac:dyDescent="0.25">
      <c r="A1042" t="s">
        <v>3388</v>
      </c>
      <c r="B1042" t="s">
        <v>3389</v>
      </c>
      <c r="C1042" t="s">
        <v>3390</v>
      </c>
      <c r="D1042" t="str" cm="1">
        <f t="array" ref="D1042">_xlfn.TEXTJOIN("", TRUE, IF(ISNUMBER(SEARCH($K$1379:$K$1423, C1042)), $K$1379:$K$1423, ""))</f>
        <v>Coca-Cola</v>
      </c>
      <c r="E1042" t="str">
        <f t="shared" si="32"/>
        <v>Beverages</v>
      </c>
      <c r="F1042" t="str">
        <f t="shared" si="33"/>
        <v>Beverages</v>
      </c>
      <c r="G1042" s="1">
        <v>10.29</v>
      </c>
      <c r="H1042" t="s">
        <v>1040</v>
      </c>
      <c r="I1042" s="3" t="s">
        <v>1466</v>
      </c>
    </row>
    <row r="1043" spans="1:9" x14ac:dyDescent="0.25">
      <c r="A1043" t="s">
        <v>3391</v>
      </c>
      <c r="B1043" t="s">
        <v>3392</v>
      </c>
      <c r="C1043" t="s">
        <v>4396</v>
      </c>
      <c r="D1043" t="str" cm="1">
        <f t="array" ref="D1043">_xlfn.TEXTJOIN("", TRUE, IF(ISNUMBER(SEARCH($K$1379:$K$1423, C1043)), $K$1379:$K$1423, ""))</f>
        <v>Coca-Cola</v>
      </c>
      <c r="E1043" t="str">
        <f t="shared" si="32"/>
        <v>Beverages</v>
      </c>
      <c r="F1043" t="str">
        <f t="shared" si="33"/>
        <v>Beverages</v>
      </c>
      <c r="G1043" s="1">
        <v>10.29</v>
      </c>
      <c r="H1043" t="s">
        <v>3379</v>
      </c>
      <c r="I1043" s="3" t="s">
        <v>436</v>
      </c>
    </row>
    <row r="1044" spans="1:9" x14ac:dyDescent="0.25">
      <c r="A1044" t="s">
        <v>3393</v>
      </c>
      <c r="B1044" t="s">
        <v>3394</v>
      </c>
      <c r="C1044" t="s">
        <v>4395</v>
      </c>
      <c r="D1044" t="str" cm="1">
        <f t="array" ref="D1044">_xlfn.TEXTJOIN("", TRUE, IF(ISNUMBER(SEARCH($K$1379:$K$1423, C1044)), $K$1379:$K$1423, ""))</f>
        <v>Coca-Cola</v>
      </c>
      <c r="E1044" t="str">
        <f t="shared" si="32"/>
        <v>Beverages</v>
      </c>
      <c r="F1044" t="str">
        <f t="shared" si="33"/>
        <v>Beverages</v>
      </c>
      <c r="G1044" s="1">
        <v>5.99</v>
      </c>
      <c r="H1044" t="s">
        <v>3330</v>
      </c>
      <c r="I1044" s="3" t="s">
        <v>131</v>
      </c>
    </row>
    <row r="1045" spans="1:9" x14ac:dyDescent="0.25">
      <c r="A1045" t="s">
        <v>3395</v>
      </c>
      <c r="B1045" t="s">
        <v>3396</v>
      </c>
      <c r="C1045" t="s">
        <v>3397</v>
      </c>
      <c r="D1045" t="str" cm="1">
        <f t="array" ref="D1045">_xlfn.TEXTJOIN("", TRUE, IF(ISNUMBER(SEARCH($K$1379:$K$1423, C1045)), $K$1379:$K$1423, ""))</f>
        <v>Coca-Cola</v>
      </c>
      <c r="E1045" t="str">
        <f t="shared" si="32"/>
        <v>Beverages</v>
      </c>
      <c r="F1045" t="str">
        <f t="shared" si="33"/>
        <v>Beverages</v>
      </c>
      <c r="G1045" s="1">
        <v>5.99</v>
      </c>
      <c r="H1045" t="s">
        <v>3330</v>
      </c>
      <c r="I1045" s="3" t="s">
        <v>131</v>
      </c>
    </row>
    <row r="1046" spans="1:9" x14ac:dyDescent="0.25">
      <c r="A1046" t="s">
        <v>3398</v>
      </c>
      <c r="B1046" t="s">
        <v>3399</v>
      </c>
      <c r="C1046" t="s">
        <v>3400</v>
      </c>
      <c r="D1046" t="str" cm="1">
        <f t="array" ref="D1046">_xlfn.TEXTJOIN("", TRUE, IF(ISNUMBER(SEARCH($K$1379:$K$1423, C1046)), $K$1379:$K$1423, ""))</f>
        <v>Coca-Cola</v>
      </c>
      <c r="E1046" t="str">
        <f t="shared" si="32"/>
        <v>Beverages</v>
      </c>
      <c r="F1046" t="str">
        <f t="shared" si="33"/>
        <v>Beverages</v>
      </c>
      <c r="G1046" s="1">
        <v>3.49</v>
      </c>
      <c r="H1046" t="s">
        <v>3334</v>
      </c>
      <c r="I1046" s="3" t="s">
        <v>3335</v>
      </c>
    </row>
    <row r="1047" spans="1:9" x14ac:dyDescent="0.25">
      <c r="A1047" t="s">
        <v>3401</v>
      </c>
      <c r="B1047" t="s">
        <v>3402</v>
      </c>
      <c r="C1047" t="s">
        <v>4394</v>
      </c>
      <c r="D1047" t="str" cm="1">
        <f t="array" ref="D1047">_xlfn.TEXTJOIN("", TRUE, IF(ISNUMBER(SEARCH($K$1379:$K$1423, C1047)), $K$1379:$K$1423, ""))</f>
        <v>Coca-Cola</v>
      </c>
      <c r="E1047" t="str">
        <f t="shared" si="32"/>
        <v>Beverages</v>
      </c>
      <c r="F1047" t="str">
        <f t="shared" si="33"/>
        <v>Beverages</v>
      </c>
      <c r="G1047" s="1">
        <v>10.29</v>
      </c>
      <c r="H1047" t="s">
        <v>3379</v>
      </c>
      <c r="I1047" s="3" t="s">
        <v>436</v>
      </c>
    </row>
    <row r="1048" spans="1:9" x14ac:dyDescent="0.25">
      <c r="A1048" t="s">
        <v>3403</v>
      </c>
      <c r="B1048" t="s">
        <v>3404</v>
      </c>
      <c r="C1048" t="s">
        <v>3405</v>
      </c>
      <c r="D1048" t="str" cm="1">
        <f t="array" ref="D1048">_xlfn.TEXTJOIN("", TRUE, IF(ISNUMBER(SEARCH($K$1379:$K$1423, C1048)), $K$1379:$K$1423, ""))</f>
        <v>Coca-Cola</v>
      </c>
      <c r="E1048" t="str">
        <f t="shared" si="32"/>
        <v>Beverages</v>
      </c>
      <c r="F1048" t="str">
        <f t="shared" si="33"/>
        <v>Beverages</v>
      </c>
      <c r="G1048" s="1">
        <v>10.29</v>
      </c>
      <c r="H1048" t="s">
        <v>3379</v>
      </c>
      <c r="I1048" s="3" t="s">
        <v>436</v>
      </c>
    </row>
    <row r="1049" spans="1:9" x14ac:dyDescent="0.25">
      <c r="A1049" t="s">
        <v>3406</v>
      </c>
      <c r="B1049" t="s">
        <v>3407</v>
      </c>
      <c r="C1049" t="s">
        <v>3408</v>
      </c>
      <c r="D1049" t="str" cm="1">
        <f t="array" ref="D1049">_xlfn.TEXTJOIN("", TRUE, IF(ISNUMBER(SEARCH($K$1379:$K$1423, C1049)), $K$1379:$K$1423, ""))</f>
        <v>Coca-Cola</v>
      </c>
      <c r="E1049" t="str">
        <f t="shared" si="32"/>
        <v>Beverages</v>
      </c>
      <c r="F1049" t="str">
        <f t="shared" si="33"/>
        <v>Beverages</v>
      </c>
      <c r="G1049" s="1">
        <v>5.99</v>
      </c>
      <c r="H1049" t="s">
        <v>3330</v>
      </c>
      <c r="I1049" s="3" t="s">
        <v>131</v>
      </c>
    </row>
    <row r="1050" spans="1:9" x14ac:dyDescent="0.25">
      <c r="A1050" t="s">
        <v>3409</v>
      </c>
      <c r="B1050" t="s">
        <v>3410</v>
      </c>
      <c r="C1050" t="s">
        <v>3400</v>
      </c>
      <c r="D1050" t="str" cm="1">
        <f t="array" ref="D1050">_xlfn.TEXTJOIN("", TRUE, IF(ISNUMBER(SEARCH($K$1379:$K$1423, C1050)), $K$1379:$K$1423, ""))</f>
        <v>Coca-Cola</v>
      </c>
      <c r="E1050" t="str">
        <f t="shared" si="32"/>
        <v>Beverages</v>
      </c>
      <c r="F1050" t="str">
        <f t="shared" si="33"/>
        <v>Beverages</v>
      </c>
      <c r="G1050" s="1">
        <v>1.66</v>
      </c>
      <c r="H1050" t="s">
        <v>3411</v>
      </c>
      <c r="I1050" s="3" t="s">
        <v>3412</v>
      </c>
    </row>
    <row r="1051" spans="1:9" x14ac:dyDescent="0.25">
      <c r="A1051" t="s">
        <v>3413</v>
      </c>
      <c r="B1051" t="s">
        <v>3414</v>
      </c>
      <c r="C1051" t="s">
        <v>3415</v>
      </c>
      <c r="D1051" t="str" cm="1">
        <f t="array" ref="D1051">_xlfn.TEXTJOIN("", TRUE, IF(ISNUMBER(SEARCH($K$1379:$K$1423, C1051)), $K$1379:$K$1423, ""))</f>
        <v>Coca-Cola</v>
      </c>
      <c r="E1051" t="str">
        <f t="shared" si="32"/>
        <v>Beverages</v>
      </c>
      <c r="F1051" t="str">
        <f t="shared" si="33"/>
        <v>Beverages</v>
      </c>
      <c r="G1051" s="1">
        <v>1.66</v>
      </c>
      <c r="H1051" t="s">
        <v>3379</v>
      </c>
      <c r="I1051" s="3" t="s">
        <v>446</v>
      </c>
    </row>
    <row r="1052" spans="1:9" x14ac:dyDescent="0.25">
      <c r="A1052" t="s">
        <v>3416</v>
      </c>
      <c r="B1052" t="s">
        <v>3417</v>
      </c>
      <c r="C1052" t="s">
        <v>3418</v>
      </c>
      <c r="D1052" t="str" cm="1">
        <f t="array" ref="D1052">_xlfn.TEXTJOIN("", TRUE, IF(ISNUMBER(SEARCH($K$1379:$K$1423, C1052)), $K$1379:$K$1423, ""))</f>
        <v>Coca-Cola</v>
      </c>
      <c r="E1052" t="str">
        <f t="shared" si="32"/>
        <v>Beverages</v>
      </c>
      <c r="F1052" t="str">
        <f t="shared" si="33"/>
        <v>Beverages</v>
      </c>
      <c r="G1052" s="1">
        <v>7.49</v>
      </c>
      <c r="H1052" t="s">
        <v>3379</v>
      </c>
      <c r="I1052" s="3" t="s">
        <v>372</v>
      </c>
    </row>
    <row r="1053" spans="1:9" x14ac:dyDescent="0.25">
      <c r="A1053" t="s">
        <v>3419</v>
      </c>
      <c r="B1053" t="s">
        <v>3420</v>
      </c>
      <c r="C1053" t="s">
        <v>3421</v>
      </c>
      <c r="D1053" t="str" cm="1">
        <f t="array" ref="D1053">_xlfn.TEXTJOIN("", TRUE, IF(ISNUMBER(SEARCH($K$1379:$K$1423, C1053)), $K$1379:$K$1423, ""))</f>
        <v>Coca-Cola</v>
      </c>
      <c r="E1053" t="str">
        <f t="shared" si="32"/>
        <v>Beverages</v>
      </c>
      <c r="F1053" t="str">
        <f t="shared" si="33"/>
        <v>Beverages</v>
      </c>
      <c r="G1053" s="1">
        <v>2.99</v>
      </c>
      <c r="H1053" t="s">
        <v>3422</v>
      </c>
      <c r="I1053" s="3" t="s">
        <v>468</v>
      </c>
    </row>
    <row r="1054" spans="1:9" x14ac:dyDescent="0.25">
      <c r="A1054" t="s">
        <v>3423</v>
      </c>
      <c r="B1054" t="s">
        <v>3424</v>
      </c>
      <c r="C1054" t="s">
        <v>3333</v>
      </c>
      <c r="D1054" t="str" cm="1">
        <f t="array" ref="D1054">_xlfn.TEXTJOIN("", TRUE, IF(ISNUMBER(SEARCH($K$1379:$K$1423, C1054)), $K$1379:$K$1423, ""))</f>
        <v>Coca-Cola</v>
      </c>
      <c r="E1054" t="str">
        <f t="shared" si="32"/>
        <v>Beverages</v>
      </c>
      <c r="F1054" t="str">
        <f t="shared" si="33"/>
        <v>Beverages</v>
      </c>
      <c r="G1054" s="1">
        <v>2.69</v>
      </c>
      <c r="H1054" t="s">
        <v>3422</v>
      </c>
      <c r="I1054" s="3" t="s">
        <v>131</v>
      </c>
    </row>
    <row r="1055" spans="1:9" x14ac:dyDescent="0.25">
      <c r="A1055" t="s">
        <v>3425</v>
      </c>
      <c r="B1055" t="s">
        <v>3426</v>
      </c>
      <c r="C1055" t="s">
        <v>4393</v>
      </c>
      <c r="D1055" t="str" cm="1">
        <f t="array" ref="D1055">_xlfn.TEXTJOIN("", TRUE, IF(ISNUMBER(SEARCH($K$1379:$K$1423, C1055)), $K$1379:$K$1423, ""))</f>
        <v>Coca-Cola</v>
      </c>
      <c r="E1055" t="str">
        <f t="shared" si="32"/>
        <v>Beverages</v>
      </c>
      <c r="F1055" t="str">
        <f t="shared" si="33"/>
        <v>Beverages</v>
      </c>
      <c r="G1055" s="1">
        <v>5.99</v>
      </c>
      <c r="H1055" t="s">
        <v>3330</v>
      </c>
      <c r="I1055" s="3" t="s">
        <v>131</v>
      </c>
    </row>
    <row r="1056" spans="1:9" x14ac:dyDescent="0.25">
      <c r="A1056" t="s">
        <v>3427</v>
      </c>
      <c r="B1056" t="s">
        <v>3428</v>
      </c>
      <c r="C1056" t="s">
        <v>3429</v>
      </c>
      <c r="D1056" t="str" cm="1">
        <f t="array" ref="D1056">_xlfn.TEXTJOIN("", TRUE, IF(ISNUMBER(SEARCH($K$1379:$K$1423, C1056)), $K$1379:$K$1423, ""))</f>
        <v>Coca-Cola</v>
      </c>
      <c r="E1056" t="str">
        <f t="shared" si="32"/>
        <v>Beverages</v>
      </c>
      <c r="F1056" t="str">
        <f t="shared" si="33"/>
        <v>Beverages</v>
      </c>
      <c r="G1056" s="1">
        <v>7.49</v>
      </c>
      <c r="H1056" t="s">
        <v>3430</v>
      </c>
      <c r="I1056" s="3" t="s">
        <v>372</v>
      </c>
    </row>
    <row r="1057" spans="1:9" x14ac:dyDescent="0.25">
      <c r="A1057" t="s">
        <v>3431</v>
      </c>
      <c r="B1057" t="s">
        <v>3432</v>
      </c>
      <c r="C1057" t="s">
        <v>3433</v>
      </c>
      <c r="D1057" t="str" cm="1">
        <f t="array" ref="D1057">_xlfn.TEXTJOIN("", TRUE, IF(ISNUMBER(SEARCH($K$1379:$K$1423, C1057)), $K$1379:$K$1423, ""))</f>
        <v>Coca-Cola</v>
      </c>
      <c r="E1057" t="str">
        <f t="shared" si="32"/>
        <v>Beverages</v>
      </c>
      <c r="F1057" t="str">
        <f t="shared" si="33"/>
        <v>Beverages</v>
      </c>
      <c r="G1057" s="1">
        <v>2.99</v>
      </c>
      <c r="H1057" t="s">
        <v>3422</v>
      </c>
      <c r="I1057" s="3" t="s">
        <v>468</v>
      </c>
    </row>
    <row r="1058" spans="1:9" x14ac:dyDescent="0.25">
      <c r="A1058" t="s">
        <v>3434</v>
      </c>
      <c r="B1058" t="s">
        <v>3435</v>
      </c>
      <c r="C1058" t="s">
        <v>3366</v>
      </c>
      <c r="D1058" t="str" cm="1">
        <f t="array" ref="D1058">_xlfn.TEXTJOIN("", TRUE, IF(ISNUMBER(SEARCH($K$1379:$K$1423, C1058)), $K$1379:$K$1423, ""))</f>
        <v>Coca-Cola</v>
      </c>
      <c r="E1058" t="str">
        <f t="shared" si="32"/>
        <v>Beverages</v>
      </c>
      <c r="F1058" t="str">
        <f t="shared" si="33"/>
        <v>Beverages</v>
      </c>
      <c r="G1058" s="1">
        <v>2.69</v>
      </c>
      <c r="H1058" t="s">
        <v>3422</v>
      </c>
      <c r="I1058" s="3" t="s">
        <v>131</v>
      </c>
    </row>
    <row r="1059" spans="1:9" x14ac:dyDescent="0.25">
      <c r="A1059" t="s">
        <v>3436</v>
      </c>
      <c r="B1059" t="s">
        <v>3437</v>
      </c>
      <c r="C1059" t="s">
        <v>4392</v>
      </c>
      <c r="D1059" t="str" cm="1">
        <f t="array" ref="D1059">_xlfn.TEXTJOIN("", TRUE, IF(ISNUMBER(SEARCH($K$1379:$K$1423, C1059)), $K$1379:$K$1423, ""))</f>
        <v>Coca-Cola</v>
      </c>
      <c r="E1059" t="str">
        <f t="shared" si="32"/>
        <v>Beverages</v>
      </c>
      <c r="F1059" t="str">
        <f t="shared" si="33"/>
        <v>Beverages</v>
      </c>
      <c r="G1059" s="1">
        <v>2.69</v>
      </c>
      <c r="H1059" t="s">
        <v>3422</v>
      </c>
      <c r="I1059" s="3" t="s">
        <v>131</v>
      </c>
    </row>
    <row r="1060" spans="1:9" x14ac:dyDescent="0.25">
      <c r="A1060" t="s">
        <v>3438</v>
      </c>
      <c r="B1060" t="s">
        <v>3439</v>
      </c>
      <c r="C1060" t="s">
        <v>3400</v>
      </c>
      <c r="D1060" t="str" cm="1">
        <f t="array" ref="D1060">_xlfn.TEXTJOIN("", TRUE, IF(ISNUMBER(SEARCH($K$1379:$K$1423, C1060)), $K$1379:$K$1423, ""))</f>
        <v>Coca-Cola</v>
      </c>
      <c r="E1060" t="str">
        <f t="shared" si="32"/>
        <v>Beverages</v>
      </c>
      <c r="F1060" t="str">
        <f t="shared" si="33"/>
        <v>Beverages</v>
      </c>
      <c r="G1060" s="1">
        <v>2.99</v>
      </c>
      <c r="H1060" t="s">
        <v>3422</v>
      </c>
      <c r="I1060" s="3" t="s">
        <v>468</v>
      </c>
    </row>
    <row r="1061" spans="1:9" x14ac:dyDescent="0.25">
      <c r="A1061" t="s">
        <v>3440</v>
      </c>
      <c r="B1061" t="s">
        <v>3441</v>
      </c>
      <c r="C1061" t="s">
        <v>3442</v>
      </c>
      <c r="D1061" t="str" cm="1">
        <f t="array" ref="D1061">_xlfn.TEXTJOIN("", TRUE, IF(ISNUMBER(SEARCH($K$1379:$K$1423, C1061)), $K$1379:$K$1423, ""))</f>
        <v>Coca-Cola</v>
      </c>
      <c r="E1061" t="str">
        <f t="shared" si="32"/>
        <v>Beverages</v>
      </c>
      <c r="F1061" t="str">
        <f t="shared" si="33"/>
        <v>Beverages</v>
      </c>
      <c r="G1061" s="1">
        <v>7.49</v>
      </c>
      <c r="H1061" t="s">
        <v>3430</v>
      </c>
      <c r="I1061" s="3" t="s">
        <v>372</v>
      </c>
    </row>
    <row r="1062" spans="1:9" x14ac:dyDescent="0.25">
      <c r="A1062" t="s">
        <v>3443</v>
      </c>
      <c r="B1062" t="s">
        <v>3444</v>
      </c>
      <c r="C1062" t="s">
        <v>3445</v>
      </c>
      <c r="D1062" t="str" cm="1">
        <f t="array" ref="D1062">_xlfn.TEXTJOIN("", TRUE, IF(ISNUMBER(SEARCH($K$1379:$K$1423, C1062)), $K$1379:$K$1423, ""))</f>
        <v>Coca-Cola</v>
      </c>
      <c r="E1062" t="str">
        <f t="shared" si="32"/>
        <v>Beverages</v>
      </c>
      <c r="F1062" t="str">
        <f t="shared" si="33"/>
        <v>Beverages</v>
      </c>
      <c r="G1062" s="1">
        <v>7.49</v>
      </c>
      <c r="H1062" t="s">
        <v>3430</v>
      </c>
      <c r="I1062" s="3" t="s">
        <v>2604</v>
      </c>
    </row>
    <row r="1063" spans="1:9" x14ac:dyDescent="0.25">
      <c r="A1063" t="s">
        <v>3446</v>
      </c>
      <c r="B1063" t="s">
        <v>3447</v>
      </c>
      <c r="C1063" t="s">
        <v>4391</v>
      </c>
      <c r="D1063" t="str" cm="1">
        <f t="array" ref="D1063">_xlfn.TEXTJOIN("", TRUE, IF(ISNUMBER(SEARCH($K$1379:$K$1423, C1063)), $K$1379:$K$1423, ""))</f>
        <v>San Pellegrino</v>
      </c>
      <c r="E1063" t="str">
        <f t="shared" si="32"/>
        <v>Beverages</v>
      </c>
      <c r="F1063" t="str">
        <f t="shared" si="33"/>
        <v>Beverages</v>
      </c>
      <c r="G1063" s="1">
        <v>2.59</v>
      </c>
      <c r="H1063" t="s">
        <v>3449</v>
      </c>
      <c r="I1063" s="3" t="s">
        <v>918</v>
      </c>
    </row>
    <row r="1064" spans="1:9" x14ac:dyDescent="0.25">
      <c r="A1064" t="s">
        <v>3450</v>
      </c>
      <c r="B1064" t="s">
        <v>3451</v>
      </c>
      <c r="C1064" t="s">
        <v>4391</v>
      </c>
      <c r="D1064" t="str" cm="1">
        <f t="array" ref="D1064">_xlfn.TEXTJOIN("", TRUE, IF(ISNUMBER(SEARCH($K$1379:$K$1423, C1064)), $K$1379:$K$1423, ""))</f>
        <v>San Pellegrino</v>
      </c>
      <c r="E1064" t="str">
        <f t="shared" si="32"/>
        <v>Beverages</v>
      </c>
      <c r="F1064" t="str">
        <f t="shared" si="33"/>
        <v>Beverages</v>
      </c>
      <c r="G1064" s="1">
        <v>2.59</v>
      </c>
      <c r="H1064" t="s">
        <v>3452</v>
      </c>
      <c r="I1064" s="3" t="s">
        <v>993</v>
      </c>
    </row>
    <row r="1065" spans="1:9" x14ac:dyDescent="0.25">
      <c r="A1065" t="s">
        <v>3453</v>
      </c>
      <c r="B1065" t="s">
        <v>3454</v>
      </c>
      <c r="C1065" t="s">
        <v>4390</v>
      </c>
      <c r="D1065" t="str" cm="1">
        <f t="array" ref="D1065">_xlfn.TEXTJOIN("", TRUE, IF(ISNUMBER(SEARCH($K$1379:$K$1423, C1065)), $K$1379:$K$1423, ""))</f>
        <v>San Pellegrino</v>
      </c>
      <c r="E1065" t="str">
        <f t="shared" si="32"/>
        <v>Beverages</v>
      </c>
      <c r="F1065" t="str">
        <f t="shared" si="33"/>
        <v>Beverages</v>
      </c>
      <c r="G1065" s="1">
        <v>8.2899999999999991</v>
      </c>
      <c r="H1065" t="s">
        <v>3455</v>
      </c>
      <c r="I1065" s="3" t="s">
        <v>1029</v>
      </c>
    </row>
    <row r="1066" spans="1:9" x14ac:dyDescent="0.25">
      <c r="A1066" t="s">
        <v>3456</v>
      </c>
      <c r="B1066" t="s">
        <v>3457</v>
      </c>
      <c r="C1066" t="s">
        <v>4389</v>
      </c>
      <c r="D1066" t="str" cm="1">
        <f t="array" ref="D1066">_xlfn.TEXTJOIN("", TRUE, IF(ISNUMBER(SEARCH($K$1379:$K$1423, C1066)), $K$1379:$K$1423, ""))</f>
        <v>San Pellegrino</v>
      </c>
      <c r="E1066" t="str">
        <f t="shared" si="32"/>
        <v>Beverages</v>
      </c>
      <c r="F1066" t="str">
        <f t="shared" si="33"/>
        <v>Beverages</v>
      </c>
      <c r="G1066" s="1">
        <v>17.190000000000001</v>
      </c>
      <c r="H1066" t="s">
        <v>3318</v>
      </c>
      <c r="I1066" s="3" t="s">
        <v>993</v>
      </c>
    </row>
    <row r="1067" spans="1:9" x14ac:dyDescent="0.25">
      <c r="A1067" t="s">
        <v>3458</v>
      </c>
      <c r="B1067" t="s">
        <v>3459</v>
      </c>
      <c r="C1067" t="s">
        <v>4388</v>
      </c>
      <c r="D1067" t="str" cm="1">
        <f t="array" ref="D1067">_xlfn.TEXTJOIN("", TRUE, IF(ISNUMBER(SEARCH($K$1379:$K$1423, C1067)), $K$1379:$K$1423, ""))</f>
        <v>San Pellegrino</v>
      </c>
      <c r="E1067" t="str">
        <f t="shared" si="32"/>
        <v>Beverages</v>
      </c>
      <c r="F1067" t="str">
        <f t="shared" si="33"/>
        <v>Beverages</v>
      </c>
      <c r="G1067" s="1">
        <v>6.79</v>
      </c>
      <c r="H1067" t="s">
        <v>3460</v>
      </c>
      <c r="I1067" s="3" t="s">
        <v>131</v>
      </c>
    </row>
    <row r="1068" spans="1:9" x14ac:dyDescent="0.25">
      <c r="A1068" t="s">
        <v>3461</v>
      </c>
      <c r="B1068" t="s">
        <v>3462</v>
      </c>
      <c r="C1068" t="s">
        <v>3463</v>
      </c>
      <c r="D1068" t="str" cm="1">
        <f t="array" ref="D1068">_xlfn.TEXTJOIN("", TRUE, IF(ISNUMBER(SEARCH($K$1379:$K$1423, C1068)), $K$1379:$K$1423, ""))</f>
        <v>San Pellegrino</v>
      </c>
      <c r="E1068" t="str">
        <f t="shared" si="32"/>
        <v>Beverages</v>
      </c>
      <c r="F1068" t="str">
        <f t="shared" si="33"/>
        <v>Beverages</v>
      </c>
      <c r="G1068" s="1">
        <v>6.99</v>
      </c>
      <c r="H1068" t="s">
        <v>3464</v>
      </c>
      <c r="I1068" s="3" t="s">
        <v>918</v>
      </c>
    </row>
    <row r="1069" spans="1:9" x14ac:dyDescent="0.25">
      <c r="A1069" t="s">
        <v>3465</v>
      </c>
      <c r="B1069" t="s">
        <v>3466</v>
      </c>
      <c r="C1069" t="s">
        <v>3467</v>
      </c>
      <c r="D1069" t="str" cm="1">
        <f t="array" ref="D1069">_xlfn.TEXTJOIN("", TRUE, IF(ISNUMBER(SEARCH($K$1379:$K$1423, C1069)), $K$1379:$K$1423, ""))</f>
        <v>San Pellegrino</v>
      </c>
      <c r="E1069" t="str">
        <f t="shared" si="32"/>
        <v>Beverages</v>
      </c>
      <c r="F1069" t="str">
        <f t="shared" si="33"/>
        <v>Beverages</v>
      </c>
      <c r="G1069" s="1">
        <v>6.99</v>
      </c>
      <c r="H1069" t="s">
        <v>3468</v>
      </c>
      <c r="I1069" s="3" t="s">
        <v>918</v>
      </c>
    </row>
    <row r="1070" spans="1:9" x14ac:dyDescent="0.25">
      <c r="A1070" t="s">
        <v>3469</v>
      </c>
      <c r="B1070" t="s">
        <v>3470</v>
      </c>
      <c r="C1070" t="s">
        <v>3471</v>
      </c>
      <c r="D1070" t="str" cm="1">
        <f t="array" ref="D1070">_xlfn.TEXTJOIN("", TRUE, IF(ISNUMBER(SEARCH($K$1379:$K$1423, C1070)), $K$1379:$K$1423, ""))</f>
        <v>San Pellegrino</v>
      </c>
      <c r="E1070" t="str">
        <f t="shared" si="32"/>
        <v>Beverages</v>
      </c>
      <c r="F1070" t="str">
        <f t="shared" si="33"/>
        <v>Beverages</v>
      </c>
      <c r="G1070" s="1">
        <v>6.99</v>
      </c>
      <c r="H1070" t="s">
        <v>3464</v>
      </c>
      <c r="I1070" s="3" t="s">
        <v>918</v>
      </c>
    </row>
    <row r="1071" spans="1:9" x14ac:dyDescent="0.25">
      <c r="A1071" t="s">
        <v>3472</v>
      </c>
      <c r="B1071" t="s">
        <v>3473</v>
      </c>
      <c r="C1071" t="s">
        <v>3474</v>
      </c>
      <c r="D1071" t="str" cm="1">
        <f t="array" ref="D1071">_xlfn.TEXTJOIN("", TRUE, IF(ISNUMBER(SEARCH($K$1379:$K$1423, C1071)), $K$1379:$K$1423, ""))</f>
        <v>San Pellegrino</v>
      </c>
      <c r="E1071" t="str">
        <f t="shared" si="32"/>
        <v>Beverages</v>
      </c>
      <c r="F1071" t="str">
        <f t="shared" si="33"/>
        <v>Beverages</v>
      </c>
      <c r="G1071" s="1">
        <v>6.99</v>
      </c>
      <c r="H1071" t="s">
        <v>3468</v>
      </c>
      <c r="I1071" s="3" t="s">
        <v>918</v>
      </c>
    </row>
    <row r="1072" spans="1:9" x14ac:dyDescent="0.25">
      <c r="A1072" t="s">
        <v>3475</v>
      </c>
      <c r="B1072" t="s">
        <v>3476</v>
      </c>
      <c r="C1072" t="s">
        <v>3477</v>
      </c>
      <c r="D1072" t="str" cm="1">
        <f t="array" ref="D1072">_xlfn.TEXTJOIN("", TRUE, IF(ISNUMBER(SEARCH($K$1379:$K$1423, C1072)), $K$1379:$K$1423, ""))</f>
        <v>San Pellegrino</v>
      </c>
      <c r="E1072" t="str">
        <f t="shared" si="32"/>
        <v>Beverages</v>
      </c>
      <c r="F1072" t="str">
        <f t="shared" si="33"/>
        <v>Beverages</v>
      </c>
      <c r="G1072" s="1">
        <v>6.99</v>
      </c>
      <c r="H1072" t="s">
        <v>3468</v>
      </c>
      <c r="I1072" s="3" t="s">
        <v>918</v>
      </c>
    </row>
    <row r="1073" spans="1:9" x14ac:dyDescent="0.25">
      <c r="A1073" t="s">
        <v>3478</v>
      </c>
      <c r="B1073" t="s">
        <v>3479</v>
      </c>
      <c r="C1073" t="s">
        <v>3480</v>
      </c>
      <c r="D1073" t="str" cm="1">
        <f t="array" ref="D1073">_xlfn.TEXTJOIN("", TRUE, IF(ISNUMBER(SEARCH($K$1379:$K$1423, C1073)), $K$1379:$K$1423, ""))</f>
        <v>San Pellegrino</v>
      </c>
      <c r="E1073" t="str">
        <f t="shared" si="32"/>
        <v>Beverages</v>
      </c>
      <c r="F1073" t="str">
        <f t="shared" si="33"/>
        <v>Beverages</v>
      </c>
      <c r="G1073" s="1">
        <v>6.99</v>
      </c>
      <c r="H1073" t="s">
        <v>3468</v>
      </c>
      <c r="I1073" s="3" t="s">
        <v>918</v>
      </c>
    </row>
    <row r="1074" spans="1:9" x14ac:dyDescent="0.25">
      <c r="A1074" t="s">
        <v>3481</v>
      </c>
      <c r="B1074" t="s">
        <v>3482</v>
      </c>
      <c r="C1074" t="s">
        <v>3483</v>
      </c>
      <c r="D1074" t="str" cm="1">
        <f t="array" ref="D1074">_xlfn.TEXTJOIN("", TRUE, IF(ISNUMBER(SEARCH($K$1379:$K$1423, C1074)), $K$1379:$K$1423, ""))</f>
        <v>San Pellegrino</v>
      </c>
      <c r="E1074" t="str">
        <f t="shared" si="32"/>
        <v>Beverages</v>
      </c>
      <c r="F1074" t="str">
        <f t="shared" si="33"/>
        <v>Beverages</v>
      </c>
      <c r="G1074" s="1">
        <v>4.99</v>
      </c>
      <c r="H1074" t="s">
        <v>3464</v>
      </c>
      <c r="I1074" s="3" t="s">
        <v>1466</v>
      </c>
    </row>
    <row r="1075" spans="1:9" x14ac:dyDescent="0.25">
      <c r="A1075" t="s">
        <v>3484</v>
      </c>
      <c r="B1075" t="s">
        <v>3485</v>
      </c>
      <c r="C1075" t="s">
        <v>3486</v>
      </c>
      <c r="D1075" t="str" cm="1">
        <f t="array" ref="D1075">_xlfn.TEXTJOIN("", TRUE, IF(ISNUMBER(SEARCH($K$1379:$K$1423, C1075)), $K$1379:$K$1423, ""))</f>
        <v>San Pellegrino</v>
      </c>
      <c r="E1075" t="str">
        <f t="shared" si="32"/>
        <v>Beverages</v>
      </c>
      <c r="F1075" t="str">
        <f t="shared" si="33"/>
        <v>Beverages</v>
      </c>
      <c r="G1075" s="1">
        <v>4.99</v>
      </c>
      <c r="H1075" t="s">
        <v>3464</v>
      </c>
      <c r="I1075" s="3" t="s">
        <v>1466</v>
      </c>
    </row>
    <row r="1076" spans="1:9" x14ac:dyDescent="0.25">
      <c r="A1076" t="s">
        <v>3487</v>
      </c>
      <c r="B1076" t="s">
        <v>3488</v>
      </c>
      <c r="C1076" t="s">
        <v>3489</v>
      </c>
      <c r="D1076" t="str" cm="1">
        <f t="array" ref="D1076">_xlfn.TEXTJOIN("", TRUE, IF(ISNUMBER(SEARCH($K$1379:$K$1423, C1076)), $K$1379:$K$1423, ""))</f>
        <v>San Pellegrino</v>
      </c>
      <c r="E1076" t="str">
        <f t="shared" si="32"/>
        <v>Beverages</v>
      </c>
      <c r="F1076" t="str">
        <f t="shared" si="33"/>
        <v>Beverages</v>
      </c>
      <c r="G1076" s="1">
        <v>4.99</v>
      </c>
      <c r="H1076" t="s">
        <v>3464</v>
      </c>
      <c r="I1076" s="3" t="s">
        <v>1466</v>
      </c>
    </row>
    <row r="1077" spans="1:9" x14ac:dyDescent="0.25">
      <c r="A1077" t="s">
        <v>3490</v>
      </c>
      <c r="B1077" t="s">
        <v>3491</v>
      </c>
      <c r="C1077" t="s">
        <v>3492</v>
      </c>
      <c r="D1077" t="str" cm="1">
        <f t="array" ref="D1077">_xlfn.TEXTJOIN("", TRUE, IF(ISNUMBER(SEARCH($K$1379:$K$1423, C1077)), $K$1379:$K$1423, ""))</f>
        <v>San Pellegrino</v>
      </c>
      <c r="E1077" t="str">
        <f t="shared" si="32"/>
        <v>Beverages</v>
      </c>
      <c r="F1077" t="str">
        <f t="shared" si="33"/>
        <v>Beverages</v>
      </c>
      <c r="G1077" s="1">
        <v>4.99</v>
      </c>
      <c r="H1077" t="s">
        <v>3464</v>
      </c>
      <c r="I1077" s="3" t="s">
        <v>1466</v>
      </c>
    </row>
    <row r="1078" spans="1:9" x14ac:dyDescent="0.25">
      <c r="A1078" t="s">
        <v>3493</v>
      </c>
      <c r="B1078" t="s">
        <v>3494</v>
      </c>
      <c r="C1078" t="s">
        <v>3495</v>
      </c>
      <c r="D1078" t="str" cm="1">
        <f t="array" ref="D1078">_xlfn.TEXTJOIN("", TRUE, IF(ISNUMBER(SEARCH($K$1379:$K$1423, C1078)), $K$1379:$K$1423, ""))</f>
        <v>Gatorade</v>
      </c>
      <c r="E1078" t="str">
        <f t="shared" si="32"/>
        <v>Beverages</v>
      </c>
      <c r="F1078" t="str">
        <f t="shared" si="33"/>
        <v>Beverages</v>
      </c>
      <c r="G1078" s="1">
        <v>7.99</v>
      </c>
      <c r="H1078" t="s">
        <v>3422</v>
      </c>
      <c r="I1078" t="s">
        <v>3335</v>
      </c>
    </row>
    <row r="1079" spans="1:9" x14ac:dyDescent="0.25">
      <c r="A1079" t="s">
        <v>3497</v>
      </c>
      <c r="B1079" t="s">
        <v>3498</v>
      </c>
      <c r="C1079" t="s">
        <v>3499</v>
      </c>
      <c r="D1079" t="str" cm="1">
        <f t="array" ref="D1079">_xlfn.TEXTJOIN("", TRUE, IF(ISNUMBER(SEARCH($K$1379:$K$1423, C1079)), $K$1379:$K$1423, ""))</f>
        <v>Gatorade</v>
      </c>
      <c r="E1079" t="str">
        <f t="shared" si="32"/>
        <v>Beverages</v>
      </c>
      <c r="F1079" t="str">
        <f t="shared" si="33"/>
        <v>Beverages</v>
      </c>
      <c r="G1079" s="1">
        <v>6.29</v>
      </c>
      <c r="H1079" t="s">
        <v>3379</v>
      </c>
      <c r="I1079" t="s">
        <v>1029</v>
      </c>
    </row>
    <row r="1080" spans="1:9" x14ac:dyDescent="0.25">
      <c r="A1080" t="s">
        <v>3500</v>
      </c>
      <c r="B1080" t="s">
        <v>3501</v>
      </c>
      <c r="C1080" t="s">
        <v>3502</v>
      </c>
      <c r="D1080" t="str" cm="1">
        <f t="array" ref="D1080">_xlfn.TEXTJOIN("", TRUE, IF(ISNUMBER(SEARCH($K$1379:$K$1423, C1080)), $K$1379:$K$1423, ""))</f>
        <v>Gatorade</v>
      </c>
      <c r="E1080" t="str">
        <f t="shared" si="32"/>
        <v>Beverages</v>
      </c>
      <c r="F1080" t="str">
        <f t="shared" si="33"/>
        <v>Beverages</v>
      </c>
      <c r="G1080" s="1">
        <v>7.99</v>
      </c>
      <c r="H1080" t="s">
        <v>3422</v>
      </c>
      <c r="I1080" t="s">
        <v>3335</v>
      </c>
    </row>
    <row r="1081" spans="1:9" x14ac:dyDescent="0.25">
      <c r="A1081" t="s">
        <v>3503</v>
      </c>
      <c r="B1081" t="s">
        <v>3504</v>
      </c>
      <c r="C1081" t="s">
        <v>3505</v>
      </c>
      <c r="D1081" t="str" cm="1">
        <f t="array" ref="D1081">_xlfn.TEXTJOIN("", TRUE, IF(ISNUMBER(SEARCH($K$1379:$K$1423, C1081)), $K$1379:$K$1423, ""))</f>
        <v>Gatorade</v>
      </c>
      <c r="E1081" t="str">
        <f t="shared" si="32"/>
        <v>Beverages</v>
      </c>
      <c r="F1081" t="str">
        <f t="shared" si="33"/>
        <v>Beverages</v>
      </c>
      <c r="G1081" s="1">
        <v>7.99</v>
      </c>
      <c r="H1081" t="s">
        <v>3422</v>
      </c>
      <c r="I1081" t="s">
        <v>3335</v>
      </c>
    </row>
    <row r="1082" spans="1:9" x14ac:dyDescent="0.25">
      <c r="A1082" t="s">
        <v>3506</v>
      </c>
      <c r="B1082" t="s">
        <v>3507</v>
      </c>
      <c r="C1082" t="s">
        <v>3508</v>
      </c>
      <c r="D1082" t="str" cm="1">
        <f t="array" ref="D1082">_xlfn.TEXTJOIN("", TRUE, IF(ISNUMBER(SEARCH($K$1379:$K$1423, C1082)), $K$1379:$K$1423, ""))</f>
        <v>Gatorade</v>
      </c>
      <c r="E1082" t="str">
        <f t="shared" si="32"/>
        <v>Beverages</v>
      </c>
      <c r="F1082" t="str">
        <f t="shared" si="33"/>
        <v>Beverages</v>
      </c>
      <c r="G1082" s="1">
        <v>6.29</v>
      </c>
      <c r="H1082" t="s">
        <v>3379</v>
      </c>
      <c r="I1082" t="s">
        <v>1029</v>
      </c>
    </row>
    <row r="1083" spans="1:9" x14ac:dyDescent="0.25">
      <c r="A1083" t="s">
        <v>3509</v>
      </c>
      <c r="B1083" t="s">
        <v>3056</v>
      </c>
      <c r="C1083" t="s">
        <v>3510</v>
      </c>
      <c r="D1083" t="str" cm="1">
        <f t="array" ref="D1083">_xlfn.TEXTJOIN("", TRUE, IF(ISNUMBER(SEARCH($K$1379:$K$1423, C1083)), $K$1379:$K$1423, ""))</f>
        <v>Gatorade</v>
      </c>
      <c r="E1083" t="str">
        <f t="shared" si="32"/>
        <v>Beverages</v>
      </c>
      <c r="F1083" t="str">
        <f t="shared" si="33"/>
        <v>Beverages</v>
      </c>
      <c r="G1083" s="1">
        <v>6.29</v>
      </c>
      <c r="H1083" t="s">
        <v>3379</v>
      </c>
      <c r="I1083" t="s">
        <v>1029</v>
      </c>
    </row>
    <row r="1084" spans="1:9" x14ac:dyDescent="0.25">
      <c r="A1084" t="s">
        <v>3511</v>
      </c>
      <c r="B1084" t="s">
        <v>3056</v>
      </c>
      <c r="C1084" t="s">
        <v>3512</v>
      </c>
      <c r="D1084" t="str" cm="1">
        <f t="array" ref="D1084">_xlfn.TEXTJOIN("", TRUE, IF(ISNUMBER(SEARCH($K$1379:$K$1423, C1084)), $K$1379:$K$1423, ""))</f>
        <v>Gatorade</v>
      </c>
      <c r="E1084" t="str">
        <f t="shared" si="32"/>
        <v>Beverages</v>
      </c>
      <c r="F1084" t="str">
        <f t="shared" si="33"/>
        <v>Beverages</v>
      </c>
      <c r="G1084" s="1">
        <v>7.99</v>
      </c>
      <c r="H1084" t="s">
        <v>3422</v>
      </c>
      <c r="I1084" t="s">
        <v>3335</v>
      </c>
    </row>
    <row r="1085" spans="1:9" x14ac:dyDescent="0.25">
      <c r="A1085" t="s">
        <v>3513</v>
      </c>
      <c r="B1085" t="s">
        <v>3056</v>
      </c>
      <c r="C1085" t="s">
        <v>3514</v>
      </c>
      <c r="D1085" t="str" cm="1">
        <f t="array" ref="D1085">_xlfn.TEXTJOIN("", TRUE, IF(ISNUMBER(SEARCH($K$1379:$K$1423, C1085)), $K$1379:$K$1423, ""))</f>
        <v>Gatorade</v>
      </c>
      <c r="E1085" t="str">
        <f t="shared" si="32"/>
        <v>Beverages</v>
      </c>
      <c r="F1085" t="str">
        <f t="shared" si="33"/>
        <v>Beverages</v>
      </c>
      <c r="G1085" s="1">
        <v>1.33</v>
      </c>
      <c r="H1085" t="s">
        <v>3515</v>
      </c>
      <c r="I1085" t="s">
        <v>3335</v>
      </c>
    </row>
    <row r="1086" spans="1:9" x14ac:dyDescent="0.25">
      <c r="A1086" t="s">
        <v>3516</v>
      </c>
      <c r="B1086" t="s">
        <v>3056</v>
      </c>
      <c r="C1086" t="s">
        <v>3517</v>
      </c>
      <c r="D1086" t="str" cm="1">
        <f t="array" ref="D1086">_xlfn.TEXTJOIN("", TRUE, IF(ISNUMBER(SEARCH($K$1379:$K$1423, C1086)), $K$1379:$K$1423, ""))</f>
        <v>Gatorade</v>
      </c>
      <c r="E1086" t="str">
        <f t="shared" si="32"/>
        <v>Beverages</v>
      </c>
      <c r="F1086" t="str">
        <f t="shared" si="33"/>
        <v>Beverages</v>
      </c>
      <c r="G1086" s="1">
        <v>7.99</v>
      </c>
      <c r="H1086" t="s">
        <v>3422</v>
      </c>
      <c r="I1086" t="s">
        <v>3335</v>
      </c>
    </row>
    <row r="1087" spans="1:9" x14ac:dyDescent="0.25">
      <c r="A1087" t="s">
        <v>3518</v>
      </c>
      <c r="B1087" t="s">
        <v>3056</v>
      </c>
      <c r="C1087" t="s">
        <v>3519</v>
      </c>
      <c r="D1087" t="str" cm="1">
        <f t="array" ref="D1087">_xlfn.TEXTJOIN("", TRUE, IF(ISNUMBER(SEARCH($K$1379:$K$1423, C1087)), $K$1379:$K$1423, ""))</f>
        <v>Gatorade</v>
      </c>
      <c r="E1087" t="str">
        <f t="shared" si="32"/>
        <v>Beverages</v>
      </c>
      <c r="F1087" t="str">
        <f t="shared" si="33"/>
        <v>Beverages</v>
      </c>
      <c r="G1087" s="1">
        <v>6.29</v>
      </c>
      <c r="H1087" t="s">
        <v>3379</v>
      </c>
      <c r="I1087" t="s">
        <v>1029</v>
      </c>
    </row>
    <row r="1088" spans="1:9" x14ac:dyDescent="0.25">
      <c r="A1088" t="s">
        <v>3520</v>
      </c>
      <c r="B1088" t="s">
        <v>3056</v>
      </c>
      <c r="C1088" t="s">
        <v>3521</v>
      </c>
      <c r="D1088" t="str" cm="1">
        <f t="array" ref="D1088">_xlfn.TEXTJOIN("", TRUE, IF(ISNUMBER(SEARCH($K$1379:$K$1423, C1088)), $K$1379:$K$1423, ""))</f>
        <v>Gatorade</v>
      </c>
      <c r="E1088" t="str">
        <f t="shared" si="32"/>
        <v>Beverages</v>
      </c>
      <c r="F1088" t="str">
        <f t="shared" si="33"/>
        <v>Beverages</v>
      </c>
      <c r="G1088" s="1">
        <v>7.99</v>
      </c>
      <c r="H1088" t="s">
        <v>3422</v>
      </c>
      <c r="I1088" t="s">
        <v>3335</v>
      </c>
    </row>
    <row r="1089" spans="1:9" x14ac:dyDescent="0.25">
      <c r="A1089" t="s">
        <v>3522</v>
      </c>
      <c r="B1089" t="s">
        <v>3056</v>
      </c>
      <c r="C1089" t="s">
        <v>3523</v>
      </c>
      <c r="D1089" t="str" cm="1">
        <f t="array" ref="D1089">_xlfn.TEXTJOIN("", TRUE, IF(ISNUMBER(SEARCH($K$1379:$K$1423, C1089)), $K$1379:$K$1423, ""))</f>
        <v>Gatorade</v>
      </c>
      <c r="E1089" t="str">
        <f t="shared" si="32"/>
        <v>Beverages</v>
      </c>
      <c r="F1089" t="str">
        <f t="shared" si="33"/>
        <v>Beverages</v>
      </c>
      <c r="G1089" s="1">
        <v>1.33</v>
      </c>
      <c r="H1089" t="s">
        <v>3515</v>
      </c>
      <c r="I1089" t="s">
        <v>3335</v>
      </c>
    </row>
    <row r="1090" spans="1:9" x14ac:dyDescent="0.25">
      <c r="A1090" t="s">
        <v>3524</v>
      </c>
      <c r="B1090" t="s">
        <v>3056</v>
      </c>
      <c r="C1090" t="s">
        <v>3525</v>
      </c>
      <c r="D1090" t="str" cm="1">
        <f t="array" ref="D1090">_xlfn.TEXTJOIN("", TRUE, IF(ISNUMBER(SEARCH($K$1379:$K$1423, C1090)), $K$1379:$K$1423, ""))</f>
        <v>Gatorade</v>
      </c>
      <c r="E1090" t="str">
        <f t="shared" ref="E1090:E1153" si="34">IF(OR(D1090="Mission",D1090="Nature's Own",D1090="Sara Lee"),"Bread",
IF(OR(D1090="Del Monte",D1090="Dole",D1090="Mott's"),"Canned Fruit",
IF(OR(D1090="Goya",D1090="Hunt's",D1090="Birds Eye"),"Canned Vegetables",
IF(OR(D1090="fairlife",D1090="Horizon Organic",D1090="Lactaid",D1090="Ben &amp; Jerry's"),"Milk",
IF(OR(D1090="BelGioioso",D1090="Kraft",D1090="Philadelphia"),"Cheese",
IF(OR(D1090="Chobani",D1090="Oikos",D1090="Dannon Light + Fit"),"Yogurt",
IF(OR(D1090="Barilla",D1090="Annie's",D1090="Rao's Homemade"),"Pasta",
IF(OR(D1090="Hershey's",D1090="Lay's",D1090="Totino's",D1090="Cheerios",D1090="Jif",D1090="Skippy",D1090="Nature Valley",D1090="OREO",D1090="DiGiorno",D1090="Eggo"),"Prepared Food",
IF(OR(D1090="Ben's Original",D1090="Lundberg",D1090="Quaker"),"Rice",
IF(OR(D1090="Bush's",D1090="Hillshire Farm",D1090="Oscar Mayer",D1090="SPAM"),"Protein",
IF(OR(D1090="Starbucks",D1090="Sparkling Ice",D1090="Coca-Cola",D1090="San Pellegrino",D1090="Gatorade",D1090="Arizona"),"Beverages",
"Other")))))))))))</f>
        <v>Beverages</v>
      </c>
      <c r="F1090" t="str">
        <f t="shared" ref="F1090:F1153" si="35">IF(OR(E1090="Bread",E1090="Rice",E1090="Pasta"), "Grain",
IF(OR(E1090="Milk",E1090="Cheese",E1090="Yogurt"), "Dairy",
IF(OR(E1090="Canned Fruit",E1090="Canned Vegetables"), "Fruit &amp; Vegetables",
IF(E1090="Prepared Food", "Prepared Food",
IF(E1090="Protein", "Protein",
IF(E1090="Beverages", "Beverages",
"Other"))))))</f>
        <v>Beverages</v>
      </c>
      <c r="G1090" s="1">
        <v>7.99</v>
      </c>
      <c r="H1090" t="s">
        <v>3422</v>
      </c>
      <c r="I1090" t="s">
        <v>3335</v>
      </c>
    </row>
    <row r="1091" spans="1:9" x14ac:dyDescent="0.25">
      <c r="A1091" t="s">
        <v>3526</v>
      </c>
      <c r="B1091" t="s">
        <v>3056</v>
      </c>
      <c r="C1091" t="s">
        <v>3527</v>
      </c>
      <c r="D1091" t="str" cm="1">
        <f t="array" ref="D1091">_xlfn.TEXTJOIN("", TRUE, IF(ISNUMBER(SEARCH($K$1379:$K$1423, C1091)), $K$1379:$K$1423, ""))</f>
        <v>Gatorade</v>
      </c>
      <c r="E1091" t="str">
        <f t="shared" si="34"/>
        <v>Beverages</v>
      </c>
      <c r="F1091" t="str">
        <f t="shared" si="35"/>
        <v>Beverages</v>
      </c>
      <c r="G1091" s="1">
        <v>2.79</v>
      </c>
      <c r="H1091" t="s">
        <v>3528</v>
      </c>
      <c r="I1091" t="s">
        <v>2495</v>
      </c>
    </row>
    <row r="1092" spans="1:9" x14ac:dyDescent="0.25">
      <c r="A1092" t="s">
        <v>3529</v>
      </c>
      <c r="B1092" t="s">
        <v>3056</v>
      </c>
      <c r="C1092" t="s">
        <v>3530</v>
      </c>
      <c r="D1092" t="str" cm="1">
        <f t="array" ref="D1092">_xlfn.TEXTJOIN("", TRUE, IF(ISNUMBER(SEARCH($K$1379:$K$1423, C1092)), $K$1379:$K$1423, ""))</f>
        <v>Gatorade</v>
      </c>
      <c r="E1092" t="str">
        <f t="shared" si="34"/>
        <v>Beverages</v>
      </c>
      <c r="F1092" t="str">
        <f t="shared" si="35"/>
        <v>Beverages</v>
      </c>
      <c r="G1092" s="1">
        <v>1.33</v>
      </c>
      <c r="H1092" t="s">
        <v>3515</v>
      </c>
      <c r="I1092" t="s">
        <v>3335</v>
      </c>
    </row>
    <row r="1093" spans="1:9" x14ac:dyDescent="0.25">
      <c r="A1093" t="s">
        <v>3531</v>
      </c>
      <c r="B1093" t="s">
        <v>3056</v>
      </c>
      <c r="C1093" t="s">
        <v>3532</v>
      </c>
      <c r="D1093" t="str" cm="1">
        <f t="array" ref="D1093">_xlfn.TEXTJOIN("", TRUE, IF(ISNUMBER(SEARCH($K$1379:$K$1423, C1093)), $K$1379:$K$1423, ""))</f>
        <v>Gatorade</v>
      </c>
      <c r="E1093" t="str">
        <f t="shared" si="34"/>
        <v>Beverages</v>
      </c>
      <c r="F1093" t="str">
        <f t="shared" si="35"/>
        <v>Beverages</v>
      </c>
      <c r="G1093" s="1">
        <v>1.33</v>
      </c>
      <c r="H1093" t="s">
        <v>3515</v>
      </c>
      <c r="I1093" t="s">
        <v>3335</v>
      </c>
    </row>
    <row r="1094" spans="1:9" x14ac:dyDescent="0.25">
      <c r="A1094" t="s">
        <v>3533</v>
      </c>
      <c r="B1094" t="s">
        <v>3056</v>
      </c>
      <c r="C1094" t="s">
        <v>3534</v>
      </c>
      <c r="D1094" t="str" cm="1">
        <f t="array" ref="D1094">_xlfn.TEXTJOIN("", TRUE, IF(ISNUMBER(SEARCH($K$1379:$K$1423, C1094)), $K$1379:$K$1423, ""))</f>
        <v>Gatorade</v>
      </c>
      <c r="E1094" t="str">
        <f t="shared" si="34"/>
        <v>Beverages</v>
      </c>
      <c r="F1094" t="str">
        <f t="shared" si="35"/>
        <v>Beverages</v>
      </c>
      <c r="G1094" s="1">
        <v>1.33</v>
      </c>
      <c r="H1094" t="s">
        <v>3515</v>
      </c>
      <c r="I1094" t="s">
        <v>3335</v>
      </c>
    </row>
    <row r="1095" spans="1:9" x14ac:dyDescent="0.25">
      <c r="A1095" t="s">
        <v>3535</v>
      </c>
      <c r="B1095" t="s">
        <v>3056</v>
      </c>
      <c r="C1095" t="s">
        <v>3536</v>
      </c>
      <c r="D1095" t="str" cm="1">
        <f t="array" ref="D1095">_xlfn.TEXTJOIN("", TRUE, IF(ISNUMBER(SEARCH($K$1379:$K$1423, C1095)), $K$1379:$K$1423, ""))</f>
        <v>Gatorade</v>
      </c>
      <c r="E1095" t="str">
        <f t="shared" si="34"/>
        <v>Beverages</v>
      </c>
      <c r="F1095" t="str">
        <f t="shared" si="35"/>
        <v>Beverages</v>
      </c>
      <c r="G1095" s="1">
        <v>1.33</v>
      </c>
      <c r="H1095" t="s">
        <v>3515</v>
      </c>
      <c r="I1095" t="s">
        <v>3335</v>
      </c>
    </row>
    <row r="1096" spans="1:9" x14ac:dyDescent="0.25">
      <c r="A1096" t="s">
        <v>3537</v>
      </c>
      <c r="B1096" t="s">
        <v>3056</v>
      </c>
      <c r="C1096" t="s">
        <v>3538</v>
      </c>
      <c r="D1096" t="str" cm="1">
        <f t="array" ref="D1096">_xlfn.TEXTJOIN("", TRUE, IF(ISNUMBER(SEARCH($K$1379:$K$1423, C1096)), $K$1379:$K$1423, ""))</f>
        <v>Gatorade</v>
      </c>
      <c r="E1096" t="str">
        <f t="shared" si="34"/>
        <v>Beverages</v>
      </c>
      <c r="F1096" t="str">
        <f t="shared" si="35"/>
        <v>Beverages</v>
      </c>
      <c r="G1096" s="1">
        <v>7.99</v>
      </c>
      <c r="H1096" t="s">
        <v>3422</v>
      </c>
      <c r="I1096" t="s">
        <v>3335</v>
      </c>
    </row>
    <row r="1097" spans="1:9" x14ac:dyDescent="0.25">
      <c r="A1097" t="s">
        <v>3539</v>
      </c>
      <c r="B1097" t="s">
        <v>3056</v>
      </c>
      <c r="C1097" t="s">
        <v>3540</v>
      </c>
      <c r="D1097" t="str" cm="1">
        <f t="array" ref="D1097">_xlfn.TEXTJOIN("", TRUE, IF(ISNUMBER(SEARCH($K$1379:$K$1423, C1097)), $K$1379:$K$1423, ""))</f>
        <v>Gatorade</v>
      </c>
      <c r="E1097" t="str">
        <f t="shared" si="34"/>
        <v>Beverages</v>
      </c>
      <c r="F1097" t="str">
        <f t="shared" si="35"/>
        <v>Beverages</v>
      </c>
      <c r="G1097" s="1">
        <v>2.79</v>
      </c>
      <c r="H1097" t="s">
        <v>3528</v>
      </c>
      <c r="I1097" t="s">
        <v>2495</v>
      </c>
    </row>
    <row r="1098" spans="1:9" x14ac:dyDescent="0.25">
      <c r="A1098" t="s">
        <v>3541</v>
      </c>
      <c r="B1098" t="s">
        <v>3056</v>
      </c>
      <c r="C1098" t="s">
        <v>3542</v>
      </c>
      <c r="D1098" t="str" cm="1">
        <f t="array" ref="D1098">_xlfn.TEXTJOIN("", TRUE, IF(ISNUMBER(SEARCH($K$1379:$K$1423, C1098)), $K$1379:$K$1423, ""))</f>
        <v>Gatorade</v>
      </c>
      <c r="E1098" t="str">
        <f t="shared" si="34"/>
        <v>Beverages</v>
      </c>
      <c r="F1098" t="str">
        <f t="shared" si="35"/>
        <v>Beverages</v>
      </c>
      <c r="G1098" s="1">
        <v>2.79</v>
      </c>
      <c r="H1098" t="s">
        <v>3528</v>
      </c>
      <c r="I1098" t="s">
        <v>2495</v>
      </c>
    </row>
    <row r="1099" spans="1:9" x14ac:dyDescent="0.25">
      <c r="A1099" t="s">
        <v>3543</v>
      </c>
      <c r="B1099" t="s">
        <v>3056</v>
      </c>
      <c r="C1099" t="s">
        <v>3544</v>
      </c>
      <c r="D1099" t="str" cm="1">
        <f t="array" ref="D1099">_xlfn.TEXTJOIN("", TRUE, IF(ISNUMBER(SEARCH($K$1379:$K$1423, C1099)), $K$1379:$K$1423, ""))</f>
        <v>Gatorade</v>
      </c>
      <c r="E1099" t="str">
        <f t="shared" si="34"/>
        <v>Beverages</v>
      </c>
      <c r="F1099" t="str">
        <f t="shared" si="35"/>
        <v>Beverages</v>
      </c>
      <c r="G1099" s="1">
        <v>1.33</v>
      </c>
      <c r="H1099" t="s">
        <v>3515</v>
      </c>
      <c r="I1099" t="s">
        <v>3335</v>
      </c>
    </row>
    <row r="1100" spans="1:9" x14ac:dyDescent="0.25">
      <c r="A1100" t="s">
        <v>3545</v>
      </c>
      <c r="B1100" t="s">
        <v>3056</v>
      </c>
      <c r="C1100" t="s">
        <v>3546</v>
      </c>
      <c r="D1100" t="str" cm="1">
        <f t="array" ref="D1100">_xlfn.TEXTJOIN("", TRUE, IF(ISNUMBER(SEARCH($K$1379:$K$1423, C1100)), $K$1379:$K$1423, ""))</f>
        <v>Gatorade</v>
      </c>
      <c r="E1100" t="str">
        <f t="shared" si="34"/>
        <v>Beverages</v>
      </c>
      <c r="F1100" t="str">
        <f t="shared" si="35"/>
        <v>Beverages</v>
      </c>
      <c r="G1100" s="1">
        <v>1.33</v>
      </c>
      <c r="H1100" t="s">
        <v>3515</v>
      </c>
      <c r="I1100" t="s">
        <v>3335</v>
      </c>
    </row>
    <row r="1101" spans="1:9" x14ac:dyDescent="0.25">
      <c r="A1101" t="s">
        <v>3547</v>
      </c>
      <c r="B1101" t="s">
        <v>3056</v>
      </c>
      <c r="C1101" t="s">
        <v>3548</v>
      </c>
      <c r="D1101" t="str" cm="1">
        <f t="array" ref="D1101">_xlfn.TEXTJOIN("", TRUE, IF(ISNUMBER(SEARCH($K$1379:$K$1423, C1101)), $K$1379:$K$1423, ""))</f>
        <v>Gatorade</v>
      </c>
      <c r="E1101" t="str">
        <f t="shared" si="34"/>
        <v>Beverages</v>
      </c>
      <c r="F1101" t="str">
        <f t="shared" si="35"/>
        <v>Beverages</v>
      </c>
      <c r="G1101" s="1">
        <v>1.33</v>
      </c>
      <c r="H1101" t="s">
        <v>3515</v>
      </c>
      <c r="I1101" t="s">
        <v>3335</v>
      </c>
    </row>
    <row r="1102" spans="1:9" x14ac:dyDescent="0.25">
      <c r="A1102" t="s">
        <v>3549</v>
      </c>
      <c r="B1102" t="s">
        <v>3056</v>
      </c>
      <c r="C1102" t="s">
        <v>3550</v>
      </c>
      <c r="D1102" t="str" cm="1">
        <f t="array" ref="D1102">_xlfn.TEXTJOIN("", TRUE, IF(ISNUMBER(SEARCH($K$1379:$K$1423, C1102)), $K$1379:$K$1423, ""))</f>
        <v>Gatorade</v>
      </c>
      <c r="E1102" t="str">
        <f t="shared" si="34"/>
        <v>Beverages</v>
      </c>
      <c r="F1102" t="str">
        <f t="shared" si="35"/>
        <v>Beverages</v>
      </c>
      <c r="G1102" s="1">
        <v>1.33</v>
      </c>
      <c r="H1102" t="s">
        <v>3515</v>
      </c>
      <c r="I1102" t="s">
        <v>3335</v>
      </c>
    </row>
    <row r="1103" spans="1:9" x14ac:dyDescent="0.25">
      <c r="A1103" t="s">
        <v>3551</v>
      </c>
      <c r="B1103" t="s">
        <v>3056</v>
      </c>
      <c r="C1103" t="s">
        <v>3552</v>
      </c>
      <c r="D1103" t="str" cm="1">
        <f t="array" ref="D1103">_xlfn.TEXTJOIN("", TRUE, IF(ISNUMBER(SEARCH($K$1379:$K$1423, C1103)), $K$1379:$K$1423, ""))</f>
        <v>Gatorade</v>
      </c>
      <c r="E1103" t="str">
        <f t="shared" si="34"/>
        <v>Beverages</v>
      </c>
      <c r="F1103" t="str">
        <f t="shared" si="35"/>
        <v>Beverages</v>
      </c>
      <c r="G1103" s="1">
        <v>7.99</v>
      </c>
      <c r="H1103" t="s">
        <v>3422</v>
      </c>
      <c r="I1103" t="s">
        <v>3335</v>
      </c>
    </row>
    <row r="1104" spans="1:9" x14ac:dyDescent="0.25">
      <c r="A1104" t="s">
        <v>3553</v>
      </c>
      <c r="B1104" t="s">
        <v>3056</v>
      </c>
      <c r="C1104" t="s">
        <v>3554</v>
      </c>
      <c r="D1104" t="str" cm="1">
        <f t="array" ref="D1104">_xlfn.TEXTJOIN("", TRUE, IF(ISNUMBER(SEARCH($K$1379:$K$1423, C1104)), $K$1379:$K$1423, ""))</f>
        <v>Gatorade</v>
      </c>
      <c r="E1104" t="str">
        <f t="shared" si="34"/>
        <v>Beverages</v>
      </c>
      <c r="F1104" t="str">
        <f t="shared" si="35"/>
        <v>Beverages</v>
      </c>
      <c r="G1104" s="1">
        <v>7.99</v>
      </c>
      <c r="H1104" t="s">
        <v>3422</v>
      </c>
      <c r="I1104" t="s">
        <v>3335</v>
      </c>
    </row>
    <row r="1105" spans="1:9" x14ac:dyDescent="0.25">
      <c r="A1105" t="s">
        <v>3555</v>
      </c>
      <c r="B1105" t="s">
        <v>3056</v>
      </c>
      <c r="C1105" t="s">
        <v>3556</v>
      </c>
      <c r="D1105" t="str" cm="1">
        <f t="array" ref="D1105">_xlfn.TEXTJOIN("", TRUE, IF(ISNUMBER(SEARCH($K$1379:$K$1423, C1105)), $K$1379:$K$1423, ""))</f>
        <v>Gatorade</v>
      </c>
      <c r="E1105" t="str">
        <f t="shared" si="34"/>
        <v>Beverages</v>
      </c>
      <c r="F1105" t="str">
        <f t="shared" si="35"/>
        <v>Beverages</v>
      </c>
      <c r="G1105" s="1">
        <v>1.33</v>
      </c>
      <c r="H1105" t="s">
        <v>3515</v>
      </c>
      <c r="I1105" t="s">
        <v>3335</v>
      </c>
    </row>
    <row r="1106" spans="1:9" x14ac:dyDescent="0.25">
      <c r="A1106" t="s">
        <v>3557</v>
      </c>
      <c r="B1106" t="s">
        <v>3056</v>
      </c>
      <c r="C1106" t="s">
        <v>3558</v>
      </c>
      <c r="D1106" t="str" cm="1">
        <f t="array" ref="D1106">_xlfn.TEXTJOIN("", TRUE, IF(ISNUMBER(SEARCH($K$1379:$K$1423, C1106)), $K$1379:$K$1423, ""))</f>
        <v>Gatorade</v>
      </c>
      <c r="E1106" t="str">
        <f t="shared" si="34"/>
        <v>Beverages</v>
      </c>
      <c r="F1106" t="str">
        <f t="shared" si="35"/>
        <v>Beverages</v>
      </c>
      <c r="G1106" s="1">
        <v>10.99</v>
      </c>
      <c r="H1106" t="s">
        <v>3379</v>
      </c>
      <c r="I1106" t="s">
        <v>3335</v>
      </c>
    </row>
    <row r="1107" spans="1:9" x14ac:dyDescent="0.25">
      <c r="A1107" t="s">
        <v>3559</v>
      </c>
      <c r="B1107" t="s">
        <v>3056</v>
      </c>
      <c r="C1107" t="s">
        <v>3560</v>
      </c>
      <c r="D1107" t="str" cm="1">
        <f t="array" ref="D1107">_xlfn.TEXTJOIN("", TRUE, IF(ISNUMBER(SEARCH($K$1379:$K$1423, C1107)), $K$1379:$K$1423, ""))</f>
        <v>Gatorade</v>
      </c>
      <c r="E1107" t="str">
        <f t="shared" si="34"/>
        <v>Beverages</v>
      </c>
      <c r="F1107" t="str">
        <f t="shared" si="35"/>
        <v>Beverages</v>
      </c>
      <c r="G1107" s="1">
        <v>1.33</v>
      </c>
      <c r="H1107" t="s">
        <v>3515</v>
      </c>
      <c r="I1107" t="s">
        <v>3335</v>
      </c>
    </row>
    <row r="1108" spans="1:9" x14ac:dyDescent="0.25">
      <c r="A1108" t="s">
        <v>3561</v>
      </c>
      <c r="B1108" t="s">
        <v>3056</v>
      </c>
      <c r="C1108" t="s">
        <v>3562</v>
      </c>
      <c r="D1108" t="str" cm="1">
        <f t="array" ref="D1108">_xlfn.TEXTJOIN("", TRUE, IF(ISNUMBER(SEARCH($K$1379:$K$1423, C1108)), $K$1379:$K$1423, ""))</f>
        <v>Gatorade</v>
      </c>
      <c r="E1108" t="str">
        <f t="shared" si="34"/>
        <v>Beverages</v>
      </c>
      <c r="F1108" t="str">
        <f t="shared" si="35"/>
        <v>Beverages</v>
      </c>
      <c r="G1108" s="1">
        <v>7.99</v>
      </c>
      <c r="H1108" t="s">
        <v>3422</v>
      </c>
      <c r="I1108" t="s">
        <v>3335</v>
      </c>
    </row>
    <row r="1109" spans="1:9" x14ac:dyDescent="0.25">
      <c r="A1109" t="s">
        <v>3563</v>
      </c>
      <c r="B1109" t="s">
        <v>3056</v>
      </c>
      <c r="C1109" t="s">
        <v>3564</v>
      </c>
      <c r="D1109" t="str" cm="1">
        <f t="array" ref="D1109">_xlfn.TEXTJOIN("", TRUE, IF(ISNUMBER(SEARCH($K$1379:$K$1423, C1109)), $K$1379:$K$1423, ""))</f>
        <v>Gatorade</v>
      </c>
      <c r="E1109" t="str">
        <f t="shared" si="34"/>
        <v>Beverages</v>
      </c>
      <c r="F1109" t="str">
        <f t="shared" si="35"/>
        <v>Beverages</v>
      </c>
      <c r="G1109" s="1">
        <v>2.79</v>
      </c>
      <c r="H1109" t="s">
        <v>3528</v>
      </c>
      <c r="I1109" t="s">
        <v>2495</v>
      </c>
    </row>
    <row r="1110" spans="1:9" x14ac:dyDescent="0.25">
      <c r="A1110" t="s">
        <v>3565</v>
      </c>
      <c r="B1110" t="s">
        <v>3056</v>
      </c>
      <c r="C1110" t="s">
        <v>3566</v>
      </c>
      <c r="D1110" t="str" cm="1">
        <f t="array" ref="D1110">_xlfn.TEXTJOIN("", TRUE, IF(ISNUMBER(SEARCH($K$1379:$K$1423, C1110)), $K$1379:$K$1423, ""))</f>
        <v>Gatorade</v>
      </c>
      <c r="E1110" t="str">
        <f t="shared" si="34"/>
        <v>Beverages</v>
      </c>
      <c r="F1110" t="str">
        <f t="shared" si="35"/>
        <v>Beverages</v>
      </c>
      <c r="G1110" s="1">
        <v>7.99</v>
      </c>
      <c r="H1110" t="s">
        <v>3422</v>
      </c>
      <c r="I1110" t="s">
        <v>3335</v>
      </c>
    </row>
    <row r="1111" spans="1:9" x14ac:dyDescent="0.25">
      <c r="A1111" t="s">
        <v>3567</v>
      </c>
      <c r="B1111" t="s">
        <v>3056</v>
      </c>
      <c r="C1111" t="s">
        <v>3568</v>
      </c>
      <c r="D1111" t="str" cm="1">
        <f t="array" ref="D1111">_xlfn.TEXTJOIN("", TRUE, IF(ISNUMBER(SEARCH($K$1379:$K$1423, C1111)), $K$1379:$K$1423, ""))</f>
        <v>Gatorade</v>
      </c>
      <c r="E1111" t="str">
        <f t="shared" si="34"/>
        <v>Beverages</v>
      </c>
      <c r="F1111" t="str">
        <f t="shared" si="35"/>
        <v>Beverages</v>
      </c>
      <c r="G1111" s="1">
        <v>7.99</v>
      </c>
      <c r="H1111" t="s">
        <v>3422</v>
      </c>
      <c r="I1111" t="s">
        <v>3335</v>
      </c>
    </row>
    <row r="1112" spans="1:9" x14ac:dyDescent="0.25">
      <c r="A1112" t="s">
        <v>3569</v>
      </c>
      <c r="B1112" t="s">
        <v>3056</v>
      </c>
      <c r="C1112" t="s">
        <v>3570</v>
      </c>
      <c r="D1112" t="str" cm="1">
        <f t="array" ref="D1112">_xlfn.TEXTJOIN("", TRUE, IF(ISNUMBER(SEARCH($K$1379:$K$1423, C1112)), $K$1379:$K$1423, ""))</f>
        <v>Gatorade</v>
      </c>
      <c r="E1112" t="str">
        <f t="shared" si="34"/>
        <v>Beverages</v>
      </c>
      <c r="F1112" t="str">
        <f t="shared" si="35"/>
        <v>Beverages</v>
      </c>
      <c r="G1112" s="1">
        <v>1.33</v>
      </c>
      <c r="H1112" t="s">
        <v>3515</v>
      </c>
      <c r="I1112" t="s">
        <v>3335</v>
      </c>
    </row>
    <row r="1113" spans="1:9" x14ac:dyDescent="0.25">
      <c r="A1113" t="s">
        <v>3571</v>
      </c>
      <c r="B1113" t="s">
        <v>3056</v>
      </c>
      <c r="C1113" t="s">
        <v>3572</v>
      </c>
      <c r="D1113" t="str" cm="1">
        <f t="array" ref="D1113">_xlfn.TEXTJOIN("", TRUE, IF(ISNUMBER(SEARCH($K$1379:$K$1423, C1113)), $K$1379:$K$1423, ""))</f>
        <v>Gatorade</v>
      </c>
      <c r="E1113" t="str">
        <f t="shared" si="34"/>
        <v>Beverages</v>
      </c>
      <c r="F1113" t="str">
        <f t="shared" si="35"/>
        <v>Beverages</v>
      </c>
      <c r="G1113" s="1">
        <v>2.79</v>
      </c>
      <c r="H1113" t="s">
        <v>3528</v>
      </c>
      <c r="I1113" t="s">
        <v>2495</v>
      </c>
    </row>
    <row r="1114" spans="1:9" x14ac:dyDescent="0.25">
      <c r="A1114" t="s">
        <v>3573</v>
      </c>
      <c r="B1114" t="s">
        <v>3056</v>
      </c>
      <c r="C1114" t="s">
        <v>3574</v>
      </c>
      <c r="D1114" t="str" cm="1">
        <f t="array" ref="D1114">_xlfn.TEXTJOIN("", TRUE, IF(ISNUMBER(SEARCH($K$1379:$K$1423, C1114)), $K$1379:$K$1423, ""))</f>
        <v>Gatorade</v>
      </c>
      <c r="E1114" t="str">
        <f t="shared" si="34"/>
        <v>Beverages</v>
      </c>
      <c r="F1114" t="str">
        <f t="shared" si="35"/>
        <v>Beverages</v>
      </c>
      <c r="G1114" s="1">
        <v>2.79</v>
      </c>
      <c r="H1114" t="s">
        <v>3528</v>
      </c>
      <c r="I1114" t="s">
        <v>2495</v>
      </c>
    </row>
    <row r="1115" spans="1:9" x14ac:dyDescent="0.25">
      <c r="A1115" t="s">
        <v>3575</v>
      </c>
      <c r="B1115" t="s">
        <v>3056</v>
      </c>
      <c r="C1115" t="s">
        <v>3576</v>
      </c>
      <c r="D1115" t="str" cm="1">
        <f t="array" ref="D1115">_xlfn.TEXTJOIN("", TRUE, IF(ISNUMBER(SEARCH($K$1379:$K$1423, C1115)), $K$1379:$K$1423, ""))</f>
        <v>Gatorade</v>
      </c>
      <c r="E1115" t="str">
        <f t="shared" si="34"/>
        <v>Beverages</v>
      </c>
      <c r="F1115" t="str">
        <f t="shared" si="35"/>
        <v>Beverages</v>
      </c>
      <c r="G1115" s="1">
        <v>5.29</v>
      </c>
      <c r="H1115" t="s">
        <v>3577</v>
      </c>
      <c r="I1115" t="s">
        <v>3578</v>
      </c>
    </row>
    <row r="1116" spans="1:9" x14ac:dyDescent="0.25">
      <c r="A1116" t="s">
        <v>3579</v>
      </c>
      <c r="B1116" t="s">
        <v>3056</v>
      </c>
      <c r="C1116" t="s">
        <v>3580</v>
      </c>
      <c r="D1116" t="str" cm="1">
        <f t="array" ref="D1116">_xlfn.TEXTJOIN("", TRUE, IF(ISNUMBER(SEARCH($K$1379:$K$1423, C1116)), $K$1379:$K$1423, ""))</f>
        <v>Gatorade</v>
      </c>
      <c r="E1116" t="str">
        <f t="shared" si="34"/>
        <v>Beverages</v>
      </c>
      <c r="F1116" t="str">
        <f t="shared" si="35"/>
        <v>Beverages</v>
      </c>
      <c r="G1116" s="1">
        <v>7.99</v>
      </c>
      <c r="H1116" t="s">
        <v>3422</v>
      </c>
      <c r="I1116" t="s">
        <v>3335</v>
      </c>
    </row>
    <row r="1117" spans="1:9" x14ac:dyDescent="0.25">
      <c r="A1117" t="s">
        <v>3581</v>
      </c>
      <c r="B1117" t="s">
        <v>3056</v>
      </c>
      <c r="C1117" t="s">
        <v>3582</v>
      </c>
      <c r="D1117" t="str" cm="1">
        <f t="array" ref="D1117">_xlfn.TEXTJOIN("", TRUE, IF(ISNUMBER(SEARCH($K$1379:$K$1423, C1117)), $K$1379:$K$1423, ""))</f>
        <v>Gatorade</v>
      </c>
      <c r="E1117" t="str">
        <f t="shared" si="34"/>
        <v>Beverages</v>
      </c>
      <c r="F1117" t="str">
        <f t="shared" si="35"/>
        <v>Beverages</v>
      </c>
      <c r="G1117" s="1">
        <v>7.99</v>
      </c>
      <c r="H1117" t="s">
        <v>3422</v>
      </c>
      <c r="I1117" t="s">
        <v>3335</v>
      </c>
    </row>
    <row r="1118" spans="1:9" x14ac:dyDescent="0.25">
      <c r="A1118" t="s">
        <v>3583</v>
      </c>
      <c r="B1118" t="s">
        <v>3584</v>
      </c>
      <c r="C1118" t="s">
        <v>4370</v>
      </c>
      <c r="D1118" t="str" cm="1">
        <f t="array" ref="D1118">_xlfn.TEXTJOIN("", TRUE, IF(ISNUMBER(SEARCH($K$1379:$K$1423, C1118)), $K$1379:$K$1423, ""))</f>
        <v>Arizona</v>
      </c>
      <c r="E1118" t="str">
        <f t="shared" si="34"/>
        <v>Beverages</v>
      </c>
      <c r="F1118" t="str">
        <f t="shared" si="35"/>
        <v>Beverages</v>
      </c>
      <c r="G1118" s="1">
        <v>2.5</v>
      </c>
      <c r="H1118" t="s">
        <v>3586</v>
      </c>
      <c r="I1118" t="s">
        <v>3587</v>
      </c>
    </row>
    <row r="1119" spans="1:9" x14ac:dyDescent="0.25">
      <c r="A1119" t="s">
        <v>3588</v>
      </c>
      <c r="B1119" t="s">
        <v>3589</v>
      </c>
      <c r="C1119" t="s">
        <v>4371</v>
      </c>
      <c r="D1119" t="str" cm="1">
        <f t="array" ref="D1119">_xlfn.TEXTJOIN("", TRUE, IF(ISNUMBER(SEARCH($K$1379:$K$1423, C1119)), $K$1379:$K$1423, ""))</f>
        <v>Arizona</v>
      </c>
      <c r="E1119" t="str">
        <f t="shared" si="34"/>
        <v>Beverages</v>
      </c>
      <c r="F1119" t="str">
        <f t="shared" si="35"/>
        <v>Beverages</v>
      </c>
      <c r="G1119" s="1">
        <v>2.5</v>
      </c>
      <c r="H1119" t="s">
        <v>3586</v>
      </c>
      <c r="I1119" t="s">
        <v>3587</v>
      </c>
    </row>
    <row r="1120" spans="1:9" x14ac:dyDescent="0.25">
      <c r="A1120" t="s">
        <v>3590</v>
      </c>
      <c r="B1120" t="s">
        <v>3591</v>
      </c>
      <c r="C1120" t="s">
        <v>4439</v>
      </c>
      <c r="D1120" t="str" cm="1">
        <f t="array" ref="D1120">_xlfn.TEXTJOIN("", TRUE, IF(ISNUMBER(SEARCH($K$1379:$K$1423, C1120)), $K$1379:$K$1423, ""))</f>
        <v>Arizona</v>
      </c>
      <c r="E1120" t="str">
        <f t="shared" si="34"/>
        <v>Beverages</v>
      </c>
      <c r="F1120" t="str">
        <f t="shared" si="35"/>
        <v>Beverages</v>
      </c>
      <c r="G1120" s="1">
        <v>2.5</v>
      </c>
      <c r="H1120" t="s">
        <v>3586</v>
      </c>
      <c r="I1120" t="s">
        <v>3587</v>
      </c>
    </row>
    <row r="1121" spans="1:9" x14ac:dyDescent="0.25">
      <c r="A1121" t="s">
        <v>3592</v>
      </c>
      <c r="B1121" t="s">
        <v>3593</v>
      </c>
      <c r="C1121" t="s">
        <v>4370</v>
      </c>
      <c r="D1121" t="str" cm="1">
        <f t="array" ref="D1121">_xlfn.TEXTJOIN("", TRUE, IF(ISNUMBER(SEARCH($K$1379:$K$1423, C1121)), $K$1379:$K$1423, ""))</f>
        <v>Arizona</v>
      </c>
      <c r="E1121" t="str">
        <f t="shared" si="34"/>
        <v>Beverages</v>
      </c>
      <c r="F1121" t="str">
        <f t="shared" si="35"/>
        <v>Beverages</v>
      </c>
      <c r="G1121" s="1">
        <v>1.49</v>
      </c>
      <c r="H1121" t="s">
        <v>3594</v>
      </c>
      <c r="I1121" t="s">
        <v>3339</v>
      </c>
    </row>
    <row r="1122" spans="1:9" x14ac:dyDescent="0.25">
      <c r="A1122" t="s">
        <v>3595</v>
      </c>
      <c r="B1122" t="s">
        <v>3596</v>
      </c>
      <c r="C1122" t="s">
        <v>4372</v>
      </c>
      <c r="D1122" t="str" cm="1">
        <f t="array" ref="D1122">_xlfn.TEXTJOIN("", TRUE, IF(ISNUMBER(SEARCH($K$1379:$K$1423, C1122)), $K$1379:$K$1423, ""))</f>
        <v>Arizona</v>
      </c>
      <c r="E1122" t="str">
        <f t="shared" si="34"/>
        <v>Beverages</v>
      </c>
      <c r="F1122" t="str">
        <f t="shared" si="35"/>
        <v>Beverages</v>
      </c>
      <c r="G1122" s="1">
        <v>2.5</v>
      </c>
      <c r="H1122" t="s">
        <v>3586</v>
      </c>
      <c r="I1122" t="s">
        <v>3587</v>
      </c>
    </row>
    <row r="1123" spans="1:9" x14ac:dyDescent="0.25">
      <c r="A1123" t="s">
        <v>3597</v>
      </c>
      <c r="B1123" t="s">
        <v>3598</v>
      </c>
      <c r="C1123" t="s">
        <v>4373</v>
      </c>
      <c r="D1123" t="str" cm="1">
        <f t="array" ref="D1123">_xlfn.TEXTJOIN("", TRUE, IF(ISNUMBER(SEARCH($K$1379:$K$1423, C1123)), $K$1379:$K$1423, ""))</f>
        <v>Arizona</v>
      </c>
      <c r="E1123" t="str">
        <f t="shared" si="34"/>
        <v>Beverages</v>
      </c>
      <c r="F1123" t="str">
        <f t="shared" si="35"/>
        <v>Beverages</v>
      </c>
      <c r="G1123" s="1">
        <v>2.5</v>
      </c>
      <c r="H1123" t="s">
        <v>3586</v>
      </c>
      <c r="I1123" t="s">
        <v>3587</v>
      </c>
    </row>
    <row r="1124" spans="1:9" x14ac:dyDescent="0.25">
      <c r="A1124" t="s">
        <v>3599</v>
      </c>
      <c r="B1124" t="s">
        <v>3600</v>
      </c>
      <c r="C1124" t="s">
        <v>4374</v>
      </c>
      <c r="D1124" t="str" cm="1">
        <f t="array" ref="D1124">_xlfn.TEXTJOIN("", TRUE, IF(ISNUMBER(SEARCH($K$1379:$K$1423, C1124)), $K$1379:$K$1423, ""))</f>
        <v>Arizona</v>
      </c>
      <c r="E1124" t="str">
        <f t="shared" si="34"/>
        <v>Beverages</v>
      </c>
      <c r="F1124" t="str">
        <f t="shared" si="35"/>
        <v>Beverages</v>
      </c>
      <c r="G1124" s="1">
        <v>2.5</v>
      </c>
      <c r="H1124" t="s">
        <v>3586</v>
      </c>
      <c r="I1124" t="s">
        <v>3587</v>
      </c>
    </row>
    <row r="1125" spans="1:9" x14ac:dyDescent="0.25">
      <c r="A1125" t="s">
        <v>3601</v>
      </c>
      <c r="B1125" t="s">
        <v>3602</v>
      </c>
      <c r="C1125" t="s">
        <v>4371</v>
      </c>
      <c r="D1125" t="str" cm="1">
        <f t="array" ref="D1125">_xlfn.TEXTJOIN("", TRUE, IF(ISNUMBER(SEARCH($K$1379:$K$1423, C1125)), $K$1379:$K$1423, ""))</f>
        <v>Arizona</v>
      </c>
      <c r="E1125" t="str">
        <f t="shared" si="34"/>
        <v>Beverages</v>
      </c>
      <c r="F1125" t="str">
        <f t="shared" si="35"/>
        <v>Beverages</v>
      </c>
      <c r="G1125" s="1">
        <v>1.49</v>
      </c>
      <c r="H1125" t="s">
        <v>3594</v>
      </c>
      <c r="I1125" t="s">
        <v>3339</v>
      </c>
    </row>
    <row r="1126" spans="1:9" x14ac:dyDescent="0.25">
      <c r="A1126" t="s">
        <v>3603</v>
      </c>
      <c r="B1126" t="s">
        <v>3604</v>
      </c>
      <c r="C1126" t="s">
        <v>4375</v>
      </c>
      <c r="D1126" t="str" cm="1">
        <f t="array" ref="D1126">_xlfn.TEXTJOIN("", TRUE, IF(ISNUMBER(SEARCH($K$1379:$K$1423, C1126)), $K$1379:$K$1423, ""))</f>
        <v>Arizona</v>
      </c>
      <c r="E1126" t="str">
        <f t="shared" si="34"/>
        <v>Beverages</v>
      </c>
      <c r="F1126" t="str">
        <f t="shared" si="35"/>
        <v>Beverages</v>
      </c>
      <c r="G1126" s="1">
        <v>2.5</v>
      </c>
      <c r="H1126" t="s">
        <v>3586</v>
      </c>
      <c r="I1126" t="s">
        <v>3587</v>
      </c>
    </row>
    <row r="1127" spans="1:9" x14ac:dyDescent="0.25">
      <c r="A1127" t="s">
        <v>3605</v>
      </c>
      <c r="B1127" t="s">
        <v>3606</v>
      </c>
      <c r="C1127" t="s">
        <v>4376</v>
      </c>
      <c r="D1127" t="str" cm="1">
        <f t="array" ref="D1127">_xlfn.TEXTJOIN("", TRUE, IF(ISNUMBER(SEARCH($K$1379:$K$1423, C1127)), $K$1379:$K$1423, ""))</f>
        <v>Arizona</v>
      </c>
      <c r="E1127" t="str">
        <f t="shared" si="34"/>
        <v>Beverages</v>
      </c>
      <c r="F1127" t="str">
        <f t="shared" si="35"/>
        <v>Beverages</v>
      </c>
      <c r="G1127" s="1">
        <v>6.99</v>
      </c>
      <c r="H1127" t="s">
        <v>3607</v>
      </c>
      <c r="I1127" t="s">
        <v>94</v>
      </c>
    </row>
    <row r="1128" spans="1:9" x14ac:dyDescent="0.25">
      <c r="A1128" t="s">
        <v>3608</v>
      </c>
      <c r="B1128" t="s">
        <v>3609</v>
      </c>
      <c r="C1128" t="s">
        <v>4377</v>
      </c>
      <c r="D1128" t="str" cm="1">
        <f t="array" ref="D1128">_xlfn.TEXTJOIN("", TRUE, IF(ISNUMBER(SEARCH($K$1379:$K$1423, C1128)), $K$1379:$K$1423, ""))</f>
        <v>Arizona</v>
      </c>
      <c r="E1128" t="str">
        <f t="shared" si="34"/>
        <v>Beverages</v>
      </c>
      <c r="F1128" t="str">
        <f t="shared" si="35"/>
        <v>Beverages</v>
      </c>
      <c r="G1128" s="1">
        <v>2.5</v>
      </c>
      <c r="H1128" t="s">
        <v>3610</v>
      </c>
      <c r="I1128" t="s">
        <v>3587</v>
      </c>
    </row>
    <row r="1129" spans="1:9" x14ac:dyDescent="0.25">
      <c r="A1129" t="s">
        <v>3611</v>
      </c>
      <c r="B1129" t="s">
        <v>3612</v>
      </c>
      <c r="C1129" t="s">
        <v>4378</v>
      </c>
      <c r="D1129" t="str" cm="1">
        <f t="array" ref="D1129">_xlfn.TEXTJOIN("", TRUE, IF(ISNUMBER(SEARCH($K$1379:$K$1423, C1129)), $K$1379:$K$1423, ""))</f>
        <v>Arizona</v>
      </c>
      <c r="E1129" t="str">
        <f t="shared" si="34"/>
        <v>Beverages</v>
      </c>
      <c r="F1129" t="str">
        <f t="shared" si="35"/>
        <v>Beverages</v>
      </c>
      <c r="G1129" s="1">
        <v>2.5</v>
      </c>
      <c r="H1129" t="s">
        <v>3610</v>
      </c>
      <c r="I1129" t="s">
        <v>3587</v>
      </c>
    </row>
    <row r="1130" spans="1:9" x14ac:dyDescent="0.25">
      <c r="A1130" t="s">
        <v>3613</v>
      </c>
      <c r="B1130" t="s">
        <v>3614</v>
      </c>
      <c r="C1130" t="s">
        <v>4379</v>
      </c>
      <c r="D1130" t="str" cm="1">
        <f t="array" ref="D1130">_xlfn.TEXTJOIN("", TRUE, IF(ISNUMBER(SEARCH($K$1379:$K$1423, C1130)), $K$1379:$K$1423, ""))</f>
        <v>Arizona</v>
      </c>
      <c r="E1130" t="str">
        <f t="shared" si="34"/>
        <v>Beverages</v>
      </c>
      <c r="F1130" t="str">
        <f t="shared" si="35"/>
        <v>Beverages</v>
      </c>
      <c r="G1130" s="1">
        <v>2.5</v>
      </c>
      <c r="H1130" t="s">
        <v>3586</v>
      </c>
      <c r="I1130" t="s">
        <v>3587</v>
      </c>
    </row>
    <row r="1131" spans="1:9" x14ac:dyDescent="0.25">
      <c r="A1131" t="s">
        <v>3615</v>
      </c>
      <c r="B1131" t="s">
        <v>3616</v>
      </c>
      <c r="C1131" t="s">
        <v>4380</v>
      </c>
      <c r="D1131" t="str" cm="1">
        <f t="array" ref="D1131">_xlfn.TEXTJOIN("", TRUE, IF(ISNUMBER(SEARCH($K$1379:$K$1423, C1131)), $K$1379:$K$1423, ""))</f>
        <v>Arizona</v>
      </c>
      <c r="E1131" t="str">
        <f t="shared" si="34"/>
        <v>Beverages</v>
      </c>
      <c r="F1131" t="str">
        <f t="shared" si="35"/>
        <v>Beverages</v>
      </c>
      <c r="G1131" s="1">
        <v>2.5</v>
      </c>
      <c r="H1131" t="s">
        <v>3586</v>
      </c>
      <c r="I1131" t="s">
        <v>3587</v>
      </c>
    </row>
    <row r="1132" spans="1:9" x14ac:dyDescent="0.25">
      <c r="A1132" t="s">
        <v>3617</v>
      </c>
      <c r="B1132" t="s">
        <v>3618</v>
      </c>
      <c r="C1132" t="s">
        <v>4381</v>
      </c>
      <c r="D1132" t="str" cm="1">
        <f t="array" ref="D1132">_xlfn.TEXTJOIN("", TRUE, IF(ISNUMBER(SEARCH($K$1379:$K$1423, C1132)), $K$1379:$K$1423, ""))</f>
        <v>Arizona</v>
      </c>
      <c r="E1132" t="str">
        <f t="shared" si="34"/>
        <v>Beverages</v>
      </c>
      <c r="F1132" t="str">
        <f t="shared" si="35"/>
        <v>Beverages</v>
      </c>
      <c r="G1132" s="1">
        <v>6.99</v>
      </c>
      <c r="H1132" t="s">
        <v>3607</v>
      </c>
      <c r="I1132" t="s">
        <v>3335</v>
      </c>
    </row>
    <row r="1133" spans="1:9" x14ac:dyDescent="0.25">
      <c r="A1133" t="s">
        <v>3619</v>
      </c>
      <c r="B1133" t="s">
        <v>3620</v>
      </c>
      <c r="C1133" t="s">
        <v>4382</v>
      </c>
      <c r="D1133" t="str" cm="1">
        <f t="array" ref="D1133">_xlfn.TEXTJOIN("", TRUE, IF(ISNUMBER(SEARCH($K$1379:$K$1423, C1133)), $K$1379:$K$1423, ""))</f>
        <v>Arizona</v>
      </c>
      <c r="E1133" t="str">
        <f t="shared" si="34"/>
        <v>Beverages</v>
      </c>
      <c r="F1133" t="str">
        <f t="shared" si="35"/>
        <v>Beverages</v>
      </c>
      <c r="G1133" s="1">
        <v>2.5</v>
      </c>
      <c r="H1133" t="s">
        <v>3586</v>
      </c>
      <c r="I1133" t="s">
        <v>3587</v>
      </c>
    </row>
    <row r="1134" spans="1:9" x14ac:dyDescent="0.25">
      <c r="A1134" t="s">
        <v>3621</v>
      </c>
      <c r="B1134" t="s">
        <v>3622</v>
      </c>
      <c r="C1134" t="s">
        <v>4377</v>
      </c>
      <c r="D1134" t="str" cm="1">
        <f t="array" ref="D1134">_xlfn.TEXTJOIN("", TRUE, IF(ISNUMBER(SEARCH($K$1379:$K$1423, C1134)), $K$1379:$K$1423, ""))</f>
        <v>Arizona</v>
      </c>
      <c r="E1134" t="str">
        <f t="shared" si="34"/>
        <v>Beverages</v>
      </c>
      <c r="F1134" t="str">
        <f t="shared" si="35"/>
        <v>Beverages</v>
      </c>
      <c r="G1134" s="1">
        <v>1.49</v>
      </c>
      <c r="H1134" t="s">
        <v>3594</v>
      </c>
      <c r="I1134" t="s">
        <v>3339</v>
      </c>
    </row>
    <row r="1135" spans="1:9" x14ac:dyDescent="0.25">
      <c r="A1135" t="s">
        <v>3623</v>
      </c>
      <c r="B1135" t="s">
        <v>3624</v>
      </c>
      <c r="C1135" t="s">
        <v>4372</v>
      </c>
      <c r="D1135" t="str" cm="1">
        <f t="array" ref="D1135">_xlfn.TEXTJOIN("", TRUE, IF(ISNUMBER(SEARCH($K$1379:$K$1423, C1135)), $K$1379:$K$1423, ""))</f>
        <v>Arizona</v>
      </c>
      <c r="E1135" t="str">
        <f t="shared" si="34"/>
        <v>Beverages</v>
      </c>
      <c r="F1135" t="str">
        <f t="shared" si="35"/>
        <v>Beverages</v>
      </c>
      <c r="G1135" s="1">
        <v>1.49</v>
      </c>
      <c r="H1135" t="s">
        <v>3594</v>
      </c>
      <c r="I1135" t="s">
        <v>3339</v>
      </c>
    </row>
    <row r="1136" spans="1:9" x14ac:dyDescent="0.25">
      <c r="A1136" t="s">
        <v>3625</v>
      </c>
      <c r="B1136" t="s">
        <v>3626</v>
      </c>
      <c r="C1136" t="s">
        <v>4383</v>
      </c>
      <c r="D1136" t="str" cm="1">
        <f t="array" ref="D1136">_xlfn.TEXTJOIN("", TRUE, IF(ISNUMBER(SEARCH($K$1379:$K$1423, C1136)), $K$1379:$K$1423, ""))</f>
        <v>Arizona</v>
      </c>
      <c r="E1136" t="str">
        <f t="shared" si="34"/>
        <v>Beverages</v>
      </c>
      <c r="F1136" t="str">
        <f t="shared" si="35"/>
        <v>Beverages</v>
      </c>
      <c r="G1136" s="1">
        <v>1.49</v>
      </c>
      <c r="H1136" t="s">
        <v>3594</v>
      </c>
      <c r="I1136" t="s">
        <v>3339</v>
      </c>
    </row>
    <row r="1137" spans="1:9" x14ac:dyDescent="0.25">
      <c r="A1137" t="s">
        <v>3627</v>
      </c>
      <c r="B1137" t="s">
        <v>3628</v>
      </c>
      <c r="C1137" t="s">
        <v>4384</v>
      </c>
      <c r="D1137" t="str" cm="1">
        <f t="array" ref="D1137">_xlfn.TEXTJOIN("", TRUE, IF(ISNUMBER(SEARCH($K$1379:$K$1423, C1137)), $K$1379:$K$1423, ""))</f>
        <v>Arizona</v>
      </c>
      <c r="E1137" t="str">
        <f t="shared" si="34"/>
        <v>Beverages</v>
      </c>
      <c r="F1137" t="str">
        <f t="shared" si="35"/>
        <v>Beverages</v>
      </c>
      <c r="G1137" s="1">
        <v>6.99</v>
      </c>
      <c r="H1137" t="s">
        <v>3607</v>
      </c>
      <c r="I1137" t="s">
        <v>94</v>
      </c>
    </row>
    <row r="1138" spans="1:9" x14ac:dyDescent="0.25">
      <c r="A1138" t="s">
        <v>3629</v>
      </c>
      <c r="B1138" t="s">
        <v>3630</v>
      </c>
      <c r="C1138" t="s">
        <v>4385</v>
      </c>
      <c r="D1138" t="str" cm="1">
        <f t="array" ref="D1138">_xlfn.TEXTJOIN("", TRUE, IF(ISNUMBER(SEARCH($K$1379:$K$1423, C1138)), $K$1379:$K$1423, ""))</f>
        <v>Arizona</v>
      </c>
      <c r="E1138" t="str">
        <f t="shared" si="34"/>
        <v>Beverages</v>
      </c>
      <c r="F1138" t="str">
        <f t="shared" si="35"/>
        <v>Beverages</v>
      </c>
      <c r="G1138" s="1">
        <v>1.49</v>
      </c>
      <c r="H1138" t="s">
        <v>3594</v>
      </c>
      <c r="I1138" t="s">
        <v>3339</v>
      </c>
    </row>
    <row r="1139" spans="1:9" x14ac:dyDescent="0.25">
      <c r="A1139" t="s">
        <v>3631</v>
      </c>
      <c r="B1139" t="s">
        <v>3632</v>
      </c>
      <c r="C1139" t="s">
        <v>4386</v>
      </c>
      <c r="D1139" t="str" cm="1">
        <f t="array" ref="D1139">_xlfn.TEXTJOIN("", TRUE, IF(ISNUMBER(SEARCH($K$1379:$K$1423, C1139)), $K$1379:$K$1423, ""))</f>
        <v>Arizona</v>
      </c>
      <c r="E1139" t="str">
        <f t="shared" si="34"/>
        <v>Beverages</v>
      </c>
      <c r="F1139" t="str">
        <f t="shared" si="35"/>
        <v>Beverages</v>
      </c>
      <c r="G1139" s="1">
        <v>6.99</v>
      </c>
      <c r="H1139" t="s">
        <v>3607</v>
      </c>
      <c r="I1139" t="s">
        <v>3335</v>
      </c>
    </row>
    <row r="1140" spans="1:9" x14ac:dyDescent="0.25">
      <c r="A1140" t="s">
        <v>3633</v>
      </c>
      <c r="B1140" t="s">
        <v>3634</v>
      </c>
      <c r="C1140" t="s">
        <v>4387</v>
      </c>
      <c r="D1140" t="str" cm="1">
        <f t="array" ref="D1140">_xlfn.TEXTJOIN("", TRUE, IF(ISNUMBER(SEARCH($K$1379:$K$1423, C1140)), $K$1379:$K$1423, ""))</f>
        <v>Arizona</v>
      </c>
      <c r="E1140" t="str">
        <f t="shared" si="34"/>
        <v>Beverages</v>
      </c>
      <c r="F1140" t="str">
        <f t="shared" si="35"/>
        <v>Beverages</v>
      </c>
      <c r="G1140" s="1">
        <v>6.99</v>
      </c>
      <c r="H1140" t="s">
        <v>3635</v>
      </c>
      <c r="I1140" t="s">
        <v>3335</v>
      </c>
    </row>
    <row r="1141" spans="1:9" x14ac:dyDescent="0.25">
      <c r="A1141" t="s">
        <v>3636</v>
      </c>
      <c r="B1141" t="s">
        <v>3637</v>
      </c>
      <c r="C1141" t="s">
        <v>3638</v>
      </c>
      <c r="D1141" t="str" cm="1">
        <f t="array" ref="D1141">_xlfn.TEXTJOIN("", TRUE, IF(ISNUMBER(SEARCH($K$1379:$K$1423, C1141)), $K$1379:$K$1423, ""))</f>
        <v>DiGiorno</v>
      </c>
      <c r="E1141" t="str">
        <f t="shared" si="34"/>
        <v>Prepared Food</v>
      </c>
      <c r="F1141" t="str">
        <f t="shared" si="35"/>
        <v>Prepared Food</v>
      </c>
      <c r="G1141" s="1">
        <v>7.19</v>
      </c>
      <c r="H1141" t="s">
        <v>3640</v>
      </c>
      <c r="I1141" s="3" t="s">
        <v>308</v>
      </c>
    </row>
    <row r="1142" spans="1:9" x14ac:dyDescent="0.25">
      <c r="A1142" t="s">
        <v>3641</v>
      </c>
      <c r="B1142" t="s">
        <v>3642</v>
      </c>
      <c r="C1142" t="s">
        <v>3643</v>
      </c>
      <c r="D1142" t="str" cm="1">
        <f t="array" ref="D1142">_xlfn.TEXTJOIN("", TRUE, IF(ISNUMBER(SEARCH($K$1379:$K$1423, C1142)), $K$1379:$K$1423, ""))</f>
        <v>DiGiorno</v>
      </c>
      <c r="E1142" t="str">
        <f t="shared" si="34"/>
        <v>Prepared Food</v>
      </c>
      <c r="F1142" t="str">
        <f t="shared" si="35"/>
        <v>Prepared Food</v>
      </c>
      <c r="G1142" s="1">
        <v>7.19</v>
      </c>
      <c r="H1142" t="s">
        <v>3644</v>
      </c>
      <c r="I1142" s="3" t="s">
        <v>308</v>
      </c>
    </row>
    <row r="1143" spans="1:9" x14ac:dyDescent="0.25">
      <c r="A1143" t="s">
        <v>3645</v>
      </c>
      <c r="B1143" t="s">
        <v>3646</v>
      </c>
      <c r="C1143" t="s">
        <v>3647</v>
      </c>
      <c r="D1143" t="str" cm="1">
        <f t="array" ref="D1143">_xlfn.TEXTJOIN("", TRUE, IF(ISNUMBER(SEARCH($K$1379:$K$1423, C1143)), $K$1379:$K$1423, ""))</f>
        <v>DiGiorno</v>
      </c>
      <c r="E1143" t="str">
        <f t="shared" si="34"/>
        <v>Prepared Food</v>
      </c>
      <c r="F1143" t="str">
        <f t="shared" si="35"/>
        <v>Prepared Food</v>
      </c>
      <c r="G1143" s="1">
        <v>5.69</v>
      </c>
      <c r="H1143" t="s">
        <v>2230</v>
      </c>
      <c r="I1143" s="3" t="s">
        <v>1362</v>
      </c>
    </row>
    <row r="1144" spans="1:9" x14ac:dyDescent="0.25">
      <c r="A1144" t="s">
        <v>3648</v>
      </c>
      <c r="B1144" t="s">
        <v>3649</v>
      </c>
      <c r="C1144" t="s">
        <v>3650</v>
      </c>
      <c r="D1144" t="str" cm="1">
        <f t="array" ref="D1144">_xlfn.TEXTJOIN("", TRUE, IF(ISNUMBER(SEARCH($K$1379:$K$1423, C1144)), $K$1379:$K$1423, ""))</f>
        <v>DiGiorno</v>
      </c>
      <c r="E1144" t="str">
        <f t="shared" si="34"/>
        <v>Prepared Food</v>
      </c>
      <c r="F1144" t="str">
        <f t="shared" si="35"/>
        <v>Prepared Food</v>
      </c>
      <c r="G1144" s="1">
        <v>9.49</v>
      </c>
      <c r="H1144" t="s">
        <v>3651</v>
      </c>
      <c r="I1144" s="3" t="s">
        <v>1337</v>
      </c>
    </row>
    <row r="1145" spans="1:9" x14ac:dyDescent="0.25">
      <c r="A1145" t="s">
        <v>3652</v>
      </c>
      <c r="B1145" t="s">
        <v>3653</v>
      </c>
      <c r="C1145" t="s">
        <v>3654</v>
      </c>
      <c r="D1145" t="str" cm="1">
        <f t="array" ref="D1145">_xlfn.TEXTJOIN("", TRUE, IF(ISNUMBER(SEARCH($K$1379:$K$1423, C1145)), $K$1379:$K$1423, ""))</f>
        <v>DiGiorno</v>
      </c>
      <c r="E1145" t="str">
        <f t="shared" si="34"/>
        <v>Prepared Food</v>
      </c>
      <c r="F1145" t="str">
        <f t="shared" si="35"/>
        <v>Prepared Food</v>
      </c>
      <c r="G1145" s="1">
        <v>9.49</v>
      </c>
      <c r="H1145" t="s">
        <v>3651</v>
      </c>
      <c r="I1145" s="3" t="s">
        <v>1337</v>
      </c>
    </row>
    <row r="1146" spans="1:9" x14ac:dyDescent="0.25">
      <c r="A1146" t="s">
        <v>3655</v>
      </c>
      <c r="B1146" t="s">
        <v>3656</v>
      </c>
      <c r="C1146" t="s">
        <v>3657</v>
      </c>
      <c r="D1146" t="str" cm="1">
        <f t="array" ref="D1146">_xlfn.TEXTJOIN("", TRUE, IF(ISNUMBER(SEARCH($K$1379:$K$1423, C1146)), $K$1379:$K$1423, ""))</f>
        <v>DiGiorno</v>
      </c>
      <c r="E1146" t="str">
        <f t="shared" si="34"/>
        <v>Prepared Food</v>
      </c>
      <c r="F1146" t="str">
        <f t="shared" si="35"/>
        <v>Prepared Food</v>
      </c>
      <c r="G1146" s="1">
        <v>7.19</v>
      </c>
      <c r="H1146" t="s">
        <v>3658</v>
      </c>
      <c r="I1146" s="3" t="s">
        <v>1337</v>
      </c>
    </row>
    <row r="1147" spans="1:9" x14ac:dyDescent="0.25">
      <c r="A1147" t="s">
        <v>3659</v>
      </c>
      <c r="B1147" t="s">
        <v>3660</v>
      </c>
      <c r="C1147" t="s">
        <v>3661</v>
      </c>
      <c r="D1147" t="str" cm="1">
        <f t="array" ref="D1147">_xlfn.TEXTJOIN("", TRUE, IF(ISNUMBER(SEARCH($K$1379:$K$1423, C1147)), $K$1379:$K$1423, ""))</f>
        <v>DiGiorno</v>
      </c>
      <c r="E1147" t="str">
        <f t="shared" si="34"/>
        <v>Prepared Food</v>
      </c>
      <c r="F1147" t="str">
        <f t="shared" si="35"/>
        <v>Prepared Food</v>
      </c>
      <c r="G1147" s="1">
        <v>7.19</v>
      </c>
      <c r="H1147" t="s">
        <v>3662</v>
      </c>
      <c r="I1147" s="3" t="s">
        <v>149</v>
      </c>
    </row>
    <row r="1148" spans="1:9" x14ac:dyDescent="0.25">
      <c r="A1148" t="s">
        <v>3663</v>
      </c>
      <c r="B1148" t="s">
        <v>3664</v>
      </c>
      <c r="C1148" t="s">
        <v>3665</v>
      </c>
      <c r="D1148" t="str" cm="1">
        <f t="array" ref="D1148">_xlfn.TEXTJOIN("", TRUE, IF(ISNUMBER(SEARCH($K$1379:$K$1423, C1148)), $K$1379:$K$1423, ""))</f>
        <v>DiGiorno</v>
      </c>
      <c r="E1148" t="str">
        <f t="shared" si="34"/>
        <v>Prepared Food</v>
      </c>
      <c r="F1148" t="str">
        <f t="shared" si="35"/>
        <v>Prepared Food</v>
      </c>
      <c r="G1148" s="1">
        <v>4.49</v>
      </c>
      <c r="H1148" t="s">
        <v>3666</v>
      </c>
      <c r="I1148" s="3" t="s">
        <v>1315</v>
      </c>
    </row>
    <row r="1149" spans="1:9" x14ac:dyDescent="0.25">
      <c r="A1149" t="s">
        <v>3667</v>
      </c>
      <c r="B1149" t="s">
        <v>3668</v>
      </c>
      <c r="C1149" t="s">
        <v>3654</v>
      </c>
      <c r="D1149" t="str" cm="1">
        <f t="array" ref="D1149">_xlfn.TEXTJOIN("", TRUE, IF(ISNUMBER(SEARCH($K$1379:$K$1423, C1149)), $K$1379:$K$1423, ""))</f>
        <v>DiGiorno</v>
      </c>
      <c r="E1149" t="str">
        <f t="shared" si="34"/>
        <v>Prepared Food</v>
      </c>
      <c r="F1149" t="str">
        <f t="shared" si="35"/>
        <v>Prepared Food</v>
      </c>
      <c r="G1149" s="1">
        <v>5.69</v>
      </c>
      <c r="H1149" t="s">
        <v>2230</v>
      </c>
      <c r="I1149" s="3" t="s">
        <v>1362</v>
      </c>
    </row>
    <row r="1150" spans="1:9" x14ac:dyDescent="0.25">
      <c r="A1150" t="s">
        <v>3669</v>
      </c>
      <c r="B1150" t="s">
        <v>3670</v>
      </c>
      <c r="C1150" t="s">
        <v>3671</v>
      </c>
      <c r="D1150" t="str" cm="1">
        <f t="array" ref="D1150">_xlfn.TEXTJOIN("", TRUE, IF(ISNUMBER(SEARCH($K$1379:$K$1423, C1150)), $K$1379:$K$1423, ""))</f>
        <v>DiGiorno</v>
      </c>
      <c r="E1150" t="str">
        <f t="shared" si="34"/>
        <v>Prepared Food</v>
      </c>
      <c r="F1150" t="str">
        <f t="shared" si="35"/>
        <v>Prepared Food</v>
      </c>
      <c r="G1150" s="1">
        <v>7.19</v>
      </c>
      <c r="H1150" t="s">
        <v>3672</v>
      </c>
      <c r="I1150" s="3" t="s">
        <v>507</v>
      </c>
    </row>
    <row r="1151" spans="1:9" x14ac:dyDescent="0.25">
      <c r="A1151" t="s">
        <v>3673</v>
      </c>
      <c r="B1151" t="s">
        <v>3674</v>
      </c>
      <c r="C1151" t="s">
        <v>3675</v>
      </c>
      <c r="D1151" t="str" cm="1">
        <f t="array" ref="D1151">_xlfn.TEXTJOIN("", TRUE, IF(ISNUMBER(SEARCH($K$1379:$K$1423, C1151)), $K$1379:$K$1423, ""))</f>
        <v>DiGiorno</v>
      </c>
      <c r="E1151" t="str">
        <f t="shared" si="34"/>
        <v>Prepared Food</v>
      </c>
      <c r="F1151" t="str">
        <f t="shared" si="35"/>
        <v>Prepared Food</v>
      </c>
      <c r="G1151" s="1">
        <v>5.39</v>
      </c>
      <c r="H1151" t="s">
        <v>3676</v>
      </c>
      <c r="I1151" s="3" t="s">
        <v>2172</v>
      </c>
    </row>
    <row r="1152" spans="1:9" x14ac:dyDescent="0.25">
      <c r="A1152" t="s">
        <v>3677</v>
      </c>
      <c r="B1152" t="s">
        <v>3678</v>
      </c>
      <c r="C1152" t="s">
        <v>3679</v>
      </c>
      <c r="D1152" t="str" cm="1">
        <f t="array" ref="D1152">_xlfn.TEXTJOIN("", TRUE, IF(ISNUMBER(SEARCH($K$1379:$K$1423, C1152)), $K$1379:$K$1423, ""))</f>
        <v>DiGiorno</v>
      </c>
      <c r="E1152" t="str">
        <f t="shared" si="34"/>
        <v>Prepared Food</v>
      </c>
      <c r="F1152" t="str">
        <f t="shared" si="35"/>
        <v>Prepared Food</v>
      </c>
      <c r="G1152" s="1">
        <v>4.49</v>
      </c>
      <c r="H1152" t="s">
        <v>3680</v>
      </c>
      <c r="I1152" s="3" t="s">
        <v>139</v>
      </c>
    </row>
    <row r="1153" spans="1:9" x14ac:dyDescent="0.25">
      <c r="A1153" t="s">
        <v>3681</v>
      </c>
      <c r="B1153" t="s">
        <v>3682</v>
      </c>
      <c r="C1153" t="s">
        <v>3683</v>
      </c>
      <c r="D1153" t="str" cm="1">
        <f t="array" ref="D1153">_xlfn.TEXTJOIN("", TRUE, IF(ISNUMBER(SEARCH($K$1379:$K$1423, C1153)), $K$1379:$K$1423, ""))</f>
        <v>DiGiorno</v>
      </c>
      <c r="E1153" t="str">
        <f t="shared" si="34"/>
        <v>Prepared Food</v>
      </c>
      <c r="F1153" t="str">
        <f t="shared" si="35"/>
        <v>Prepared Food</v>
      </c>
      <c r="G1153" s="1">
        <v>9.49</v>
      </c>
      <c r="H1153" t="s">
        <v>3684</v>
      </c>
      <c r="I1153" s="3" t="s">
        <v>399</v>
      </c>
    </row>
    <row r="1154" spans="1:9" x14ac:dyDescent="0.25">
      <c r="A1154" t="s">
        <v>3685</v>
      </c>
      <c r="B1154" t="s">
        <v>3686</v>
      </c>
      <c r="C1154" t="s">
        <v>3687</v>
      </c>
      <c r="D1154" t="str" cm="1">
        <f t="array" ref="D1154">_xlfn.TEXTJOIN("", TRUE, IF(ISNUMBER(SEARCH($K$1379:$K$1423, C1154)), $K$1379:$K$1423, ""))</f>
        <v>DiGiorno</v>
      </c>
      <c r="E1154" t="str">
        <f t="shared" ref="E1154:E1217" si="36">IF(OR(D1154="Mission",D1154="Nature's Own",D1154="Sara Lee"),"Bread",
IF(OR(D1154="Del Monte",D1154="Dole",D1154="Mott's"),"Canned Fruit",
IF(OR(D1154="Goya",D1154="Hunt's",D1154="Birds Eye"),"Canned Vegetables",
IF(OR(D1154="fairlife",D1154="Horizon Organic",D1154="Lactaid",D1154="Ben &amp; Jerry's"),"Milk",
IF(OR(D1154="BelGioioso",D1154="Kraft",D1154="Philadelphia"),"Cheese",
IF(OR(D1154="Chobani",D1154="Oikos",D1154="Dannon Light + Fit"),"Yogurt",
IF(OR(D1154="Barilla",D1154="Annie's",D1154="Rao's Homemade"),"Pasta",
IF(OR(D1154="Hershey's",D1154="Lay's",D1154="Totino's",D1154="Cheerios",D1154="Jif",D1154="Skippy",D1154="Nature Valley",D1154="OREO",D1154="DiGiorno",D1154="Eggo"),"Prepared Food",
IF(OR(D1154="Ben's Original",D1154="Lundberg",D1154="Quaker"),"Rice",
IF(OR(D1154="Bush's",D1154="Hillshire Farm",D1154="Oscar Mayer",D1154="SPAM"),"Protein",
IF(OR(D1154="Starbucks",D1154="Sparkling Ice",D1154="Coca-Cola",D1154="San Pellegrino",D1154="Gatorade",D1154="Arizona"),"Beverages",
"Other")))))))))))</f>
        <v>Prepared Food</v>
      </c>
      <c r="F1154" t="str">
        <f t="shared" ref="F1154:F1217" si="37">IF(OR(E1154="Bread",E1154="Rice",E1154="Pasta"), "Grain",
IF(OR(E1154="Milk",E1154="Cheese",E1154="Yogurt"), "Dairy",
IF(OR(E1154="Canned Fruit",E1154="Canned Vegetables"), "Fruit &amp; Vegetables",
IF(E1154="Prepared Food", "Prepared Food",
IF(E1154="Protein", "Protein",
IF(E1154="Beverages", "Beverages",
"Other"))))))</f>
        <v>Prepared Food</v>
      </c>
      <c r="G1154" s="1">
        <v>9.49</v>
      </c>
      <c r="H1154" t="s">
        <v>3688</v>
      </c>
      <c r="I1154" s="3" t="s">
        <v>2328</v>
      </c>
    </row>
    <row r="1155" spans="1:9" x14ac:dyDescent="0.25">
      <c r="A1155" t="s">
        <v>3689</v>
      </c>
      <c r="B1155" t="s">
        <v>3690</v>
      </c>
      <c r="C1155" t="s">
        <v>3691</v>
      </c>
      <c r="D1155" t="str" cm="1">
        <f t="array" ref="D1155">_xlfn.TEXTJOIN("", TRUE, IF(ISNUMBER(SEARCH($K$1379:$K$1423, C1155)), $K$1379:$K$1423, ""))</f>
        <v>DiGiorno</v>
      </c>
      <c r="E1155" t="str">
        <f t="shared" si="36"/>
        <v>Prepared Food</v>
      </c>
      <c r="F1155" t="str">
        <f t="shared" si="37"/>
        <v>Prepared Food</v>
      </c>
      <c r="G1155" s="1">
        <v>9.49</v>
      </c>
      <c r="H1155" t="s">
        <v>3692</v>
      </c>
      <c r="I1155" s="3" t="s">
        <v>2328</v>
      </c>
    </row>
    <row r="1156" spans="1:9" x14ac:dyDescent="0.25">
      <c r="A1156" t="s">
        <v>3693</v>
      </c>
      <c r="B1156" t="s">
        <v>3694</v>
      </c>
      <c r="C1156" t="s">
        <v>3695</v>
      </c>
      <c r="D1156" t="str" cm="1">
        <f t="array" ref="D1156">_xlfn.TEXTJOIN("", TRUE, IF(ISNUMBER(SEARCH($K$1379:$K$1423, C1156)), $K$1379:$K$1423, ""))</f>
        <v>DiGiorno</v>
      </c>
      <c r="E1156" t="str">
        <f t="shared" si="36"/>
        <v>Prepared Food</v>
      </c>
      <c r="F1156" t="str">
        <f t="shared" si="37"/>
        <v>Prepared Food</v>
      </c>
      <c r="G1156" s="1">
        <v>9.49</v>
      </c>
      <c r="H1156" t="s">
        <v>3696</v>
      </c>
      <c r="I1156" s="3" t="s">
        <v>2727</v>
      </c>
    </row>
    <row r="1157" spans="1:9" x14ac:dyDescent="0.25">
      <c r="A1157" t="s">
        <v>3697</v>
      </c>
      <c r="B1157" t="s">
        <v>3698</v>
      </c>
      <c r="C1157" t="s">
        <v>3699</v>
      </c>
      <c r="D1157" t="str" cm="1">
        <f t="array" ref="D1157">_xlfn.TEXTJOIN("", TRUE, IF(ISNUMBER(SEARCH($K$1379:$K$1423, C1157)), $K$1379:$K$1423, ""))</f>
        <v>DiGiorno</v>
      </c>
      <c r="E1157" t="str">
        <f t="shared" si="36"/>
        <v>Prepared Food</v>
      </c>
      <c r="F1157" t="str">
        <f t="shared" si="37"/>
        <v>Prepared Food</v>
      </c>
      <c r="G1157" s="1">
        <v>9.49</v>
      </c>
      <c r="H1157" t="s">
        <v>3700</v>
      </c>
      <c r="I1157" s="3" t="s">
        <v>2328</v>
      </c>
    </row>
    <row r="1158" spans="1:9" x14ac:dyDescent="0.25">
      <c r="A1158" t="s">
        <v>3701</v>
      </c>
      <c r="B1158" t="s">
        <v>3702</v>
      </c>
      <c r="C1158" t="s">
        <v>3703</v>
      </c>
      <c r="D1158" t="str" cm="1">
        <f t="array" ref="D1158">_xlfn.TEXTJOIN("", TRUE, IF(ISNUMBER(SEARCH($K$1379:$K$1423, C1158)), $K$1379:$K$1423, ""))</f>
        <v>Totino's</v>
      </c>
      <c r="E1158" t="str">
        <f t="shared" si="36"/>
        <v>Prepared Food</v>
      </c>
      <c r="F1158" t="str">
        <f t="shared" si="37"/>
        <v>Prepared Food</v>
      </c>
      <c r="G1158" s="1">
        <v>5</v>
      </c>
      <c r="H1158" t="s">
        <v>3705</v>
      </c>
      <c r="I1158" t="s">
        <v>490</v>
      </c>
    </row>
    <row r="1159" spans="1:9" x14ac:dyDescent="0.25">
      <c r="A1159" t="s">
        <v>3706</v>
      </c>
      <c r="B1159" t="s">
        <v>3707</v>
      </c>
      <c r="C1159" t="s">
        <v>3708</v>
      </c>
      <c r="D1159" t="str" cm="1">
        <f t="array" ref="D1159">_xlfn.TEXTJOIN("", TRUE, IF(ISNUMBER(SEARCH($K$1379:$K$1423, C1159)), $K$1379:$K$1423, ""))</f>
        <v>Totino's</v>
      </c>
      <c r="E1159" t="str">
        <f t="shared" si="36"/>
        <v>Prepared Food</v>
      </c>
      <c r="F1159" t="str">
        <f t="shared" si="37"/>
        <v>Prepared Food</v>
      </c>
      <c r="G1159" s="1">
        <v>5</v>
      </c>
      <c r="H1159" t="s">
        <v>3705</v>
      </c>
      <c r="I1159" t="s">
        <v>490</v>
      </c>
    </row>
    <row r="1160" spans="1:9" x14ac:dyDescent="0.25">
      <c r="A1160" t="s">
        <v>3709</v>
      </c>
      <c r="B1160" t="s">
        <v>3710</v>
      </c>
      <c r="C1160" t="s">
        <v>3711</v>
      </c>
      <c r="D1160" t="str" cm="1">
        <f t="array" ref="D1160">_xlfn.TEXTJOIN("", TRUE, IF(ISNUMBER(SEARCH($K$1379:$K$1423, C1160)), $K$1379:$K$1423, ""))</f>
        <v>Totino's</v>
      </c>
      <c r="E1160" t="str">
        <f t="shared" si="36"/>
        <v>Prepared Food</v>
      </c>
      <c r="F1160" t="str">
        <f t="shared" si="37"/>
        <v>Prepared Food</v>
      </c>
      <c r="G1160" s="1">
        <v>2.99</v>
      </c>
      <c r="H1160" t="s">
        <v>3712</v>
      </c>
      <c r="I1160" t="s">
        <v>308</v>
      </c>
    </row>
    <row r="1161" spans="1:9" x14ac:dyDescent="0.25">
      <c r="A1161" t="s">
        <v>3713</v>
      </c>
      <c r="B1161" t="s">
        <v>3714</v>
      </c>
      <c r="C1161" t="s">
        <v>3715</v>
      </c>
      <c r="D1161" t="str" cm="1">
        <f t="array" ref="D1161">_xlfn.TEXTJOIN("", TRUE, IF(ISNUMBER(SEARCH($K$1379:$K$1423, C1161)), $K$1379:$K$1423, ""))</f>
        <v>Totino's</v>
      </c>
      <c r="E1161" t="str">
        <f t="shared" si="36"/>
        <v>Prepared Food</v>
      </c>
      <c r="F1161" t="str">
        <f t="shared" si="37"/>
        <v>Prepared Food</v>
      </c>
      <c r="G1161" s="1">
        <v>5</v>
      </c>
      <c r="H1161" t="s">
        <v>3705</v>
      </c>
      <c r="I1161" t="s">
        <v>490</v>
      </c>
    </row>
    <row r="1162" spans="1:9" x14ac:dyDescent="0.25">
      <c r="A1162" t="s">
        <v>3716</v>
      </c>
      <c r="B1162" t="s">
        <v>3717</v>
      </c>
      <c r="C1162" t="s">
        <v>3718</v>
      </c>
      <c r="D1162" t="str" cm="1">
        <f t="array" ref="D1162">_xlfn.TEXTJOIN("", TRUE, IF(ISNUMBER(SEARCH($K$1379:$K$1423, C1162)), $K$1379:$K$1423, ""))</f>
        <v>Totino's</v>
      </c>
      <c r="E1162" t="str">
        <f t="shared" si="36"/>
        <v>Prepared Food</v>
      </c>
      <c r="F1162" t="str">
        <f t="shared" si="37"/>
        <v>Prepared Food</v>
      </c>
      <c r="G1162" s="1">
        <v>12.69</v>
      </c>
      <c r="H1162" t="s">
        <v>3719</v>
      </c>
      <c r="I1162" t="s">
        <v>551</v>
      </c>
    </row>
    <row r="1163" spans="1:9" x14ac:dyDescent="0.25">
      <c r="A1163" t="s">
        <v>3720</v>
      </c>
      <c r="B1163" t="s">
        <v>3721</v>
      </c>
      <c r="C1163" t="s">
        <v>3722</v>
      </c>
      <c r="D1163" t="str" cm="1">
        <f t="array" ref="D1163">_xlfn.TEXTJOIN("", TRUE, IF(ISNUMBER(SEARCH($K$1379:$K$1423, C1163)), $K$1379:$K$1423, ""))</f>
        <v>Totino's</v>
      </c>
      <c r="E1163" t="str">
        <f t="shared" si="36"/>
        <v>Prepared Food</v>
      </c>
      <c r="F1163" t="str">
        <f t="shared" si="37"/>
        <v>Prepared Food</v>
      </c>
      <c r="G1163" s="1">
        <v>12.69</v>
      </c>
      <c r="H1163" t="s">
        <v>3719</v>
      </c>
      <c r="I1163" t="s">
        <v>551</v>
      </c>
    </row>
    <row r="1164" spans="1:9" x14ac:dyDescent="0.25">
      <c r="A1164" t="s">
        <v>3723</v>
      </c>
      <c r="B1164" t="s">
        <v>3724</v>
      </c>
      <c r="C1164" t="s">
        <v>3725</v>
      </c>
      <c r="D1164" t="str" cm="1">
        <f t="array" ref="D1164">_xlfn.TEXTJOIN("", TRUE, IF(ISNUMBER(SEARCH($K$1379:$K$1423, C1164)), $K$1379:$K$1423, ""))</f>
        <v>Totino's</v>
      </c>
      <c r="E1164" t="str">
        <f t="shared" si="36"/>
        <v>Prepared Food</v>
      </c>
      <c r="F1164" t="str">
        <f t="shared" si="37"/>
        <v>Prepared Food</v>
      </c>
      <c r="G1164" s="1">
        <v>2.99</v>
      </c>
      <c r="H1164" t="s">
        <v>1272</v>
      </c>
      <c r="I1164" t="s">
        <v>320</v>
      </c>
    </row>
    <row r="1165" spans="1:9" x14ac:dyDescent="0.25">
      <c r="A1165" t="s">
        <v>3726</v>
      </c>
      <c r="B1165" t="s">
        <v>3727</v>
      </c>
      <c r="C1165" t="s">
        <v>3728</v>
      </c>
      <c r="D1165" t="str" cm="1">
        <f t="array" ref="D1165">_xlfn.TEXTJOIN("", TRUE, IF(ISNUMBER(SEARCH($K$1379:$K$1423, C1165)), $K$1379:$K$1423, ""))</f>
        <v>Totino's</v>
      </c>
      <c r="E1165" t="str">
        <f t="shared" si="36"/>
        <v>Prepared Food</v>
      </c>
      <c r="F1165" t="str">
        <f t="shared" si="37"/>
        <v>Prepared Food</v>
      </c>
      <c r="G1165" s="1">
        <v>12.69</v>
      </c>
      <c r="H1165" t="s">
        <v>3719</v>
      </c>
      <c r="I1165" t="s">
        <v>551</v>
      </c>
    </row>
    <row r="1166" spans="1:9" x14ac:dyDescent="0.25">
      <c r="A1166" t="s">
        <v>3729</v>
      </c>
      <c r="B1166" t="s">
        <v>3730</v>
      </c>
      <c r="C1166" t="s">
        <v>3731</v>
      </c>
      <c r="D1166" t="str" cm="1">
        <f t="array" ref="D1166">_xlfn.TEXTJOIN("", TRUE, IF(ISNUMBER(SEARCH($K$1379:$K$1423, C1166)), $K$1379:$K$1423, ""))</f>
        <v>Totino's</v>
      </c>
      <c r="E1166" t="str">
        <f t="shared" si="36"/>
        <v>Prepared Food</v>
      </c>
      <c r="F1166" t="str">
        <f t="shared" si="37"/>
        <v>Prepared Food</v>
      </c>
      <c r="G1166" s="1">
        <v>5</v>
      </c>
      <c r="H1166" t="s">
        <v>3732</v>
      </c>
      <c r="I1166" t="s">
        <v>490</v>
      </c>
    </row>
    <row r="1167" spans="1:9" x14ac:dyDescent="0.25">
      <c r="A1167" t="s">
        <v>3733</v>
      </c>
      <c r="B1167" t="s">
        <v>3734</v>
      </c>
      <c r="C1167" t="s">
        <v>3735</v>
      </c>
      <c r="D1167" t="str" cm="1">
        <f t="array" ref="D1167">_xlfn.TEXTJOIN("", TRUE, IF(ISNUMBER(SEARCH($K$1379:$K$1423, C1167)), $K$1379:$K$1423, ""))</f>
        <v>Totino's</v>
      </c>
      <c r="E1167" t="str">
        <f t="shared" si="36"/>
        <v>Prepared Food</v>
      </c>
      <c r="F1167" t="str">
        <f t="shared" si="37"/>
        <v>Prepared Food</v>
      </c>
      <c r="G1167" s="1">
        <v>15.49</v>
      </c>
      <c r="H1167" t="s">
        <v>3736</v>
      </c>
      <c r="I1167" t="s">
        <v>1144</v>
      </c>
    </row>
    <row r="1168" spans="1:9" x14ac:dyDescent="0.25">
      <c r="A1168" t="s">
        <v>3737</v>
      </c>
      <c r="B1168" t="s">
        <v>3738</v>
      </c>
      <c r="C1168" t="s">
        <v>3739</v>
      </c>
      <c r="D1168" t="str" cm="1">
        <f t="array" ref="D1168">_xlfn.TEXTJOIN("", TRUE, IF(ISNUMBER(SEARCH($K$1379:$K$1423, C1168)), $K$1379:$K$1423, ""))</f>
        <v>Totino's</v>
      </c>
      <c r="E1168" t="str">
        <f t="shared" si="36"/>
        <v>Prepared Food</v>
      </c>
      <c r="F1168" t="str">
        <f t="shared" si="37"/>
        <v>Prepared Food</v>
      </c>
      <c r="G1168" s="1">
        <v>5</v>
      </c>
      <c r="H1168" t="s">
        <v>3705</v>
      </c>
      <c r="I1168" t="s">
        <v>490</v>
      </c>
    </row>
    <row r="1169" spans="1:9" x14ac:dyDescent="0.25">
      <c r="A1169" t="s">
        <v>3740</v>
      </c>
      <c r="B1169" t="s">
        <v>3741</v>
      </c>
      <c r="C1169" t="s">
        <v>3742</v>
      </c>
      <c r="D1169" t="str" cm="1">
        <f t="array" ref="D1169">_xlfn.TEXTJOIN("", TRUE, IF(ISNUMBER(SEARCH($K$1379:$K$1423, C1169)), $K$1379:$K$1423, ""))</f>
        <v>Totino's</v>
      </c>
      <c r="E1169" t="str">
        <f t="shared" si="36"/>
        <v>Prepared Food</v>
      </c>
      <c r="F1169" t="str">
        <f t="shared" si="37"/>
        <v>Prepared Food</v>
      </c>
      <c r="G1169" s="1">
        <v>5</v>
      </c>
      <c r="H1169" t="s">
        <v>3705</v>
      </c>
      <c r="I1169" t="s">
        <v>490</v>
      </c>
    </row>
    <row r="1170" spans="1:9" x14ac:dyDescent="0.25">
      <c r="A1170" t="s">
        <v>3743</v>
      </c>
      <c r="B1170" t="s">
        <v>3744</v>
      </c>
      <c r="C1170" t="s">
        <v>3745</v>
      </c>
      <c r="D1170" t="str" cm="1">
        <f t="array" ref="D1170">_xlfn.TEXTJOIN("", TRUE, IF(ISNUMBER(SEARCH($K$1379:$K$1423, C1170)), $K$1379:$K$1423, ""))</f>
        <v>Totino's</v>
      </c>
      <c r="E1170" t="str">
        <f t="shared" si="36"/>
        <v>Prepared Food</v>
      </c>
      <c r="F1170" t="str">
        <f t="shared" si="37"/>
        <v>Prepared Food</v>
      </c>
      <c r="G1170" s="1">
        <v>12.69</v>
      </c>
      <c r="H1170" t="s">
        <v>3719</v>
      </c>
      <c r="I1170" t="s">
        <v>551</v>
      </c>
    </row>
    <row r="1171" spans="1:9" x14ac:dyDescent="0.25">
      <c r="A1171" t="s">
        <v>3746</v>
      </c>
      <c r="B1171" t="s">
        <v>3747</v>
      </c>
      <c r="C1171" t="s">
        <v>3748</v>
      </c>
      <c r="D1171" t="str" cm="1">
        <f t="array" ref="D1171">_xlfn.TEXTJOIN("", TRUE, IF(ISNUMBER(SEARCH($K$1379:$K$1423, C1171)), $K$1379:$K$1423, ""))</f>
        <v>Totino's</v>
      </c>
      <c r="E1171" t="str">
        <f t="shared" si="36"/>
        <v>Prepared Food</v>
      </c>
      <c r="F1171" t="str">
        <f t="shared" si="37"/>
        <v>Prepared Food</v>
      </c>
      <c r="G1171" s="1">
        <v>2.99</v>
      </c>
      <c r="H1171" t="s">
        <v>1529</v>
      </c>
      <c r="I1171" t="s">
        <v>320</v>
      </c>
    </row>
    <row r="1172" spans="1:9" x14ac:dyDescent="0.25">
      <c r="A1172" t="s">
        <v>3749</v>
      </c>
      <c r="B1172" t="s">
        <v>3750</v>
      </c>
      <c r="C1172" t="s">
        <v>4369</v>
      </c>
      <c r="D1172" t="str" cm="1">
        <f t="array" ref="D1172">_xlfn.TEXTJOIN("", TRUE, IF(ISNUMBER(SEARCH($K$1379:$K$1423, C1172)), $K$1379:$K$1423, ""))</f>
        <v>Totino's</v>
      </c>
      <c r="E1172" t="str">
        <f t="shared" si="36"/>
        <v>Prepared Food</v>
      </c>
      <c r="F1172" t="str">
        <f t="shared" si="37"/>
        <v>Prepared Food</v>
      </c>
      <c r="G1172" s="1">
        <v>4.37</v>
      </c>
      <c r="H1172" t="s">
        <v>3751</v>
      </c>
      <c r="I1172" t="s">
        <v>18</v>
      </c>
    </row>
    <row r="1173" spans="1:9" x14ac:dyDescent="0.25">
      <c r="A1173" t="s">
        <v>3752</v>
      </c>
      <c r="B1173" t="s">
        <v>3753</v>
      </c>
      <c r="C1173" t="s">
        <v>3754</v>
      </c>
      <c r="D1173" t="str" cm="1">
        <f t="array" ref="D1173">_xlfn.TEXTJOIN("", TRUE, IF(ISNUMBER(SEARCH($K$1379:$K$1423, C1173)), $K$1379:$K$1423, ""))</f>
        <v>Totino's</v>
      </c>
      <c r="E1173" t="str">
        <f t="shared" si="36"/>
        <v>Prepared Food</v>
      </c>
      <c r="F1173" t="str">
        <f t="shared" si="37"/>
        <v>Prepared Food</v>
      </c>
      <c r="G1173" s="1">
        <v>5</v>
      </c>
      <c r="H1173" t="s">
        <v>3755</v>
      </c>
      <c r="I1173" t="s">
        <v>490</v>
      </c>
    </row>
    <row r="1174" spans="1:9" x14ac:dyDescent="0.25">
      <c r="A1174" t="s">
        <v>3758</v>
      </c>
      <c r="B1174" t="s">
        <v>3759</v>
      </c>
      <c r="C1174" t="s">
        <v>4368</v>
      </c>
      <c r="D1174" t="str" cm="1">
        <f t="array" ref="D1174">_xlfn.TEXTJOIN("", TRUE, IF(ISNUMBER(SEARCH($K$1379:$K$1423, C1174)), $K$1379:$K$1423, ""))</f>
        <v>Lay's</v>
      </c>
      <c r="E1174" t="str">
        <f t="shared" si="36"/>
        <v>Prepared Food</v>
      </c>
      <c r="F1174" t="str">
        <f t="shared" si="37"/>
        <v>Prepared Food</v>
      </c>
      <c r="G1174" s="1">
        <v>9.99</v>
      </c>
      <c r="H1174" t="s">
        <v>2744</v>
      </c>
      <c r="I1174" t="s">
        <v>2305</v>
      </c>
    </row>
    <row r="1175" spans="1:9" x14ac:dyDescent="0.25">
      <c r="A1175" t="s">
        <v>3760</v>
      </c>
      <c r="B1175" t="s">
        <v>3761</v>
      </c>
      <c r="C1175" t="s">
        <v>3762</v>
      </c>
      <c r="D1175" t="str" cm="1">
        <f t="array" ref="D1175">_xlfn.TEXTJOIN("", TRUE, IF(ISNUMBER(SEARCH($K$1379:$K$1423, C1175)), $K$1379:$K$1423, ""))</f>
        <v>Lay's</v>
      </c>
      <c r="E1175" t="str">
        <f t="shared" si="36"/>
        <v>Prepared Food</v>
      </c>
      <c r="F1175" t="str">
        <f t="shared" si="37"/>
        <v>Prepared Food</v>
      </c>
      <c r="G1175" s="1">
        <v>6.19</v>
      </c>
      <c r="H1175" t="s">
        <v>2983</v>
      </c>
      <c r="I1175" t="s">
        <v>139</v>
      </c>
    </row>
    <row r="1176" spans="1:9" x14ac:dyDescent="0.25">
      <c r="A1176" t="s">
        <v>3763</v>
      </c>
      <c r="B1176" t="s">
        <v>3764</v>
      </c>
      <c r="C1176" t="s">
        <v>3765</v>
      </c>
      <c r="D1176" t="str" cm="1">
        <f t="array" ref="D1176">_xlfn.TEXTJOIN("", TRUE, IF(ISNUMBER(SEARCH($K$1379:$K$1423, C1176)), $K$1379:$K$1423, ""))</f>
        <v>Lay's</v>
      </c>
      <c r="E1176" t="str">
        <f t="shared" si="36"/>
        <v>Prepared Food</v>
      </c>
      <c r="F1176" t="str">
        <f t="shared" si="37"/>
        <v>Prepared Food</v>
      </c>
      <c r="G1176" s="1">
        <v>4.49</v>
      </c>
      <c r="H1176" t="s">
        <v>1179</v>
      </c>
      <c r="I1176" t="s">
        <v>2305</v>
      </c>
    </row>
    <row r="1177" spans="1:9" x14ac:dyDescent="0.25">
      <c r="A1177" t="s">
        <v>3766</v>
      </c>
      <c r="B1177" t="s">
        <v>3767</v>
      </c>
      <c r="C1177" t="s">
        <v>3768</v>
      </c>
      <c r="D1177" t="str" cm="1">
        <f t="array" ref="D1177">_xlfn.TEXTJOIN("", TRUE, IF(ISNUMBER(SEARCH($K$1379:$K$1423, C1177)), $K$1379:$K$1423, ""))</f>
        <v>Lay's</v>
      </c>
      <c r="E1177" t="str">
        <f t="shared" si="36"/>
        <v>Prepared Food</v>
      </c>
      <c r="F1177" t="str">
        <f t="shared" si="37"/>
        <v>Prepared Food</v>
      </c>
      <c r="G1177" s="1">
        <v>6.99</v>
      </c>
      <c r="H1177" t="s">
        <v>181</v>
      </c>
      <c r="I1177" t="s">
        <v>3769</v>
      </c>
    </row>
    <row r="1178" spans="1:9" x14ac:dyDescent="0.25">
      <c r="A1178" t="s">
        <v>3770</v>
      </c>
      <c r="B1178" t="s">
        <v>3771</v>
      </c>
      <c r="C1178" t="s">
        <v>3772</v>
      </c>
      <c r="D1178" t="str" cm="1">
        <f t="array" ref="D1178">_xlfn.TEXTJOIN("", TRUE, IF(ISNUMBER(SEARCH($K$1379:$K$1423, C1178)), $K$1379:$K$1423, ""))</f>
        <v>Lay's</v>
      </c>
      <c r="E1178" t="str">
        <f t="shared" si="36"/>
        <v>Prepared Food</v>
      </c>
      <c r="F1178" t="str">
        <f t="shared" si="37"/>
        <v>Prepared Food</v>
      </c>
      <c r="G1178" s="1">
        <v>4.99</v>
      </c>
      <c r="H1178" t="s">
        <v>3773</v>
      </c>
      <c r="I1178" t="s">
        <v>3774</v>
      </c>
    </row>
    <row r="1179" spans="1:9" x14ac:dyDescent="0.25">
      <c r="A1179" t="s">
        <v>3775</v>
      </c>
      <c r="B1179" t="s">
        <v>3776</v>
      </c>
      <c r="C1179" t="s">
        <v>4367</v>
      </c>
      <c r="D1179" t="str" cm="1">
        <f t="array" ref="D1179">_xlfn.TEXTJOIN("", TRUE, IF(ISNUMBER(SEARCH($K$1379:$K$1423, C1179)), $K$1379:$K$1423, ""))</f>
        <v>Lay's</v>
      </c>
      <c r="E1179" t="str">
        <f t="shared" si="36"/>
        <v>Prepared Food</v>
      </c>
      <c r="F1179" t="str">
        <f t="shared" si="37"/>
        <v>Prepared Food</v>
      </c>
      <c r="G1179" s="1">
        <v>9.99</v>
      </c>
      <c r="H1179" t="s">
        <v>3777</v>
      </c>
      <c r="I1179" t="s">
        <v>1421</v>
      </c>
    </row>
    <row r="1180" spans="1:9" x14ac:dyDescent="0.25">
      <c r="A1180" t="s">
        <v>3778</v>
      </c>
      <c r="B1180" t="s">
        <v>3779</v>
      </c>
      <c r="C1180" t="s">
        <v>3780</v>
      </c>
      <c r="D1180" t="str" cm="1">
        <f t="array" ref="D1180">_xlfn.TEXTJOIN("", TRUE, IF(ISNUMBER(SEARCH($K$1379:$K$1423, C1180)), $K$1379:$K$1423, ""))</f>
        <v>Lay's</v>
      </c>
      <c r="E1180" t="str">
        <f t="shared" si="36"/>
        <v>Prepared Food</v>
      </c>
      <c r="F1180" t="str">
        <f t="shared" si="37"/>
        <v>Prepared Food</v>
      </c>
      <c r="G1180" s="1">
        <v>4.49</v>
      </c>
      <c r="H1180" t="s">
        <v>3757</v>
      </c>
      <c r="I1180" t="s">
        <v>2071</v>
      </c>
    </row>
    <row r="1181" spans="1:9" x14ac:dyDescent="0.25">
      <c r="A1181" t="s">
        <v>3781</v>
      </c>
      <c r="B1181" t="s">
        <v>3782</v>
      </c>
      <c r="C1181" t="s">
        <v>3783</v>
      </c>
      <c r="D1181" t="str" cm="1">
        <f t="array" ref="D1181">_xlfn.TEXTJOIN("", TRUE, IF(ISNUMBER(SEARCH($K$1379:$K$1423, C1181)), $K$1379:$K$1423, ""))</f>
        <v>Lay's</v>
      </c>
      <c r="E1181" t="str">
        <f t="shared" si="36"/>
        <v>Prepared Food</v>
      </c>
      <c r="F1181" t="str">
        <f t="shared" si="37"/>
        <v>Prepared Food</v>
      </c>
      <c r="G1181" s="1">
        <v>6.19</v>
      </c>
      <c r="H1181" t="s">
        <v>2983</v>
      </c>
      <c r="I1181" t="s">
        <v>139</v>
      </c>
    </row>
    <row r="1182" spans="1:9" x14ac:dyDescent="0.25">
      <c r="A1182" t="s">
        <v>3784</v>
      </c>
      <c r="B1182" t="s">
        <v>3785</v>
      </c>
      <c r="C1182" t="s">
        <v>3786</v>
      </c>
      <c r="D1182" t="str" cm="1">
        <f t="array" ref="D1182">_xlfn.TEXTJOIN("", TRUE, IF(ISNUMBER(SEARCH($K$1379:$K$1423, C1182)), $K$1379:$K$1423, ""))</f>
        <v>Lay's</v>
      </c>
      <c r="E1182" t="str">
        <f t="shared" si="36"/>
        <v>Prepared Food</v>
      </c>
      <c r="F1182" t="str">
        <f t="shared" si="37"/>
        <v>Prepared Food</v>
      </c>
      <c r="G1182" s="1">
        <v>4.49</v>
      </c>
      <c r="H1182" t="s">
        <v>3787</v>
      </c>
      <c r="I1182" t="s">
        <v>1724</v>
      </c>
    </row>
    <row r="1183" spans="1:9" x14ac:dyDescent="0.25">
      <c r="A1183" t="s">
        <v>3788</v>
      </c>
      <c r="B1183" t="s">
        <v>3789</v>
      </c>
      <c r="C1183" t="s">
        <v>3790</v>
      </c>
      <c r="D1183" t="str" cm="1">
        <f t="array" ref="D1183">_xlfn.TEXTJOIN("", TRUE, IF(ISNUMBER(SEARCH($K$1379:$K$1423, C1183)), $K$1379:$K$1423, ""))</f>
        <v>Lay's</v>
      </c>
      <c r="E1183" t="str">
        <f t="shared" si="36"/>
        <v>Prepared Food</v>
      </c>
      <c r="F1183" t="str">
        <f t="shared" si="37"/>
        <v>Prepared Food</v>
      </c>
      <c r="G1183" s="1">
        <v>4.49</v>
      </c>
      <c r="H1183" t="s">
        <v>3787</v>
      </c>
      <c r="I1183" t="s">
        <v>1724</v>
      </c>
    </row>
    <row r="1184" spans="1:9" x14ac:dyDescent="0.25">
      <c r="A1184" t="s">
        <v>3791</v>
      </c>
      <c r="B1184" t="s">
        <v>3792</v>
      </c>
      <c r="C1184" t="s">
        <v>4366</v>
      </c>
      <c r="D1184" t="str" cm="1">
        <f t="array" ref="D1184">_xlfn.TEXTJOIN("", TRUE, IF(ISNUMBER(SEARCH($K$1379:$K$1423, C1184)), $K$1379:$K$1423, ""))</f>
        <v>Lay's</v>
      </c>
      <c r="E1184" t="str">
        <f t="shared" si="36"/>
        <v>Prepared Food</v>
      </c>
      <c r="F1184" t="str">
        <f t="shared" si="37"/>
        <v>Prepared Food</v>
      </c>
      <c r="G1184" s="1">
        <v>9.99</v>
      </c>
      <c r="H1184" t="s">
        <v>2744</v>
      </c>
      <c r="I1184" t="s">
        <v>2305</v>
      </c>
    </row>
    <row r="1185" spans="1:9" x14ac:dyDescent="0.25">
      <c r="A1185" t="s">
        <v>3793</v>
      </c>
      <c r="B1185" t="s">
        <v>3794</v>
      </c>
      <c r="C1185" t="s">
        <v>3795</v>
      </c>
      <c r="D1185" t="str" cm="1">
        <f t="array" ref="D1185">_xlfn.TEXTJOIN("", TRUE, IF(ISNUMBER(SEARCH($K$1379:$K$1423, C1185)), $K$1379:$K$1423, ""))</f>
        <v>Lay's</v>
      </c>
      <c r="E1185" t="str">
        <f t="shared" si="36"/>
        <v>Prepared Food</v>
      </c>
      <c r="F1185" t="str">
        <f t="shared" si="37"/>
        <v>Prepared Food</v>
      </c>
      <c r="G1185" s="1">
        <v>4.49</v>
      </c>
      <c r="H1185" t="s">
        <v>3787</v>
      </c>
      <c r="I1185" t="s">
        <v>1724</v>
      </c>
    </row>
    <row r="1186" spans="1:9" x14ac:dyDescent="0.25">
      <c r="A1186" t="s">
        <v>3796</v>
      </c>
      <c r="B1186" t="s">
        <v>3797</v>
      </c>
      <c r="C1186" t="s">
        <v>4365</v>
      </c>
      <c r="D1186" t="str" cm="1">
        <f t="array" ref="D1186">_xlfn.TEXTJOIN("", TRUE, IF(ISNUMBER(SEARCH($K$1379:$K$1423, C1186)), $K$1379:$K$1423, ""))</f>
        <v>Lay's</v>
      </c>
      <c r="E1186" t="str">
        <f t="shared" si="36"/>
        <v>Prepared Food</v>
      </c>
      <c r="F1186" t="str">
        <f t="shared" si="37"/>
        <v>Prepared Food</v>
      </c>
      <c r="G1186" s="1">
        <v>9.99</v>
      </c>
      <c r="H1186" t="s">
        <v>2774</v>
      </c>
      <c r="I1186" t="s">
        <v>3769</v>
      </c>
    </row>
    <row r="1187" spans="1:9" x14ac:dyDescent="0.25">
      <c r="A1187" t="s">
        <v>3798</v>
      </c>
      <c r="B1187" t="s">
        <v>3799</v>
      </c>
      <c r="C1187" t="s">
        <v>3800</v>
      </c>
      <c r="D1187" t="str" cm="1">
        <f t="array" ref="D1187">_xlfn.TEXTJOIN("", TRUE, IF(ISNUMBER(SEARCH($K$1379:$K$1423, C1187)), $K$1379:$K$1423, ""))</f>
        <v>Lay's</v>
      </c>
      <c r="E1187" t="str">
        <f t="shared" si="36"/>
        <v>Prepared Food</v>
      </c>
      <c r="F1187" t="str">
        <f t="shared" si="37"/>
        <v>Prepared Food</v>
      </c>
      <c r="G1187" s="1">
        <v>4.49</v>
      </c>
      <c r="H1187" t="s">
        <v>3801</v>
      </c>
      <c r="I1187" t="s">
        <v>3204</v>
      </c>
    </row>
    <row r="1188" spans="1:9" x14ac:dyDescent="0.25">
      <c r="A1188" t="s">
        <v>3802</v>
      </c>
      <c r="B1188" t="s">
        <v>3803</v>
      </c>
      <c r="C1188" t="s">
        <v>3804</v>
      </c>
      <c r="D1188" t="str" cm="1">
        <f t="array" ref="D1188">_xlfn.TEXTJOIN("", TRUE, IF(ISNUMBER(SEARCH($K$1379:$K$1423, C1188)), $K$1379:$K$1423, ""))</f>
        <v>Lay's</v>
      </c>
      <c r="E1188" t="str">
        <f t="shared" si="36"/>
        <v>Prepared Food</v>
      </c>
      <c r="F1188" t="str">
        <f t="shared" si="37"/>
        <v>Prepared Food</v>
      </c>
      <c r="G1188" s="1">
        <v>4.49</v>
      </c>
      <c r="H1188" t="s">
        <v>3787</v>
      </c>
      <c r="I1188" t="s">
        <v>1724</v>
      </c>
    </row>
    <row r="1189" spans="1:9" x14ac:dyDescent="0.25">
      <c r="A1189" t="s">
        <v>3805</v>
      </c>
      <c r="B1189" t="s">
        <v>3806</v>
      </c>
      <c r="C1189" t="s">
        <v>3807</v>
      </c>
      <c r="D1189" t="str" cm="1">
        <f t="array" ref="D1189">_xlfn.TEXTJOIN("", TRUE, IF(ISNUMBER(SEARCH($K$1379:$K$1423, C1189)), $K$1379:$K$1423, ""))</f>
        <v>Lay's</v>
      </c>
      <c r="E1189" t="str">
        <f t="shared" si="36"/>
        <v>Prepared Food</v>
      </c>
      <c r="F1189" t="str">
        <f t="shared" si="37"/>
        <v>Prepared Food</v>
      </c>
      <c r="G1189" s="1">
        <v>21.99</v>
      </c>
      <c r="H1189" t="s">
        <v>3808</v>
      </c>
      <c r="I1189" t="s">
        <v>2305</v>
      </c>
    </row>
    <row r="1190" spans="1:9" x14ac:dyDescent="0.25">
      <c r="A1190" t="s">
        <v>3809</v>
      </c>
      <c r="B1190" t="s">
        <v>3810</v>
      </c>
      <c r="C1190" t="s">
        <v>3811</v>
      </c>
      <c r="D1190" t="str" cm="1">
        <f t="array" ref="D1190">_xlfn.TEXTJOIN("", TRUE, IF(ISNUMBER(SEARCH($K$1379:$K$1423, C1190)), $K$1379:$K$1423, ""))</f>
        <v>Lay's</v>
      </c>
      <c r="E1190" t="str">
        <f t="shared" si="36"/>
        <v>Prepared Food</v>
      </c>
      <c r="F1190" t="str">
        <f t="shared" si="37"/>
        <v>Prepared Food</v>
      </c>
      <c r="G1190" s="1">
        <v>4.49</v>
      </c>
      <c r="H1190" t="s">
        <v>3801</v>
      </c>
      <c r="I1190" t="s">
        <v>3204</v>
      </c>
    </row>
    <row r="1191" spans="1:9" x14ac:dyDescent="0.25">
      <c r="A1191" t="s">
        <v>3812</v>
      </c>
      <c r="B1191" t="s">
        <v>3813</v>
      </c>
      <c r="C1191" t="s">
        <v>3814</v>
      </c>
      <c r="D1191" t="str" cm="1">
        <f t="array" ref="D1191">_xlfn.TEXTJOIN("", TRUE, IF(ISNUMBER(SEARCH($K$1379:$K$1423, C1191)), $K$1379:$K$1423, ""))</f>
        <v>Lay's</v>
      </c>
      <c r="E1191" t="str">
        <f t="shared" si="36"/>
        <v>Prepared Food</v>
      </c>
      <c r="F1191" t="str">
        <f t="shared" si="37"/>
        <v>Prepared Food</v>
      </c>
      <c r="G1191" s="1">
        <v>4.49</v>
      </c>
      <c r="H1191" t="s">
        <v>3787</v>
      </c>
      <c r="I1191" t="s">
        <v>1724</v>
      </c>
    </row>
    <row r="1192" spans="1:9" x14ac:dyDescent="0.25">
      <c r="A1192" t="s">
        <v>3815</v>
      </c>
      <c r="B1192" t="s">
        <v>3816</v>
      </c>
      <c r="C1192" t="s">
        <v>3817</v>
      </c>
      <c r="D1192" t="str" cm="1">
        <f t="array" ref="D1192">_xlfn.TEXTJOIN("", TRUE, IF(ISNUMBER(SEARCH($K$1379:$K$1423, C1192)), $K$1379:$K$1423, ""))</f>
        <v>Lay's</v>
      </c>
      <c r="E1192" t="str">
        <f t="shared" si="36"/>
        <v>Prepared Food</v>
      </c>
      <c r="F1192" t="str">
        <f t="shared" si="37"/>
        <v>Prepared Food</v>
      </c>
      <c r="G1192" s="1">
        <v>4.99</v>
      </c>
      <c r="H1192" t="s">
        <v>3773</v>
      </c>
      <c r="I1192" t="s">
        <v>3774</v>
      </c>
    </row>
    <row r="1193" spans="1:9" x14ac:dyDescent="0.25">
      <c r="A1193" t="s">
        <v>3818</v>
      </c>
      <c r="B1193" t="s">
        <v>3819</v>
      </c>
      <c r="C1193" t="s">
        <v>3820</v>
      </c>
      <c r="D1193" t="str" cm="1">
        <f t="array" ref="D1193">_xlfn.TEXTJOIN("", TRUE, IF(ISNUMBER(SEARCH($K$1379:$K$1423, C1193)), $K$1379:$K$1423, ""))</f>
        <v>Lay's</v>
      </c>
      <c r="E1193" t="str">
        <f t="shared" si="36"/>
        <v>Prepared Food</v>
      </c>
      <c r="F1193" t="str">
        <f t="shared" si="37"/>
        <v>Prepared Food</v>
      </c>
      <c r="G1193" s="1">
        <v>6.19</v>
      </c>
      <c r="H1193" t="s">
        <v>3821</v>
      </c>
      <c r="I1193" t="s">
        <v>361</v>
      </c>
    </row>
    <row r="1194" spans="1:9" x14ac:dyDescent="0.25">
      <c r="A1194" t="s">
        <v>3822</v>
      </c>
      <c r="B1194" t="s">
        <v>3823</v>
      </c>
      <c r="C1194" t="s">
        <v>3824</v>
      </c>
      <c r="D1194" t="str" cm="1">
        <f t="array" ref="D1194">_xlfn.TEXTJOIN("", TRUE, IF(ISNUMBER(SEARCH($K$1379:$K$1423, C1194)), $K$1379:$K$1423, ""))</f>
        <v>Lay's</v>
      </c>
      <c r="E1194" t="str">
        <f t="shared" si="36"/>
        <v>Prepared Food</v>
      </c>
      <c r="F1194" t="str">
        <f t="shared" si="37"/>
        <v>Prepared Food</v>
      </c>
      <c r="G1194" s="1">
        <v>6.19</v>
      </c>
      <c r="H1194" t="s">
        <v>3821</v>
      </c>
      <c r="I1194" t="s">
        <v>361</v>
      </c>
    </row>
    <row r="1195" spans="1:9" x14ac:dyDescent="0.25">
      <c r="A1195" t="s">
        <v>3825</v>
      </c>
      <c r="B1195" t="s">
        <v>3826</v>
      </c>
      <c r="C1195" t="s">
        <v>4364</v>
      </c>
      <c r="D1195" t="str" cm="1">
        <f t="array" ref="D1195">_xlfn.TEXTJOIN("", TRUE, IF(ISNUMBER(SEARCH($K$1379:$K$1423, C1195)), $K$1379:$K$1423, ""))</f>
        <v>Lay's</v>
      </c>
      <c r="E1195" t="str">
        <f t="shared" si="36"/>
        <v>Prepared Food</v>
      </c>
      <c r="F1195" t="str">
        <f t="shared" si="37"/>
        <v>Prepared Food</v>
      </c>
      <c r="G1195" s="1">
        <v>7.29</v>
      </c>
      <c r="H1195" t="s">
        <v>2983</v>
      </c>
      <c r="I1195" t="s">
        <v>2305</v>
      </c>
    </row>
    <row r="1196" spans="1:9" x14ac:dyDescent="0.25">
      <c r="A1196" t="s">
        <v>3827</v>
      </c>
      <c r="B1196" t="s">
        <v>3828</v>
      </c>
      <c r="C1196" t="s">
        <v>4363</v>
      </c>
      <c r="D1196" t="str" cm="1">
        <f t="array" ref="D1196">_xlfn.TEXTJOIN("", TRUE, IF(ISNUMBER(SEARCH($K$1379:$K$1423, C1196)), $K$1379:$K$1423, ""))</f>
        <v>Lay's</v>
      </c>
      <c r="E1196" t="str">
        <f t="shared" si="36"/>
        <v>Prepared Food</v>
      </c>
      <c r="F1196" t="str">
        <f t="shared" si="37"/>
        <v>Prepared Food</v>
      </c>
      <c r="G1196" s="1">
        <v>21.99</v>
      </c>
      <c r="H1196" t="s">
        <v>3829</v>
      </c>
      <c r="I1196" t="s">
        <v>1373</v>
      </c>
    </row>
    <row r="1197" spans="1:9" x14ac:dyDescent="0.25">
      <c r="A1197" t="s">
        <v>3830</v>
      </c>
      <c r="B1197" t="s">
        <v>3831</v>
      </c>
      <c r="C1197" t="s">
        <v>3832</v>
      </c>
      <c r="D1197" t="str" cm="1">
        <f t="array" ref="D1197">_xlfn.TEXTJOIN("", TRUE, IF(ISNUMBER(SEARCH($K$1379:$K$1423, C1197)), $K$1379:$K$1423, ""))</f>
        <v>Lay's</v>
      </c>
      <c r="E1197" t="str">
        <f t="shared" si="36"/>
        <v>Prepared Food</v>
      </c>
      <c r="F1197" t="str">
        <f t="shared" si="37"/>
        <v>Prepared Food</v>
      </c>
      <c r="G1197" s="1">
        <v>6.19</v>
      </c>
      <c r="H1197" t="s">
        <v>3821</v>
      </c>
      <c r="I1197" t="s">
        <v>361</v>
      </c>
    </row>
    <row r="1198" spans="1:9" x14ac:dyDescent="0.25">
      <c r="A1198" t="s">
        <v>3833</v>
      </c>
      <c r="B1198" t="s">
        <v>3834</v>
      </c>
      <c r="C1198" t="s">
        <v>3835</v>
      </c>
      <c r="D1198" t="str" cm="1">
        <f t="array" ref="D1198">_xlfn.TEXTJOIN("", TRUE, IF(ISNUMBER(SEARCH($K$1379:$K$1423, C1198)), $K$1379:$K$1423, ""))</f>
        <v>Lay's</v>
      </c>
      <c r="E1198" t="str">
        <f t="shared" si="36"/>
        <v>Prepared Food</v>
      </c>
      <c r="F1198" t="str">
        <f t="shared" si="37"/>
        <v>Prepared Food</v>
      </c>
      <c r="G1198" s="1">
        <v>4.49</v>
      </c>
      <c r="H1198" t="s">
        <v>3787</v>
      </c>
      <c r="I1198" t="s">
        <v>1724</v>
      </c>
    </row>
    <row r="1199" spans="1:9" x14ac:dyDescent="0.25">
      <c r="A1199" t="s">
        <v>3836</v>
      </c>
      <c r="B1199" t="s">
        <v>3837</v>
      </c>
      <c r="C1199" t="s">
        <v>4362</v>
      </c>
      <c r="D1199" t="str" cm="1">
        <f t="array" ref="D1199">_xlfn.TEXTJOIN("", TRUE, IF(ISNUMBER(SEARCH($K$1379:$K$1423, C1199)), $K$1379:$K$1423, ""))</f>
        <v>Lay's</v>
      </c>
      <c r="E1199" t="str">
        <f t="shared" si="36"/>
        <v>Prepared Food</v>
      </c>
      <c r="F1199" t="str">
        <f t="shared" si="37"/>
        <v>Prepared Food</v>
      </c>
      <c r="G1199" s="1">
        <v>22.99</v>
      </c>
      <c r="H1199" t="s">
        <v>3838</v>
      </c>
      <c r="I1199" t="s">
        <v>2529</v>
      </c>
    </row>
    <row r="1200" spans="1:9" x14ac:dyDescent="0.25">
      <c r="A1200" t="s">
        <v>3839</v>
      </c>
      <c r="B1200" t="s">
        <v>3840</v>
      </c>
      <c r="C1200" t="s">
        <v>4361</v>
      </c>
      <c r="D1200" t="str" cm="1">
        <f t="array" ref="D1200">_xlfn.TEXTJOIN("", TRUE, IF(ISNUMBER(SEARCH($K$1379:$K$1423, C1200)), $K$1379:$K$1423, ""))</f>
        <v>Lay's</v>
      </c>
      <c r="E1200" t="str">
        <f t="shared" si="36"/>
        <v>Prepared Food</v>
      </c>
      <c r="F1200" t="str">
        <f t="shared" si="37"/>
        <v>Prepared Food</v>
      </c>
      <c r="G1200" s="1">
        <v>9.99</v>
      </c>
      <c r="H1200" t="s">
        <v>3841</v>
      </c>
      <c r="I1200" t="s">
        <v>3174</v>
      </c>
    </row>
    <row r="1201" spans="1:9" x14ac:dyDescent="0.25">
      <c r="A1201" t="s">
        <v>3842</v>
      </c>
      <c r="B1201" t="s">
        <v>3843</v>
      </c>
      <c r="C1201" t="s">
        <v>3844</v>
      </c>
      <c r="D1201" t="str" cm="1">
        <f t="array" ref="D1201">_xlfn.TEXTJOIN("", TRUE, IF(ISNUMBER(SEARCH($K$1379:$K$1423, C1201)), $K$1379:$K$1423, ""))</f>
        <v>Lay's</v>
      </c>
      <c r="E1201" t="str">
        <f t="shared" si="36"/>
        <v>Prepared Food</v>
      </c>
      <c r="F1201" t="str">
        <f t="shared" si="37"/>
        <v>Prepared Food</v>
      </c>
      <c r="G1201" s="1">
        <v>4.49</v>
      </c>
      <c r="H1201" t="s">
        <v>3801</v>
      </c>
      <c r="I1201" t="s">
        <v>3204</v>
      </c>
    </row>
    <row r="1202" spans="1:9" x14ac:dyDescent="0.25">
      <c r="A1202" t="s">
        <v>3845</v>
      </c>
      <c r="B1202" t="s">
        <v>3846</v>
      </c>
      <c r="C1202" t="s">
        <v>3847</v>
      </c>
      <c r="D1202" t="str" cm="1">
        <f t="array" ref="D1202">_xlfn.TEXTJOIN("", TRUE, IF(ISNUMBER(SEARCH($K$1379:$K$1423, C1202)), $K$1379:$K$1423, ""))</f>
        <v>Lay's</v>
      </c>
      <c r="E1202" t="str">
        <f t="shared" si="36"/>
        <v>Prepared Food</v>
      </c>
      <c r="F1202" t="str">
        <f t="shared" si="37"/>
        <v>Prepared Food</v>
      </c>
      <c r="G1202" s="1">
        <v>6.19</v>
      </c>
      <c r="H1202" t="s">
        <v>3821</v>
      </c>
      <c r="I1202" t="s">
        <v>361</v>
      </c>
    </row>
    <row r="1203" spans="1:9" x14ac:dyDescent="0.25">
      <c r="A1203" t="s">
        <v>3848</v>
      </c>
      <c r="B1203" t="s">
        <v>3849</v>
      </c>
      <c r="C1203" t="s">
        <v>3850</v>
      </c>
      <c r="D1203" t="str" cm="1">
        <f t="array" ref="D1203">_xlfn.TEXTJOIN("", TRUE, IF(ISNUMBER(SEARCH($K$1379:$K$1423, C1203)), $K$1379:$K$1423, ""))</f>
        <v>Lay's</v>
      </c>
      <c r="E1203" t="str">
        <f t="shared" si="36"/>
        <v>Prepared Food</v>
      </c>
      <c r="F1203" t="str">
        <f t="shared" si="37"/>
        <v>Prepared Food</v>
      </c>
      <c r="G1203" s="1">
        <v>4.49</v>
      </c>
      <c r="H1203" t="s">
        <v>3787</v>
      </c>
      <c r="I1203" t="s">
        <v>1724</v>
      </c>
    </row>
    <row r="1204" spans="1:9" x14ac:dyDescent="0.25">
      <c r="A1204" t="s">
        <v>3851</v>
      </c>
      <c r="B1204" t="s">
        <v>3852</v>
      </c>
      <c r="C1204" t="s">
        <v>3853</v>
      </c>
      <c r="D1204" t="str" cm="1">
        <f t="array" ref="D1204">_xlfn.TEXTJOIN("", TRUE, IF(ISNUMBER(SEARCH($K$1379:$K$1423, C1204)), $K$1379:$K$1423, ""))</f>
        <v>Lay's</v>
      </c>
      <c r="E1204" t="str">
        <f t="shared" si="36"/>
        <v>Prepared Food</v>
      </c>
      <c r="F1204" t="str">
        <f t="shared" si="37"/>
        <v>Prepared Food</v>
      </c>
      <c r="G1204" s="1">
        <v>4.49</v>
      </c>
      <c r="H1204" t="s">
        <v>3787</v>
      </c>
      <c r="I1204" t="s">
        <v>1724</v>
      </c>
    </row>
    <row r="1205" spans="1:9" x14ac:dyDescent="0.25">
      <c r="A1205" t="s">
        <v>3854</v>
      </c>
      <c r="B1205" t="s">
        <v>3855</v>
      </c>
      <c r="C1205" t="s">
        <v>4360</v>
      </c>
      <c r="D1205" t="str" cm="1">
        <f t="array" ref="D1205">_xlfn.TEXTJOIN("", TRUE, IF(ISNUMBER(SEARCH($K$1379:$K$1423, C1205)), $K$1379:$K$1423, ""))</f>
        <v>Lay's</v>
      </c>
      <c r="E1205" t="str">
        <f t="shared" si="36"/>
        <v>Prepared Food</v>
      </c>
      <c r="F1205" t="str">
        <f t="shared" si="37"/>
        <v>Prepared Food</v>
      </c>
      <c r="G1205" s="1">
        <v>9.99</v>
      </c>
      <c r="H1205" t="s">
        <v>3856</v>
      </c>
      <c r="I1205" t="s">
        <v>3174</v>
      </c>
    </row>
    <row r="1206" spans="1:9" x14ac:dyDescent="0.25">
      <c r="A1206" t="s">
        <v>3857</v>
      </c>
      <c r="B1206" t="s">
        <v>3858</v>
      </c>
      <c r="C1206" t="s">
        <v>3859</v>
      </c>
      <c r="D1206" t="str" cm="1">
        <f t="array" ref="D1206">_xlfn.TEXTJOIN("", TRUE, IF(ISNUMBER(SEARCH($K$1379:$K$1423, C1206)), $K$1379:$K$1423, ""))</f>
        <v>Lay's</v>
      </c>
      <c r="E1206" t="str">
        <f t="shared" si="36"/>
        <v>Prepared Food</v>
      </c>
      <c r="F1206" t="str">
        <f t="shared" si="37"/>
        <v>Prepared Food</v>
      </c>
      <c r="G1206" s="1">
        <v>4.49</v>
      </c>
      <c r="H1206" t="s">
        <v>3787</v>
      </c>
      <c r="I1206" t="s">
        <v>1724</v>
      </c>
    </row>
    <row r="1207" spans="1:9" x14ac:dyDescent="0.25">
      <c r="A1207" t="s">
        <v>3860</v>
      </c>
      <c r="B1207" t="s">
        <v>3861</v>
      </c>
      <c r="C1207" t="s">
        <v>3862</v>
      </c>
      <c r="D1207" t="str" cm="1">
        <f t="array" ref="D1207">_xlfn.TEXTJOIN("", TRUE, IF(ISNUMBER(SEARCH($K$1379:$K$1423, C1207)), $K$1379:$K$1423, ""))</f>
        <v>Eggo</v>
      </c>
      <c r="E1207" t="str">
        <f t="shared" si="36"/>
        <v>Prepared Food</v>
      </c>
      <c r="F1207" t="str">
        <f t="shared" si="37"/>
        <v>Prepared Food</v>
      </c>
      <c r="G1207" s="1">
        <v>5.99</v>
      </c>
      <c r="H1207" t="s">
        <v>3864</v>
      </c>
      <c r="I1207" s="3" t="s">
        <v>1315</v>
      </c>
    </row>
    <row r="1208" spans="1:9" x14ac:dyDescent="0.25">
      <c r="A1208" t="s">
        <v>3865</v>
      </c>
      <c r="B1208" t="s">
        <v>3866</v>
      </c>
      <c r="C1208" t="s">
        <v>3867</v>
      </c>
      <c r="D1208" t="str" cm="1">
        <f t="array" ref="D1208">_xlfn.TEXTJOIN("", TRUE, IF(ISNUMBER(SEARCH($K$1379:$K$1423, C1208)), $K$1379:$K$1423, ""))</f>
        <v>Eggo</v>
      </c>
      <c r="E1208" t="str">
        <f t="shared" si="36"/>
        <v>Prepared Food</v>
      </c>
      <c r="F1208" t="str">
        <f t="shared" si="37"/>
        <v>Prepared Food</v>
      </c>
      <c r="G1208" s="1">
        <v>5.99</v>
      </c>
      <c r="H1208" t="s">
        <v>3864</v>
      </c>
      <c r="I1208" s="3" t="s">
        <v>1315</v>
      </c>
    </row>
    <row r="1209" spans="1:9" x14ac:dyDescent="0.25">
      <c r="A1209" t="s">
        <v>3868</v>
      </c>
      <c r="B1209" t="s">
        <v>3869</v>
      </c>
      <c r="C1209" t="s">
        <v>3870</v>
      </c>
      <c r="D1209" t="str" cm="1">
        <f t="array" ref="D1209">_xlfn.TEXTJOIN("", TRUE, IF(ISNUMBER(SEARCH($K$1379:$K$1423, C1209)), $K$1379:$K$1423, ""))</f>
        <v>Eggo</v>
      </c>
      <c r="E1209" t="str">
        <f t="shared" si="36"/>
        <v>Prepared Food</v>
      </c>
      <c r="F1209" t="str">
        <f t="shared" si="37"/>
        <v>Prepared Food</v>
      </c>
      <c r="G1209" s="1">
        <v>2.99</v>
      </c>
      <c r="H1209" t="s">
        <v>3864</v>
      </c>
      <c r="I1209" s="3" t="s">
        <v>1144</v>
      </c>
    </row>
    <row r="1210" spans="1:9" x14ac:dyDescent="0.25">
      <c r="A1210" t="s">
        <v>3871</v>
      </c>
      <c r="B1210" t="s">
        <v>3872</v>
      </c>
      <c r="C1210" t="s">
        <v>3873</v>
      </c>
      <c r="D1210" t="str" cm="1">
        <f t="array" ref="D1210">_xlfn.TEXTJOIN("", TRUE, IF(ISNUMBER(SEARCH($K$1379:$K$1423, C1210)), $K$1379:$K$1423, ""))</f>
        <v>Eggo</v>
      </c>
      <c r="E1210" t="str">
        <f t="shared" si="36"/>
        <v>Prepared Food</v>
      </c>
      <c r="F1210" t="str">
        <f t="shared" si="37"/>
        <v>Prepared Food</v>
      </c>
      <c r="G1210" s="1">
        <v>2.99</v>
      </c>
      <c r="H1210" t="s">
        <v>3864</v>
      </c>
      <c r="I1210" s="3" t="s">
        <v>1144</v>
      </c>
    </row>
    <row r="1211" spans="1:9" x14ac:dyDescent="0.25">
      <c r="A1211" t="s">
        <v>3874</v>
      </c>
      <c r="B1211" t="s">
        <v>3875</v>
      </c>
      <c r="C1211" t="s">
        <v>3876</v>
      </c>
      <c r="D1211" t="str" cm="1">
        <f t="array" ref="D1211">_xlfn.TEXTJOIN("", TRUE, IF(ISNUMBER(SEARCH($K$1379:$K$1423, C1211)), $K$1379:$K$1423, ""))</f>
        <v>Eggo</v>
      </c>
      <c r="E1211" t="str">
        <f t="shared" si="36"/>
        <v>Prepared Food</v>
      </c>
      <c r="F1211" t="str">
        <f t="shared" si="37"/>
        <v>Prepared Food</v>
      </c>
      <c r="G1211" s="1">
        <v>2.99</v>
      </c>
      <c r="H1211" t="s">
        <v>1295</v>
      </c>
      <c r="I1211" s="3" t="s">
        <v>320</v>
      </c>
    </row>
    <row r="1212" spans="1:9" x14ac:dyDescent="0.25">
      <c r="A1212" t="s">
        <v>3877</v>
      </c>
      <c r="B1212" t="s">
        <v>3878</v>
      </c>
      <c r="C1212" t="s">
        <v>3879</v>
      </c>
      <c r="D1212" t="str" cm="1">
        <f t="array" ref="D1212">_xlfn.TEXTJOIN("", TRUE, IF(ISNUMBER(SEARCH($K$1379:$K$1423, C1212)), $K$1379:$K$1423, ""))</f>
        <v>Eggo</v>
      </c>
      <c r="E1212" t="str">
        <f t="shared" si="36"/>
        <v>Prepared Food</v>
      </c>
      <c r="F1212" t="str">
        <f t="shared" si="37"/>
        <v>Prepared Food</v>
      </c>
      <c r="G1212" s="1">
        <v>3.49</v>
      </c>
      <c r="H1212" t="s">
        <v>12</v>
      </c>
      <c r="I1212" s="3" t="s">
        <v>149</v>
      </c>
    </row>
    <row r="1213" spans="1:9" x14ac:dyDescent="0.25">
      <c r="A1213" t="s">
        <v>3880</v>
      </c>
      <c r="B1213" t="s">
        <v>3881</v>
      </c>
      <c r="C1213" t="s">
        <v>3882</v>
      </c>
      <c r="D1213" t="str" cm="1">
        <f t="array" ref="D1213">_xlfn.TEXTJOIN("", TRUE, IF(ISNUMBER(SEARCH($K$1379:$K$1423, C1213)), $K$1379:$K$1423, ""))</f>
        <v>Eggo</v>
      </c>
      <c r="E1213" t="str">
        <f t="shared" si="36"/>
        <v>Prepared Food</v>
      </c>
      <c r="F1213" t="str">
        <f t="shared" si="37"/>
        <v>Prepared Food</v>
      </c>
      <c r="G1213" s="1">
        <v>2.99</v>
      </c>
      <c r="H1213" t="s">
        <v>3864</v>
      </c>
      <c r="I1213" s="3" t="s">
        <v>1144</v>
      </c>
    </row>
    <row r="1214" spans="1:9" x14ac:dyDescent="0.25">
      <c r="A1214" t="s">
        <v>3883</v>
      </c>
      <c r="B1214" t="s">
        <v>3884</v>
      </c>
      <c r="C1214" t="s">
        <v>3885</v>
      </c>
      <c r="D1214" t="str" cm="1">
        <f t="array" ref="D1214">_xlfn.TEXTJOIN("", TRUE, IF(ISNUMBER(SEARCH($K$1379:$K$1423, C1214)), $K$1379:$K$1423, ""))</f>
        <v>Eggo</v>
      </c>
      <c r="E1214" t="str">
        <f t="shared" si="36"/>
        <v>Prepared Food</v>
      </c>
      <c r="F1214" t="str">
        <f t="shared" si="37"/>
        <v>Prepared Food</v>
      </c>
      <c r="G1214" s="1">
        <v>3.49</v>
      </c>
      <c r="H1214" t="s">
        <v>2270</v>
      </c>
      <c r="I1214" s="3" t="s">
        <v>507</v>
      </c>
    </row>
    <row r="1215" spans="1:9" x14ac:dyDescent="0.25">
      <c r="A1215" t="s">
        <v>3886</v>
      </c>
      <c r="B1215" t="s">
        <v>3887</v>
      </c>
      <c r="C1215" t="s">
        <v>3888</v>
      </c>
      <c r="D1215" t="str" cm="1">
        <f t="array" ref="D1215">_xlfn.TEXTJOIN("", TRUE, IF(ISNUMBER(SEARCH($K$1379:$K$1423, C1215)), $K$1379:$K$1423, ""))</f>
        <v>Eggo</v>
      </c>
      <c r="E1215" t="str">
        <f t="shared" si="36"/>
        <v>Prepared Food</v>
      </c>
      <c r="F1215" t="str">
        <f t="shared" si="37"/>
        <v>Prepared Food</v>
      </c>
      <c r="G1215" s="1">
        <v>2.99</v>
      </c>
      <c r="H1215" t="s">
        <v>3864</v>
      </c>
      <c r="I1215" s="3" t="s">
        <v>1144</v>
      </c>
    </row>
    <row r="1216" spans="1:9" x14ac:dyDescent="0.25">
      <c r="A1216" t="s">
        <v>3889</v>
      </c>
      <c r="B1216" t="s">
        <v>3890</v>
      </c>
      <c r="C1216" t="s">
        <v>3891</v>
      </c>
      <c r="D1216" t="str" cm="1">
        <f t="array" ref="D1216">_xlfn.TEXTJOIN("", TRUE, IF(ISNUMBER(SEARCH($K$1379:$K$1423, C1216)), $K$1379:$K$1423, ""))</f>
        <v>Eggo</v>
      </c>
      <c r="E1216" t="str">
        <f t="shared" si="36"/>
        <v>Prepared Food</v>
      </c>
      <c r="F1216" t="str">
        <f t="shared" si="37"/>
        <v>Prepared Food</v>
      </c>
      <c r="G1216" s="1">
        <v>2.99</v>
      </c>
      <c r="H1216" t="s">
        <v>3864</v>
      </c>
      <c r="I1216" s="3" t="s">
        <v>1144</v>
      </c>
    </row>
    <row r="1217" spans="1:9" x14ac:dyDescent="0.25">
      <c r="A1217" t="s">
        <v>3892</v>
      </c>
      <c r="B1217" t="s">
        <v>3056</v>
      </c>
      <c r="C1217" t="s">
        <v>3893</v>
      </c>
      <c r="D1217" t="str" cm="1">
        <f t="array" ref="D1217">_xlfn.TEXTJOIN("", TRUE, IF(ISNUMBER(SEARCH($K$1379:$K$1423, C1217)), $K$1379:$K$1423, ""))</f>
        <v>Eggo</v>
      </c>
      <c r="E1217" t="str">
        <f t="shared" si="36"/>
        <v>Prepared Food</v>
      </c>
      <c r="F1217" t="str">
        <f t="shared" si="37"/>
        <v>Prepared Food</v>
      </c>
      <c r="G1217" s="1">
        <v>3.49</v>
      </c>
      <c r="H1217" t="s">
        <v>3894</v>
      </c>
      <c r="I1217" s="3" t="s">
        <v>79</v>
      </c>
    </row>
    <row r="1218" spans="1:9" x14ac:dyDescent="0.25">
      <c r="A1218" t="s">
        <v>3895</v>
      </c>
      <c r="B1218" t="s">
        <v>3056</v>
      </c>
      <c r="C1218" t="s">
        <v>3896</v>
      </c>
      <c r="D1218" t="str" cm="1">
        <f t="array" ref="D1218">_xlfn.TEXTJOIN("", TRUE, IF(ISNUMBER(SEARCH($K$1379:$K$1423, C1218)), $K$1379:$K$1423, ""))</f>
        <v>Eggo</v>
      </c>
      <c r="E1218" t="str">
        <f t="shared" ref="E1218:E1281" si="38">IF(OR(D1218="Mission",D1218="Nature's Own",D1218="Sara Lee"),"Bread",
IF(OR(D1218="Del Monte",D1218="Dole",D1218="Mott's"),"Canned Fruit",
IF(OR(D1218="Goya",D1218="Hunt's",D1218="Birds Eye"),"Canned Vegetables",
IF(OR(D1218="fairlife",D1218="Horizon Organic",D1218="Lactaid",D1218="Ben &amp; Jerry's"),"Milk",
IF(OR(D1218="BelGioioso",D1218="Kraft",D1218="Philadelphia"),"Cheese",
IF(OR(D1218="Chobani",D1218="Oikos",D1218="Dannon Light + Fit"),"Yogurt",
IF(OR(D1218="Barilla",D1218="Annie's",D1218="Rao's Homemade"),"Pasta",
IF(OR(D1218="Hershey's",D1218="Lay's",D1218="Totino's",D1218="Cheerios",D1218="Jif",D1218="Skippy",D1218="Nature Valley",D1218="OREO",D1218="DiGiorno",D1218="Eggo"),"Prepared Food",
IF(OR(D1218="Ben's Original",D1218="Lundberg",D1218="Quaker"),"Rice",
IF(OR(D1218="Bush's",D1218="Hillshire Farm",D1218="Oscar Mayer",D1218="SPAM"),"Protein",
IF(OR(D1218="Starbucks",D1218="Sparkling Ice",D1218="Coca-Cola",D1218="San Pellegrino",D1218="Gatorade",D1218="Arizona"),"Beverages",
"Other")))))))))))</f>
        <v>Prepared Food</v>
      </c>
      <c r="F1218" t="str">
        <f t="shared" ref="F1218:F1281" si="39">IF(OR(E1218="Bread",E1218="Rice",E1218="Pasta"), "Grain",
IF(OR(E1218="Milk",E1218="Cheese",E1218="Yogurt"), "Dairy",
IF(OR(E1218="Canned Fruit",E1218="Canned Vegetables"), "Fruit &amp; Vegetables",
IF(E1218="Prepared Food", "Prepared Food",
IF(E1218="Protein", "Protein",
IF(E1218="Beverages", "Beverages",
"Other"))))))</f>
        <v>Prepared Food</v>
      </c>
      <c r="G1218" s="1">
        <v>3.49</v>
      </c>
      <c r="H1218" t="s">
        <v>2671</v>
      </c>
      <c r="I1218" s="3" t="s">
        <v>1144</v>
      </c>
    </row>
    <row r="1219" spans="1:9" x14ac:dyDescent="0.25">
      <c r="A1219" t="s">
        <v>3897</v>
      </c>
      <c r="B1219" t="s">
        <v>3056</v>
      </c>
      <c r="C1219" t="s">
        <v>3898</v>
      </c>
      <c r="D1219" t="str" cm="1">
        <f t="array" ref="D1219">_xlfn.TEXTJOIN("", TRUE, IF(ISNUMBER(SEARCH($K$1379:$K$1423, C1219)), $K$1379:$K$1423, ""))</f>
        <v>Eggo</v>
      </c>
      <c r="E1219" t="str">
        <f t="shared" si="38"/>
        <v>Prepared Food</v>
      </c>
      <c r="F1219" t="str">
        <f t="shared" si="39"/>
        <v>Prepared Food</v>
      </c>
      <c r="G1219" s="1">
        <v>6.49</v>
      </c>
      <c r="H1219" t="s">
        <v>3899</v>
      </c>
      <c r="I1219" s="3" t="s">
        <v>18</v>
      </c>
    </row>
    <row r="1220" spans="1:9" x14ac:dyDescent="0.25">
      <c r="A1220" t="s">
        <v>3900</v>
      </c>
      <c r="B1220" t="s">
        <v>3056</v>
      </c>
      <c r="C1220" t="s">
        <v>3901</v>
      </c>
      <c r="D1220" t="str" cm="1">
        <f t="array" ref="D1220">_xlfn.TEXTJOIN("", TRUE, IF(ISNUMBER(SEARCH($K$1379:$K$1423, C1220)), $K$1379:$K$1423, ""))</f>
        <v>Eggo</v>
      </c>
      <c r="E1220" t="str">
        <f t="shared" si="38"/>
        <v>Prepared Food</v>
      </c>
      <c r="F1220" t="str">
        <f t="shared" si="39"/>
        <v>Prepared Food</v>
      </c>
      <c r="G1220" s="1">
        <v>3.99</v>
      </c>
      <c r="H1220" t="s">
        <v>3902</v>
      </c>
      <c r="I1220" s="3" t="s">
        <v>1707</v>
      </c>
    </row>
    <row r="1221" spans="1:9" x14ac:dyDescent="0.25">
      <c r="A1221" t="s">
        <v>3903</v>
      </c>
      <c r="B1221" t="s">
        <v>3056</v>
      </c>
      <c r="C1221" t="s">
        <v>3904</v>
      </c>
      <c r="D1221" t="str" cm="1">
        <f t="array" ref="D1221">_xlfn.TEXTJOIN("", TRUE, IF(ISNUMBER(SEARCH($K$1379:$K$1423, C1221)), $K$1379:$K$1423, ""))</f>
        <v>Eggo</v>
      </c>
      <c r="E1221" t="str">
        <f t="shared" si="38"/>
        <v>Prepared Food</v>
      </c>
      <c r="F1221" t="str">
        <f t="shared" si="39"/>
        <v>Prepared Food</v>
      </c>
      <c r="G1221" s="1">
        <v>2.99</v>
      </c>
      <c r="H1221" t="s">
        <v>2831</v>
      </c>
      <c r="I1221" s="3" t="s">
        <v>79</v>
      </c>
    </row>
    <row r="1222" spans="1:9" x14ac:dyDescent="0.25">
      <c r="A1222" t="s">
        <v>3905</v>
      </c>
      <c r="B1222" t="s">
        <v>3056</v>
      </c>
      <c r="C1222" t="s">
        <v>3906</v>
      </c>
      <c r="D1222" t="str" cm="1">
        <f t="array" ref="D1222">_xlfn.TEXTJOIN("", TRUE, IF(ISNUMBER(SEARCH($K$1379:$K$1423, C1222)), $K$1379:$K$1423, ""))</f>
        <v>Eggo</v>
      </c>
      <c r="E1222" t="str">
        <f t="shared" si="38"/>
        <v>Prepared Food</v>
      </c>
      <c r="F1222" t="str">
        <f t="shared" si="39"/>
        <v>Prepared Food</v>
      </c>
      <c r="G1222" s="1">
        <v>3.49</v>
      </c>
      <c r="H1222" t="s">
        <v>2671</v>
      </c>
      <c r="I1222" s="3" t="s">
        <v>1144</v>
      </c>
    </row>
    <row r="1223" spans="1:9" x14ac:dyDescent="0.25">
      <c r="A1223" t="s">
        <v>3907</v>
      </c>
      <c r="B1223" t="s">
        <v>3056</v>
      </c>
      <c r="C1223" t="s">
        <v>3908</v>
      </c>
      <c r="D1223" t="str" cm="1">
        <f t="array" ref="D1223">_xlfn.TEXTJOIN("", TRUE, IF(ISNUMBER(SEARCH($K$1379:$K$1423, C1223)), $K$1379:$K$1423, ""))</f>
        <v>Eggo</v>
      </c>
      <c r="E1223" t="str">
        <f t="shared" si="38"/>
        <v>Prepared Food</v>
      </c>
      <c r="F1223" t="str">
        <f t="shared" si="39"/>
        <v>Prepared Food</v>
      </c>
      <c r="G1223" s="1">
        <v>2.99</v>
      </c>
      <c r="H1223" t="s">
        <v>3864</v>
      </c>
      <c r="I1223" s="3" t="s">
        <v>1144</v>
      </c>
    </row>
    <row r="1224" spans="1:9" x14ac:dyDescent="0.25">
      <c r="A1224" t="s">
        <v>3909</v>
      </c>
      <c r="B1224" t="s">
        <v>3056</v>
      </c>
      <c r="C1224" t="s">
        <v>3910</v>
      </c>
      <c r="D1224" t="str" cm="1">
        <f t="array" ref="D1224">_xlfn.TEXTJOIN("", TRUE, IF(ISNUMBER(SEARCH($K$1379:$K$1423, C1224)), $K$1379:$K$1423, ""))</f>
        <v>Eggo</v>
      </c>
      <c r="E1224" t="str">
        <f t="shared" si="38"/>
        <v>Prepared Food</v>
      </c>
      <c r="F1224" t="str">
        <f t="shared" si="39"/>
        <v>Prepared Food</v>
      </c>
      <c r="G1224" s="1">
        <v>6.49</v>
      </c>
      <c r="H1224" t="s">
        <v>3911</v>
      </c>
      <c r="I1224" s="3" t="s">
        <v>149</v>
      </c>
    </row>
    <row r="1225" spans="1:9" x14ac:dyDescent="0.25">
      <c r="A1225" t="s">
        <v>3912</v>
      </c>
      <c r="B1225" t="s">
        <v>3056</v>
      </c>
      <c r="C1225" t="s">
        <v>3913</v>
      </c>
      <c r="D1225" t="str" cm="1">
        <f t="array" ref="D1225">_xlfn.TEXTJOIN("", TRUE, IF(ISNUMBER(SEARCH($K$1379:$K$1423, C1225)), $K$1379:$K$1423, ""))</f>
        <v>Eggo</v>
      </c>
      <c r="E1225" t="str">
        <f t="shared" si="38"/>
        <v>Prepared Food</v>
      </c>
      <c r="F1225" t="str">
        <f t="shared" si="39"/>
        <v>Prepared Food</v>
      </c>
      <c r="G1225" s="1">
        <v>3.49</v>
      </c>
      <c r="H1225" t="s">
        <v>3894</v>
      </c>
      <c r="I1225" s="3" t="s">
        <v>79</v>
      </c>
    </row>
    <row r="1226" spans="1:9" x14ac:dyDescent="0.25">
      <c r="A1226" t="s">
        <v>3914</v>
      </c>
      <c r="B1226" t="s">
        <v>3056</v>
      </c>
      <c r="C1226" t="s">
        <v>3915</v>
      </c>
      <c r="D1226" t="str" cm="1">
        <f t="array" ref="D1226">_xlfn.TEXTJOIN("", TRUE, IF(ISNUMBER(SEARCH($K$1379:$K$1423, C1226)), $K$1379:$K$1423, ""))</f>
        <v>Eggo</v>
      </c>
      <c r="E1226" t="str">
        <f t="shared" si="38"/>
        <v>Prepared Food</v>
      </c>
      <c r="F1226" t="str">
        <f t="shared" si="39"/>
        <v>Prepared Food</v>
      </c>
      <c r="G1226" s="1">
        <v>6.49</v>
      </c>
      <c r="H1226" t="s">
        <v>3899</v>
      </c>
      <c r="I1226" s="3" t="s">
        <v>18</v>
      </c>
    </row>
    <row r="1227" spans="1:9" x14ac:dyDescent="0.25">
      <c r="A1227" t="s">
        <v>3916</v>
      </c>
      <c r="B1227" t="s">
        <v>3056</v>
      </c>
      <c r="C1227" t="s">
        <v>3917</v>
      </c>
      <c r="D1227" t="str" cm="1">
        <f t="array" ref="D1227">_xlfn.TEXTJOIN("", TRUE, IF(ISNUMBER(SEARCH($K$1379:$K$1423, C1227)), $K$1379:$K$1423, ""))</f>
        <v>Eggo</v>
      </c>
      <c r="E1227" t="str">
        <f t="shared" si="38"/>
        <v>Prepared Food</v>
      </c>
      <c r="F1227" t="str">
        <f t="shared" si="39"/>
        <v>Prepared Food</v>
      </c>
      <c r="G1227" s="1">
        <v>3.99</v>
      </c>
      <c r="H1227" t="s">
        <v>3902</v>
      </c>
      <c r="I1227" s="3" t="s">
        <v>1707</v>
      </c>
    </row>
    <row r="1228" spans="1:9" x14ac:dyDescent="0.25">
      <c r="A1228" t="s">
        <v>3918</v>
      </c>
      <c r="B1228" t="s">
        <v>3056</v>
      </c>
      <c r="C1228" t="s">
        <v>3919</v>
      </c>
      <c r="D1228" t="str" cm="1">
        <f t="array" ref="D1228">_xlfn.TEXTJOIN("", TRUE, IF(ISNUMBER(SEARCH($K$1379:$K$1423, C1228)), $K$1379:$K$1423, ""))</f>
        <v>Eggo</v>
      </c>
      <c r="E1228" t="str">
        <f t="shared" si="38"/>
        <v>Prepared Food</v>
      </c>
      <c r="F1228" t="str">
        <f t="shared" si="39"/>
        <v>Prepared Food</v>
      </c>
      <c r="G1228" s="1">
        <v>6.99</v>
      </c>
      <c r="H1228" t="s">
        <v>3920</v>
      </c>
      <c r="I1228" s="3" t="s">
        <v>528</v>
      </c>
    </row>
    <row r="1229" spans="1:9" x14ac:dyDescent="0.25">
      <c r="A1229" t="s">
        <v>3921</v>
      </c>
      <c r="B1229" t="s">
        <v>3056</v>
      </c>
      <c r="C1229" t="s">
        <v>3922</v>
      </c>
      <c r="D1229" t="str" cm="1">
        <f t="array" ref="D1229">_xlfn.TEXTJOIN("", TRUE, IF(ISNUMBER(SEARCH($K$1379:$K$1423, C1229)), $K$1379:$K$1423, ""))</f>
        <v>Eggo</v>
      </c>
      <c r="E1229" t="str">
        <f t="shared" si="38"/>
        <v>Prepared Food</v>
      </c>
      <c r="F1229" t="str">
        <f t="shared" si="39"/>
        <v>Prepared Food</v>
      </c>
      <c r="G1229" s="1">
        <v>6.49</v>
      </c>
      <c r="H1229" t="s">
        <v>3899</v>
      </c>
      <c r="I1229" s="3" t="s">
        <v>18</v>
      </c>
    </row>
    <row r="1230" spans="1:9" x14ac:dyDescent="0.25">
      <c r="A1230" t="s">
        <v>3923</v>
      </c>
      <c r="B1230" t="s">
        <v>3056</v>
      </c>
      <c r="C1230" t="s">
        <v>3924</v>
      </c>
      <c r="D1230" t="str" cm="1">
        <f t="array" ref="D1230">_xlfn.TEXTJOIN("", TRUE, IF(ISNUMBER(SEARCH($K$1379:$K$1423, C1230)), $K$1379:$K$1423, ""))</f>
        <v>Eggo</v>
      </c>
      <c r="E1230" t="str">
        <f t="shared" si="38"/>
        <v>Prepared Food</v>
      </c>
      <c r="F1230" t="str">
        <f t="shared" si="39"/>
        <v>Prepared Food</v>
      </c>
      <c r="G1230" s="1">
        <v>7.29</v>
      </c>
      <c r="H1230" t="s">
        <v>3899</v>
      </c>
      <c r="I1230" s="3" t="s">
        <v>149</v>
      </c>
    </row>
    <row r="1231" spans="1:9" x14ac:dyDescent="0.25">
      <c r="A1231" t="s">
        <v>3925</v>
      </c>
      <c r="B1231" t="s">
        <v>3056</v>
      </c>
      <c r="C1231" t="s">
        <v>3926</v>
      </c>
      <c r="D1231" t="str" cm="1">
        <f t="array" ref="D1231">_xlfn.TEXTJOIN("", TRUE, IF(ISNUMBER(SEARCH($K$1379:$K$1423, C1231)), $K$1379:$K$1423, ""))</f>
        <v>Eggo</v>
      </c>
      <c r="E1231" t="str">
        <f t="shared" si="38"/>
        <v>Prepared Food</v>
      </c>
      <c r="F1231" t="str">
        <f t="shared" si="39"/>
        <v>Prepared Food</v>
      </c>
      <c r="G1231" s="1">
        <v>6.49</v>
      </c>
      <c r="H1231" t="s">
        <v>3899</v>
      </c>
      <c r="I1231" s="3" t="s">
        <v>18</v>
      </c>
    </row>
    <row r="1232" spans="1:9" x14ac:dyDescent="0.25">
      <c r="A1232" t="s">
        <v>3927</v>
      </c>
      <c r="B1232" t="s">
        <v>3056</v>
      </c>
      <c r="C1232" t="s">
        <v>3928</v>
      </c>
      <c r="D1232" t="str" cm="1">
        <f t="array" ref="D1232">_xlfn.TEXTJOIN("", TRUE, IF(ISNUMBER(SEARCH($K$1379:$K$1423, C1232)), $K$1379:$K$1423, ""))</f>
        <v>Eggo</v>
      </c>
      <c r="E1232" t="str">
        <f t="shared" si="38"/>
        <v>Prepared Food</v>
      </c>
      <c r="F1232" t="str">
        <f t="shared" si="39"/>
        <v>Prepared Food</v>
      </c>
      <c r="G1232" s="1">
        <v>3.99</v>
      </c>
      <c r="H1232" t="s">
        <v>3902</v>
      </c>
      <c r="I1232" s="3" t="s">
        <v>1707</v>
      </c>
    </row>
    <row r="1233" spans="1:9" x14ac:dyDescent="0.25">
      <c r="A1233" t="s">
        <v>3929</v>
      </c>
      <c r="B1233" t="s">
        <v>3056</v>
      </c>
      <c r="C1233" t="s">
        <v>3930</v>
      </c>
      <c r="D1233" t="str" cm="1">
        <f t="array" ref="D1233">_xlfn.TEXTJOIN("", TRUE, IF(ISNUMBER(SEARCH($K$1379:$K$1423, C1233)), $K$1379:$K$1423, ""))</f>
        <v>Eggo</v>
      </c>
      <c r="E1233" t="str">
        <f t="shared" si="38"/>
        <v>Prepared Food</v>
      </c>
      <c r="F1233" t="str">
        <f t="shared" si="39"/>
        <v>Prepared Food</v>
      </c>
      <c r="G1233" s="1">
        <v>2.99</v>
      </c>
      <c r="H1233" t="s">
        <v>3864</v>
      </c>
      <c r="I1233" s="3" t="s">
        <v>1144</v>
      </c>
    </row>
    <row r="1234" spans="1:9" x14ac:dyDescent="0.25">
      <c r="A1234" t="s">
        <v>3931</v>
      </c>
      <c r="B1234" t="s">
        <v>3056</v>
      </c>
      <c r="C1234" t="s">
        <v>3932</v>
      </c>
      <c r="D1234" t="str" cm="1">
        <f t="array" ref="D1234">_xlfn.TEXTJOIN("", TRUE, IF(ISNUMBER(SEARCH($K$1379:$K$1423, C1234)), $K$1379:$K$1423, ""))</f>
        <v>Eggo</v>
      </c>
      <c r="E1234" t="str">
        <f t="shared" si="38"/>
        <v>Prepared Food</v>
      </c>
      <c r="F1234" t="str">
        <f t="shared" si="39"/>
        <v>Prepared Food</v>
      </c>
      <c r="G1234" s="1">
        <v>5.99</v>
      </c>
      <c r="H1234" t="s">
        <v>3864</v>
      </c>
      <c r="I1234" s="3" t="s">
        <v>1315</v>
      </c>
    </row>
    <row r="1235" spans="1:9" x14ac:dyDescent="0.25">
      <c r="A1235" t="s">
        <v>3933</v>
      </c>
      <c r="B1235" t="s">
        <v>3056</v>
      </c>
      <c r="C1235" t="s">
        <v>3934</v>
      </c>
      <c r="D1235" t="str" cm="1">
        <f t="array" ref="D1235">_xlfn.TEXTJOIN("", TRUE, IF(ISNUMBER(SEARCH($K$1379:$K$1423, C1235)), $K$1379:$K$1423, ""))</f>
        <v>Eggo</v>
      </c>
      <c r="E1235" t="str">
        <f t="shared" si="38"/>
        <v>Prepared Food</v>
      </c>
      <c r="F1235" t="str">
        <f t="shared" si="39"/>
        <v>Prepared Food</v>
      </c>
      <c r="G1235" s="1">
        <v>3.49</v>
      </c>
      <c r="H1235" t="s">
        <v>2671</v>
      </c>
      <c r="I1235" s="3" t="s">
        <v>1144</v>
      </c>
    </row>
    <row r="1236" spans="1:9" x14ac:dyDescent="0.25">
      <c r="A1236" t="s">
        <v>3935</v>
      </c>
      <c r="B1236" t="s">
        <v>3056</v>
      </c>
      <c r="C1236" t="s">
        <v>3936</v>
      </c>
      <c r="D1236" t="str" cm="1">
        <f t="array" ref="D1236">_xlfn.TEXTJOIN("", TRUE, IF(ISNUMBER(SEARCH($K$1379:$K$1423, C1236)), $K$1379:$K$1423, ""))</f>
        <v>Eggo</v>
      </c>
      <c r="E1236" t="str">
        <f t="shared" si="38"/>
        <v>Prepared Food</v>
      </c>
      <c r="F1236" t="str">
        <f t="shared" si="39"/>
        <v>Prepared Food</v>
      </c>
      <c r="G1236" s="1">
        <v>3.99</v>
      </c>
      <c r="H1236" t="s">
        <v>3902</v>
      </c>
      <c r="I1236" s="3" t="s">
        <v>1707</v>
      </c>
    </row>
    <row r="1237" spans="1:9" x14ac:dyDescent="0.25">
      <c r="A1237" t="s">
        <v>3937</v>
      </c>
      <c r="B1237" t="s">
        <v>3056</v>
      </c>
      <c r="C1237" t="s">
        <v>3938</v>
      </c>
      <c r="D1237" t="str" cm="1">
        <f t="array" ref="D1237">_xlfn.TEXTJOIN("", TRUE, IF(ISNUMBER(SEARCH($K$1379:$K$1423, C1237)), $K$1379:$K$1423, ""))</f>
        <v>Eggo</v>
      </c>
      <c r="E1237" t="str">
        <f t="shared" si="38"/>
        <v>Prepared Food</v>
      </c>
      <c r="F1237" t="str">
        <f t="shared" si="39"/>
        <v>Prepared Food</v>
      </c>
      <c r="G1237" s="1">
        <v>2.99</v>
      </c>
      <c r="H1237" t="s">
        <v>1295</v>
      </c>
      <c r="I1237" s="3" t="s">
        <v>320</v>
      </c>
    </row>
    <row r="1238" spans="1:9" x14ac:dyDescent="0.25">
      <c r="A1238" t="s">
        <v>3939</v>
      </c>
      <c r="B1238" t="s">
        <v>3056</v>
      </c>
      <c r="C1238" t="s">
        <v>3940</v>
      </c>
      <c r="D1238" t="str" cm="1">
        <f t="array" ref="D1238">_xlfn.TEXTJOIN("", TRUE, IF(ISNUMBER(SEARCH($K$1379:$K$1423, C1238)), $K$1379:$K$1423, ""))</f>
        <v>Eggo</v>
      </c>
      <c r="E1238" t="str">
        <f t="shared" si="38"/>
        <v>Prepared Food</v>
      </c>
      <c r="F1238" t="str">
        <f t="shared" si="39"/>
        <v>Prepared Food</v>
      </c>
      <c r="G1238" s="1">
        <v>5.99</v>
      </c>
      <c r="H1238" t="s">
        <v>3941</v>
      </c>
      <c r="I1238" s="3" t="s">
        <v>2760</v>
      </c>
    </row>
    <row r="1239" spans="1:9" x14ac:dyDescent="0.25">
      <c r="A1239" t="s">
        <v>3942</v>
      </c>
      <c r="B1239" t="s">
        <v>3056</v>
      </c>
      <c r="C1239" t="s">
        <v>3943</v>
      </c>
      <c r="D1239" t="str" cm="1">
        <f t="array" ref="D1239">_xlfn.TEXTJOIN("", TRUE, IF(ISNUMBER(SEARCH($K$1379:$K$1423, C1239)), $K$1379:$K$1423, ""))</f>
        <v>Eggo</v>
      </c>
      <c r="E1239" t="str">
        <f t="shared" si="38"/>
        <v>Prepared Food</v>
      </c>
      <c r="F1239" t="str">
        <f t="shared" si="39"/>
        <v>Prepared Food</v>
      </c>
      <c r="G1239" s="1">
        <v>5.99</v>
      </c>
      <c r="H1239" t="s">
        <v>2671</v>
      </c>
      <c r="I1239" s="3" t="s">
        <v>1518</v>
      </c>
    </row>
    <row r="1240" spans="1:9" x14ac:dyDescent="0.25">
      <c r="A1240" t="s">
        <v>3944</v>
      </c>
      <c r="B1240" t="s">
        <v>3056</v>
      </c>
      <c r="C1240" t="s">
        <v>3945</v>
      </c>
      <c r="D1240" t="str" cm="1">
        <f t="array" ref="D1240">_xlfn.TEXTJOIN("", TRUE, IF(ISNUMBER(SEARCH($K$1379:$K$1423, C1240)), $K$1379:$K$1423, ""))</f>
        <v>Eggo</v>
      </c>
      <c r="E1240" t="str">
        <f t="shared" si="38"/>
        <v>Prepared Food</v>
      </c>
      <c r="F1240" t="str">
        <f t="shared" si="39"/>
        <v>Prepared Food</v>
      </c>
      <c r="G1240" s="1">
        <v>10.49</v>
      </c>
      <c r="H1240" t="s">
        <v>3946</v>
      </c>
      <c r="I1240" s="3" t="s">
        <v>868</v>
      </c>
    </row>
    <row r="1241" spans="1:9" x14ac:dyDescent="0.25">
      <c r="A1241" t="s">
        <v>3947</v>
      </c>
      <c r="B1241" t="s">
        <v>3056</v>
      </c>
      <c r="C1241" t="s">
        <v>3948</v>
      </c>
      <c r="D1241" t="str" cm="1">
        <f t="array" ref="D1241">_xlfn.TEXTJOIN("", TRUE, IF(ISNUMBER(SEARCH($K$1379:$K$1423, C1241)), $K$1379:$K$1423, ""))</f>
        <v>Eggo</v>
      </c>
      <c r="E1241" t="str">
        <f t="shared" si="38"/>
        <v>Prepared Food</v>
      </c>
      <c r="F1241" t="str">
        <f t="shared" si="39"/>
        <v>Prepared Food</v>
      </c>
      <c r="G1241" s="1">
        <v>2.99</v>
      </c>
      <c r="H1241" t="s">
        <v>3864</v>
      </c>
      <c r="I1241" s="3" t="s">
        <v>1144</v>
      </c>
    </row>
    <row r="1242" spans="1:9" x14ac:dyDescent="0.25">
      <c r="A1242" t="s">
        <v>3949</v>
      </c>
      <c r="B1242" t="s">
        <v>3056</v>
      </c>
      <c r="C1242" t="s">
        <v>3950</v>
      </c>
      <c r="D1242" t="str" cm="1">
        <f t="array" ref="D1242">_xlfn.TEXTJOIN("", TRUE, IF(ISNUMBER(SEARCH($K$1379:$K$1423, C1242)), $K$1379:$K$1423, ""))</f>
        <v>Eggo</v>
      </c>
      <c r="E1242" t="str">
        <f t="shared" si="38"/>
        <v>Prepared Food</v>
      </c>
      <c r="F1242" t="str">
        <f t="shared" si="39"/>
        <v>Prepared Food</v>
      </c>
      <c r="G1242" s="1">
        <v>5.99</v>
      </c>
      <c r="H1242" t="s">
        <v>2671</v>
      </c>
      <c r="I1242" s="3" t="s">
        <v>1518</v>
      </c>
    </row>
    <row r="1243" spans="1:9" x14ac:dyDescent="0.25">
      <c r="A1243" t="s">
        <v>3951</v>
      </c>
      <c r="B1243" t="s">
        <v>3056</v>
      </c>
      <c r="C1243" t="s">
        <v>3952</v>
      </c>
      <c r="D1243" t="str" cm="1">
        <f t="array" ref="D1243">_xlfn.TEXTJOIN("", TRUE, IF(ISNUMBER(SEARCH($K$1379:$K$1423, C1243)), $K$1379:$K$1423, ""))</f>
        <v>Eggo</v>
      </c>
      <c r="E1243" t="str">
        <f t="shared" si="38"/>
        <v>Prepared Food</v>
      </c>
      <c r="F1243" t="str">
        <f t="shared" si="39"/>
        <v>Prepared Food</v>
      </c>
      <c r="G1243" s="1">
        <v>5.99</v>
      </c>
      <c r="H1243" t="s">
        <v>3941</v>
      </c>
      <c r="I1243" s="3" t="s">
        <v>2760</v>
      </c>
    </row>
    <row r="1244" spans="1:9" x14ac:dyDescent="0.25">
      <c r="A1244" t="s">
        <v>3953</v>
      </c>
      <c r="B1244" t="s">
        <v>3056</v>
      </c>
      <c r="C1244" t="s">
        <v>3954</v>
      </c>
      <c r="D1244" t="str" cm="1">
        <f t="array" ref="D1244">_xlfn.TEXTJOIN("", TRUE, IF(ISNUMBER(SEARCH($K$1379:$K$1423, C1244)), $K$1379:$K$1423, ""))</f>
        <v>Eggo</v>
      </c>
      <c r="E1244" t="str">
        <f t="shared" si="38"/>
        <v>Prepared Food</v>
      </c>
      <c r="F1244" t="str">
        <f t="shared" si="39"/>
        <v>Prepared Food</v>
      </c>
      <c r="G1244" s="1">
        <v>5.99</v>
      </c>
      <c r="H1244" t="s">
        <v>3941</v>
      </c>
      <c r="I1244" s="3" t="s">
        <v>2760</v>
      </c>
    </row>
    <row r="1245" spans="1:9" x14ac:dyDescent="0.25">
      <c r="A1245" t="s">
        <v>3955</v>
      </c>
      <c r="B1245" t="s">
        <v>3956</v>
      </c>
      <c r="C1245" t="s">
        <v>3957</v>
      </c>
      <c r="D1245" t="str" cm="1">
        <f t="array" ref="D1245">_xlfn.TEXTJOIN("", TRUE, IF(ISNUMBER(SEARCH($K$1379:$K$1423, C1245)), $K$1379:$K$1423, ""))</f>
        <v>Starbucks</v>
      </c>
      <c r="E1245" t="str">
        <f t="shared" si="38"/>
        <v>Beverages</v>
      </c>
      <c r="F1245" t="str">
        <f t="shared" si="39"/>
        <v>Beverages</v>
      </c>
      <c r="G1245" s="1">
        <v>7.79</v>
      </c>
      <c r="H1245" t="s">
        <v>3959</v>
      </c>
      <c r="I1245" s="3" t="s">
        <v>490</v>
      </c>
    </row>
    <row r="1246" spans="1:9" x14ac:dyDescent="0.25">
      <c r="A1246" t="s">
        <v>3960</v>
      </c>
      <c r="B1246" t="s">
        <v>3961</v>
      </c>
      <c r="C1246" t="s">
        <v>3962</v>
      </c>
      <c r="D1246" t="str" cm="1">
        <f t="array" ref="D1246">_xlfn.TEXTJOIN("", TRUE, IF(ISNUMBER(SEARCH($K$1379:$K$1423, C1246)), $K$1379:$K$1423, ""))</f>
        <v>Starbucks</v>
      </c>
      <c r="E1246" t="str">
        <f t="shared" si="38"/>
        <v>Beverages</v>
      </c>
      <c r="F1246" t="str">
        <f t="shared" si="39"/>
        <v>Beverages</v>
      </c>
      <c r="G1246" s="1">
        <v>7.79</v>
      </c>
      <c r="H1246" t="s">
        <v>3959</v>
      </c>
      <c r="I1246" s="3" t="s">
        <v>2253</v>
      </c>
    </row>
    <row r="1247" spans="1:9" x14ac:dyDescent="0.25">
      <c r="A1247" t="s">
        <v>3963</v>
      </c>
      <c r="B1247" t="s">
        <v>3964</v>
      </c>
      <c r="C1247" t="s">
        <v>3965</v>
      </c>
      <c r="D1247" t="str" cm="1">
        <f t="array" ref="D1247">_xlfn.TEXTJOIN("", TRUE, IF(ISNUMBER(SEARCH($K$1379:$K$1423, C1247)), $K$1379:$K$1423, ""))</f>
        <v>Starbucks</v>
      </c>
      <c r="E1247" t="str">
        <f t="shared" si="38"/>
        <v>Beverages</v>
      </c>
      <c r="F1247" t="str">
        <f t="shared" si="39"/>
        <v>Beverages</v>
      </c>
      <c r="G1247" s="1">
        <v>3.66</v>
      </c>
      <c r="H1247" t="s">
        <v>3966</v>
      </c>
      <c r="I1247" s="3" t="s">
        <v>79</v>
      </c>
    </row>
    <row r="1248" spans="1:9" x14ac:dyDescent="0.25">
      <c r="A1248" t="s">
        <v>3967</v>
      </c>
      <c r="B1248" t="s">
        <v>3968</v>
      </c>
      <c r="C1248" t="s">
        <v>3969</v>
      </c>
      <c r="D1248" t="str" cm="1">
        <f t="array" ref="D1248">_xlfn.TEXTJOIN("", TRUE, IF(ISNUMBER(SEARCH($K$1379:$K$1423, C1248)), $K$1379:$K$1423, ""))</f>
        <v>Starbucks</v>
      </c>
      <c r="E1248" t="str">
        <f t="shared" si="38"/>
        <v>Beverages</v>
      </c>
      <c r="F1248" t="str">
        <f t="shared" si="39"/>
        <v>Beverages</v>
      </c>
      <c r="G1248" s="1">
        <v>3.66</v>
      </c>
      <c r="H1248" t="s">
        <v>3966</v>
      </c>
      <c r="I1248" s="3" t="s">
        <v>79</v>
      </c>
    </row>
    <row r="1249" spans="1:9" x14ac:dyDescent="0.25">
      <c r="A1249" t="s">
        <v>3970</v>
      </c>
      <c r="B1249" t="s">
        <v>3971</v>
      </c>
      <c r="C1249" t="s">
        <v>3972</v>
      </c>
      <c r="D1249" t="str" cm="1">
        <f t="array" ref="D1249">_xlfn.TEXTJOIN("", TRUE, IF(ISNUMBER(SEARCH($K$1379:$K$1423, C1249)), $K$1379:$K$1423, ""))</f>
        <v>Starbucks</v>
      </c>
      <c r="E1249" t="str">
        <f t="shared" si="38"/>
        <v>Beverages</v>
      </c>
      <c r="F1249" t="str">
        <f t="shared" si="39"/>
        <v>Beverages</v>
      </c>
      <c r="G1249" s="1">
        <v>7.79</v>
      </c>
      <c r="H1249" t="s">
        <v>3959</v>
      </c>
      <c r="I1249" s="3" t="s">
        <v>490</v>
      </c>
    </row>
    <row r="1250" spans="1:9" x14ac:dyDescent="0.25">
      <c r="A1250" t="s">
        <v>3973</v>
      </c>
      <c r="B1250" t="s">
        <v>3974</v>
      </c>
      <c r="C1250" t="s">
        <v>3975</v>
      </c>
      <c r="D1250" t="str" cm="1">
        <f t="array" ref="D1250">_xlfn.TEXTJOIN("", TRUE, IF(ISNUMBER(SEARCH($K$1379:$K$1423, C1250)), $K$1379:$K$1423, ""))</f>
        <v>Starbucks</v>
      </c>
      <c r="E1250" t="str">
        <f t="shared" si="38"/>
        <v>Beverages</v>
      </c>
      <c r="F1250" t="str">
        <f t="shared" si="39"/>
        <v>Beverages</v>
      </c>
      <c r="G1250" s="1">
        <v>3.66</v>
      </c>
      <c r="H1250" t="s">
        <v>3966</v>
      </c>
      <c r="I1250" s="3" t="s">
        <v>79</v>
      </c>
    </row>
    <row r="1251" spans="1:9" x14ac:dyDescent="0.25">
      <c r="A1251" t="s">
        <v>3976</v>
      </c>
      <c r="B1251" t="s">
        <v>3977</v>
      </c>
      <c r="C1251" t="s">
        <v>3978</v>
      </c>
      <c r="D1251" t="str" cm="1">
        <f t="array" ref="D1251">_xlfn.TEXTJOIN("", TRUE, IF(ISNUMBER(SEARCH($K$1379:$K$1423, C1251)), $K$1379:$K$1423, ""))</f>
        <v>Starbucks</v>
      </c>
      <c r="E1251" t="str">
        <f t="shared" si="38"/>
        <v>Beverages</v>
      </c>
      <c r="F1251" t="str">
        <f t="shared" si="39"/>
        <v>Beverages</v>
      </c>
      <c r="G1251" s="1">
        <v>7.79</v>
      </c>
      <c r="H1251" t="s">
        <v>3959</v>
      </c>
      <c r="I1251" s="3" t="s">
        <v>490</v>
      </c>
    </row>
    <row r="1252" spans="1:9" x14ac:dyDescent="0.25">
      <c r="A1252" t="s">
        <v>3979</v>
      </c>
      <c r="B1252" t="s">
        <v>3980</v>
      </c>
      <c r="C1252" t="s">
        <v>3981</v>
      </c>
      <c r="D1252" t="str" cm="1">
        <f t="array" ref="D1252">_xlfn.TEXTJOIN("", TRUE, IF(ISNUMBER(SEARCH($K$1379:$K$1423, C1252)), $K$1379:$K$1423, ""))</f>
        <v>Starbucks</v>
      </c>
      <c r="E1252" t="str">
        <f t="shared" si="38"/>
        <v>Beverages</v>
      </c>
      <c r="F1252" t="str">
        <f t="shared" si="39"/>
        <v>Beverages</v>
      </c>
      <c r="G1252" s="1">
        <v>3.66</v>
      </c>
      <c r="H1252" t="s">
        <v>3966</v>
      </c>
      <c r="I1252" s="3" t="s">
        <v>79</v>
      </c>
    </row>
    <row r="1253" spans="1:9" x14ac:dyDescent="0.25">
      <c r="A1253" t="s">
        <v>3982</v>
      </c>
      <c r="B1253" t="s">
        <v>3983</v>
      </c>
      <c r="C1253" t="s">
        <v>3984</v>
      </c>
      <c r="D1253" t="str" cm="1">
        <f t="array" ref="D1253">_xlfn.TEXTJOIN("", TRUE, IF(ISNUMBER(SEARCH($K$1379:$K$1423, C1253)), $K$1379:$K$1423, ""))</f>
        <v>Starbucks</v>
      </c>
      <c r="E1253" t="str">
        <f t="shared" si="38"/>
        <v>Beverages</v>
      </c>
      <c r="F1253" t="str">
        <f t="shared" si="39"/>
        <v>Beverages</v>
      </c>
      <c r="G1253" s="1">
        <v>3.66</v>
      </c>
      <c r="H1253" t="s">
        <v>3966</v>
      </c>
      <c r="I1253" s="3" t="s">
        <v>79</v>
      </c>
    </row>
    <row r="1254" spans="1:9" x14ac:dyDescent="0.25">
      <c r="A1254" t="s">
        <v>3985</v>
      </c>
      <c r="B1254" t="s">
        <v>3986</v>
      </c>
      <c r="C1254" t="s">
        <v>3987</v>
      </c>
      <c r="D1254" t="str" cm="1">
        <f t="array" ref="D1254">_xlfn.TEXTJOIN("", TRUE, IF(ISNUMBER(SEARCH($K$1379:$K$1423, C1254)), $K$1379:$K$1423, ""))</f>
        <v>Starbucks</v>
      </c>
      <c r="E1254" t="str">
        <f t="shared" si="38"/>
        <v>Beverages</v>
      </c>
      <c r="F1254" t="str">
        <f t="shared" si="39"/>
        <v>Beverages</v>
      </c>
      <c r="G1254" s="1">
        <v>3.66</v>
      </c>
      <c r="H1254" t="s">
        <v>3966</v>
      </c>
      <c r="I1254" s="3" t="s">
        <v>79</v>
      </c>
    </row>
    <row r="1255" spans="1:9" x14ac:dyDescent="0.25">
      <c r="A1255" t="s">
        <v>3988</v>
      </c>
      <c r="B1255" t="s">
        <v>3989</v>
      </c>
      <c r="C1255" t="s">
        <v>3990</v>
      </c>
      <c r="D1255" t="str" cm="1">
        <f t="array" ref="D1255">_xlfn.TEXTJOIN("", TRUE, IF(ISNUMBER(SEARCH($K$1379:$K$1423, C1255)), $K$1379:$K$1423, ""))</f>
        <v>Starbucks</v>
      </c>
      <c r="E1255" t="str">
        <f t="shared" si="38"/>
        <v>Beverages</v>
      </c>
      <c r="F1255" t="str">
        <f t="shared" si="39"/>
        <v>Beverages</v>
      </c>
      <c r="G1255" s="1">
        <v>3.66</v>
      </c>
      <c r="H1255" t="s">
        <v>3966</v>
      </c>
      <c r="I1255" s="3" t="s">
        <v>79</v>
      </c>
    </row>
    <row r="1256" spans="1:9" ht="16.5" customHeight="1" x14ac:dyDescent="0.25">
      <c r="A1256" t="s">
        <v>3991</v>
      </c>
      <c r="B1256" t="s">
        <v>3992</v>
      </c>
      <c r="C1256" t="s">
        <v>3993</v>
      </c>
      <c r="D1256" t="str" cm="1">
        <f t="array" ref="D1256">_xlfn.TEXTJOIN("", TRUE, IF(ISNUMBER(SEARCH($K$1379:$K$1423, C1256)), $K$1379:$K$1423, ""))</f>
        <v>Starbucks</v>
      </c>
      <c r="E1256" t="str">
        <f t="shared" si="38"/>
        <v>Beverages</v>
      </c>
      <c r="F1256" t="str">
        <f t="shared" si="39"/>
        <v>Beverages</v>
      </c>
      <c r="G1256" s="1">
        <v>6.79</v>
      </c>
      <c r="H1256" t="s">
        <v>3994</v>
      </c>
      <c r="I1256" s="3" t="s">
        <v>83</v>
      </c>
    </row>
    <row r="1257" spans="1:9" x14ac:dyDescent="0.25">
      <c r="A1257" t="s">
        <v>3995</v>
      </c>
      <c r="B1257" t="s">
        <v>3996</v>
      </c>
      <c r="C1257" t="s">
        <v>3997</v>
      </c>
      <c r="D1257" t="str" cm="1">
        <f t="array" ref="D1257">_xlfn.TEXTJOIN("", TRUE, IF(ISNUMBER(SEARCH($K$1379:$K$1423, C1257)), $K$1379:$K$1423, ""))</f>
        <v>Hershey's</v>
      </c>
      <c r="E1257" t="str">
        <f t="shared" si="38"/>
        <v>Prepared Food</v>
      </c>
      <c r="F1257" t="str">
        <f t="shared" si="39"/>
        <v>Prepared Food</v>
      </c>
      <c r="G1257" s="1">
        <v>7.49</v>
      </c>
      <c r="H1257" t="s">
        <v>3999</v>
      </c>
      <c r="I1257" s="3" t="s">
        <v>4000</v>
      </c>
    </row>
    <row r="1258" spans="1:9" x14ac:dyDescent="0.25">
      <c r="A1258" t="s">
        <v>4001</v>
      </c>
      <c r="B1258" t="s">
        <v>4002</v>
      </c>
      <c r="C1258" t="s">
        <v>4003</v>
      </c>
      <c r="D1258" t="str" cm="1">
        <f t="array" ref="D1258">_xlfn.TEXTJOIN("", TRUE, IF(ISNUMBER(SEARCH($K$1379:$K$1423, C1258)), $K$1379:$K$1423, ""))</f>
        <v>Hershey's</v>
      </c>
      <c r="E1258" t="str">
        <f t="shared" si="38"/>
        <v>Prepared Food</v>
      </c>
      <c r="F1258" t="str">
        <f t="shared" si="39"/>
        <v>Prepared Food</v>
      </c>
      <c r="G1258" s="1">
        <v>1</v>
      </c>
      <c r="H1258" t="s">
        <v>4004</v>
      </c>
      <c r="I1258" s="3" t="s">
        <v>2648</v>
      </c>
    </row>
    <row r="1259" spans="1:9" x14ac:dyDescent="0.25">
      <c r="A1259" t="s">
        <v>4005</v>
      </c>
      <c r="B1259" t="s">
        <v>4006</v>
      </c>
      <c r="C1259" t="s">
        <v>4007</v>
      </c>
      <c r="D1259" t="str" cm="1">
        <f t="array" ref="D1259">_xlfn.TEXTJOIN("", TRUE, IF(ISNUMBER(SEARCH($K$1379:$K$1423, C1259)), $K$1379:$K$1423, ""))</f>
        <v>Hershey's</v>
      </c>
      <c r="E1259" t="str">
        <f t="shared" si="38"/>
        <v>Prepared Food</v>
      </c>
      <c r="F1259" t="str">
        <f t="shared" si="39"/>
        <v>Prepared Food</v>
      </c>
      <c r="G1259" s="1">
        <v>1</v>
      </c>
      <c r="H1259" t="s">
        <v>4008</v>
      </c>
      <c r="I1259" s="3" t="s">
        <v>2620</v>
      </c>
    </row>
    <row r="1260" spans="1:9" x14ac:dyDescent="0.25">
      <c r="A1260" t="s">
        <v>4009</v>
      </c>
      <c r="B1260" t="s">
        <v>4010</v>
      </c>
      <c r="C1260" t="s">
        <v>4011</v>
      </c>
      <c r="D1260" t="str" cm="1">
        <f t="array" ref="D1260">_xlfn.TEXTJOIN("", TRUE, IF(ISNUMBER(SEARCH($K$1379:$K$1423, C1260)), $K$1379:$K$1423, ""))</f>
        <v>Hershey's</v>
      </c>
      <c r="E1260" t="str">
        <f t="shared" si="38"/>
        <v>Prepared Food</v>
      </c>
      <c r="F1260" t="str">
        <f t="shared" si="39"/>
        <v>Prepared Food</v>
      </c>
      <c r="G1260" s="1">
        <v>1.99</v>
      </c>
      <c r="H1260" t="s">
        <v>4012</v>
      </c>
      <c r="I1260" s="3" t="s">
        <v>1717</v>
      </c>
    </row>
    <row r="1261" spans="1:9" x14ac:dyDescent="0.25">
      <c r="A1261" t="s">
        <v>4013</v>
      </c>
      <c r="B1261" t="s">
        <v>4014</v>
      </c>
      <c r="C1261" t="s">
        <v>4015</v>
      </c>
      <c r="D1261" t="str" cm="1">
        <f t="array" ref="D1261">_xlfn.TEXTJOIN("", TRUE, IF(ISNUMBER(SEARCH($K$1379:$K$1423, C1261)), $K$1379:$K$1423, ""))</f>
        <v>Hershey's</v>
      </c>
      <c r="E1261" t="str">
        <f t="shared" si="38"/>
        <v>Prepared Food</v>
      </c>
      <c r="F1261" t="str">
        <f t="shared" si="39"/>
        <v>Prepared Food</v>
      </c>
      <c r="G1261" s="1">
        <v>7.49</v>
      </c>
      <c r="H1261" t="s">
        <v>4016</v>
      </c>
      <c r="I1261" s="3" t="s">
        <v>4017</v>
      </c>
    </row>
    <row r="1262" spans="1:9" x14ac:dyDescent="0.25">
      <c r="A1262" t="s">
        <v>4018</v>
      </c>
      <c r="B1262" t="s">
        <v>4019</v>
      </c>
      <c r="C1262" t="s">
        <v>4020</v>
      </c>
      <c r="D1262" t="str" cm="1">
        <f t="array" ref="D1262">_xlfn.TEXTJOIN("", TRUE, IF(ISNUMBER(SEARCH($K$1379:$K$1423, C1262)), $K$1379:$K$1423, ""))</f>
        <v>Hershey's</v>
      </c>
      <c r="E1262" t="str">
        <f t="shared" si="38"/>
        <v>Prepared Food</v>
      </c>
      <c r="F1262" t="str">
        <f t="shared" si="39"/>
        <v>Prepared Food</v>
      </c>
      <c r="G1262" s="1">
        <v>2.39</v>
      </c>
      <c r="H1262" t="s">
        <v>4021</v>
      </c>
      <c r="I1262" s="3" t="s">
        <v>2305</v>
      </c>
    </row>
    <row r="1263" spans="1:9" x14ac:dyDescent="0.25">
      <c r="A1263" t="s">
        <v>4022</v>
      </c>
      <c r="B1263" t="s">
        <v>4023</v>
      </c>
      <c r="C1263" t="s">
        <v>4024</v>
      </c>
      <c r="D1263" t="str" cm="1">
        <f t="array" ref="D1263">_xlfn.TEXTJOIN("", TRUE, IF(ISNUMBER(SEARCH($K$1379:$K$1423, C1263)), $K$1379:$K$1423, ""))</f>
        <v>Hershey's</v>
      </c>
      <c r="E1263" t="str">
        <f t="shared" si="38"/>
        <v>Prepared Food</v>
      </c>
      <c r="F1263" t="str">
        <f t="shared" si="39"/>
        <v>Prepared Food</v>
      </c>
      <c r="G1263" s="1">
        <v>5.99</v>
      </c>
      <c r="H1263" t="s">
        <v>4025</v>
      </c>
      <c r="I1263" s="3" t="s">
        <v>1724</v>
      </c>
    </row>
    <row r="1264" spans="1:9" x14ac:dyDescent="0.25">
      <c r="A1264" t="s">
        <v>4026</v>
      </c>
      <c r="B1264" t="s">
        <v>4027</v>
      </c>
      <c r="C1264" t="s">
        <v>4028</v>
      </c>
      <c r="D1264" t="str" cm="1">
        <f t="array" ref="D1264">_xlfn.TEXTJOIN("", TRUE, IF(ISNUMBER(SEARCH($K$1379:$K$1423, C1264)), $K$1379:$K$1423, ""))</f>
        <v>Hershey's</v>
      </c>
      <c r="E1264" t="str">
        <f t="shared" si="38"/>
        <v>Prepared Food</v>
      </c>
      <c r="F1264" t="str">
        <f t="shared" si="39"/>
        <v>Prepared Food</v>
      </c>
      <c r="G1264" s="1">
        <v>2.39</v>
      </c>
      <c r="H1264" t="s">
        <v>4021</v>
      </c>
      <c r="I1264" s="3" t="s">
        <v>2305</v>
      </c>
    </row>
    <row r="1265" spans="1:9" x14ac:dyDescent="0.25">
      <c r="A1265" t="s">
        <v>4029</v>
      </c>
      <c r="B1265" t="s">
        <v>4030</v>
      </c>
      <c r="C1265" t="s">
        <v>4031</v>
      </c>
      <c r="D1265" t="str" cm="1">
        <f t="array" ref="D1265">_xlfn.TEXTJOIN("", TRUE, IF(ISNUMBER(SEARCH($K$1379:$K$1423, C1265)), $K$1379:$K$1423, ""))</f>
        <v>Hershey's</v>
      </c>
      <c r="E1265" t="str">
        <f t="shared" si="38"/>
        <v>Prepared Food</v>
      </c>
      <c r="F1265" t="str">
        <f t="shared" si="39"/>
        <v>Prepared Food</v>
      </c>
      <c r="G1265" s="1">
        <v>5.39</v>
      </c>
      <c r="H1265" t="s">
        <v>4032</v>
      </c>
      <c r="I1265" s="3" t="s">
        <v>4033</v>
      </c>
    </row>
    <row r="1266" spans="1:9" x14ac:dyDescent="0.25">
      <c r="A1266" t="s">
        <v>4034</v>
      </c>
      <c r="B1266" t="s">
        <v>4035</v>
      </c>
      <c r="C1266" t="s">
        <v>4036</v>
      </c>
      <c r="D1266" t="str" cm="1">
        <f t="array" ref="D1266">_xlfn.TEXTJOIN("", TRUE, IF(ISNUMBER(SEARCH($K$1379:$K$1423, C1266)), $K$1379:$K$1423, ""))</f>
        <v>Hershey's</v>
      </c>
      <c r="E1266" t="str">
        <f t="shared" si="38"/>
        <v>Prepared Food</v>
      </c>
      <c r="F1266" t="str">
        <f t="shared" si="39"/>
        <v>Prepared Food</v>
      </c>
      <c r="G1266" s="1">
        <v>7.49</v>
      </c>
      <c r="H1266" t="s">
        <v>4016</v>
      </c>
      <c r="I1266" s="3" t="s">
        <v>4017</v>
      </c>
    </row>
    <row r="1267" spans="1:9" x14ac:dyDescent="0.25">
      <c r="A1267" t="s">
        <v>4037</v>
      </c>
      <c r="B1267" t="s">
        <v>3056</v>
      </c>
      <c r="C1267" t="s">
        <v>4038</v>
      </c>
      <c r="D1267" t="str" cm="1">
        <f t="array" ref="D1267">_xlfn.TEXTJOIN("", TRUE, IF(ISNUMBER(SEARCH($K$1379:$K$1423, C1267)), $K$1379:$K$1423, ""))</f>
        <v>Hershey's</v>
      </c>
      <c r="E1267" t="str">
        <f t="shared" si="38"/>
        <v>Prepared Food</v>
      </c>
      <c r="F1267" t="str">
        <f t="shared" si="39"/>
        <v>Prepared Food</v>
      </c>
      <c r="G1267" s="1">
        <v>1.99</v>
      </c>
      <c r="H1267" t="s">
        <v>4012</v>
      </c>
      <c r="I1267" s="3" t="s">
        <v>1717</v>
      </c>
    </row>
    <row r="1268" spans="1:9" x14ac:dyDescent="0.25">
      <c r="A1268" t="s">
        <v>4039</v>
      </c>
      <c r="B1268" t="s">
        <v>3056</v>
      </c>
      <c r="C1268" t="s">
        <v>4040</v>
      </c>
      <c r="D1268" t="str" cm="1">
        <f t="array" ref="D1268">_xlfn.TEXTJOIN("", TRUE, IF(ISNUMBER(SEARCH($K$1379:$K$1423, C1268)), $K$1379:$K$1423, ""))</f>
        <v>Hershey's</v>
      </c>
      <c r="E1268" t="str">
        <f t="shared" si="38"/>
        <v>Prepared Food</v>
      </c>
      <c r="F1268" t="str">
        <f t="shared" si="39"/>
        <v>Prepared Food</v>
      </c>
      <c r="G1268" s="1">
        <v>4.3899999999999997</v>
      </c>
      <c r="H1268" t="s">
        <v>4041</v>
      </c>
      <c r="I1268" s="3" t="s">
        <v>1724</v>
      </c>
    </row>
    <row r="1269" spans="1:9" x14ac:dyDescent="0.25">
      <c r="A1269" t="s">
        <v>4042</v>
      </c>
      <c r="B1269" t="s">
        <v>3056</v>
      </c>
      <c r="C1269" t="s">
        <v>4043</v>
      </c>
      <c r="D1269" t="str" cm="1">
        <f t="array" ref="D1269">_xlfn.TEXTJOIN("", TRUE, IF(ISNUMBER(SEARCH($K$1379:$K$1423, C1269)), $K$1379:$K$1423, ""))</f>
        <v>Hershey's</v>
      </c>
      <c r="E1269" t="str">
        <f t="shared" si="38"/>
        <v>Prepared Food</v>
      </c>
      <c r="F1269" t="str">
        <f t="shared" si="39"/>
        <v>Prepared Food</v>
      </c>
      <c r="G1269" s="1">
        <v>4.3899999999999997</v>
      </c>
      <c r="H1269" t="s">
        <v>4041</v>
      </c>
      <c r="I1269" s="3" t="s">
        <v>1724</v>
      </c>
    </row>
    <row r="1270" spans="1:9" x14ac:dyDescent="0.25">
      <c r="A1270" t="s">
        <v>4044</v>
      </c>
      <c r="B1270" t="s">
        <v>3056</v>
      </c>
      <c r="C1270" t="s">
        <v>4045</v>
      </c>
      <c r="D1270" t="str" cm="1">
        <f t="array" ref="D1270">_xlfn.TEXTJOIN("", TRUE, IF(ISNUMBER(SEARCH($K$1379:$K$1423, C1270)), $K$1379:$K$1423, ""))</f>
        <v>Hershey's</v>
      </c>
      <c r="E1270" t="str">
        <f t="shared" si="38"/>
        <v>Prepared Food</v>
      </c>
      <c r="F1270" t="str">
        <f t="shared" si="39"/>
        <v>Prepared Food</v>
      </c>
      <c r="G1270" s="1">
        <v>2.39</v>
      </c>
      <c r="H1270" t="s">
        <v>4046</v>
      </c>
      <c r="I1270" s="3" t="s">
        <v>2083</v>
      </c>
    </row>
    <row r="1271" spans="1:9" x14ac:dyDescent="0.25">
      <c r="A1271" t="s">
        <v>4047</v>
      </c>
      <c r="B1271" t="s">
        <v>3056</v>
      </c>
      <c r="C1271" t="s">
        <v>4048</v>
      </c>
      <c r="D1271" t="str" cm="1">
        <f t="array" ref="D1271">_xlfn.TEXTJOIN("", TRUE, IF(ISNUMBER(SEARCH($K$1379:$K$1423, C1271)), $K$1379:$K$1423, ""))</f>
        <v>Hershey's</v>
      </c>
      <c r="E1271" t="str">
        <f t="shared" si="38"/>
        <v>Prepared Food</v>
      </c>
      <c r="F1271" t="str">
        <f t="shared" si="39"/>
        <v>Prepared Food</v>
      </c>
      <c r="G1271" s="1">
        <v>2.39</v>
      </c>
      <c r="H1271" t="s">
        <v>4021</v>
      </c>
      <c r="I1271" s="3" t="s">
        <v>2305</v>
      </c>
    </row>
    <row r="1272" spans="1:9" x14ac:dyDescent="0.25">
      <c r="A1272" t="s">
        <v>4049</v>
      </c>
      <c r="B1272" t="s">
        <v>3056</v>
      </c>
      <c r="C1272" t="s">
        <v>4050</v>
      </c>
      <c r="D1272" t="str" cm="1">
        <f t="array" ref="D1272">_xlfn.TEXTJOIN("", TRUE, IF(ISNUMBER(SEARCH($K$1379:$K$1423, C1272)), $K$1379:$K$1423, ""))</f>
        <v>Hershey's</v>
      </c>
      <c r="E1272" t="str">
        <f t="shared" si="38"/>
        <v>Prepared Food</v>
      </c>
      <c r="F1272" t="str">
        <f t="shared" si="39"/>
        <v>Prepared Food</v>
      </c>
      <c r="G1272" s="1">
        <v>2.39</v>
      </c>
      <c r="H1272" t="s">
        <v>4021</v>
      </c>
      <c r="I1272" s="3" t="s">
        <v>2305</v>
      </c>
    </row>
    <row r="1273" spans="1:9" x14ac:dyDescent="0.25">
      <c r="A1273" t="s">
        <v>4051</v>
      </c>
      <c r="B1273" t="s">
        <v>3056</v>
      </c>
      <c r="C1273" t="s">
        <v>4052</v>
      </c>
      <c r="D1273" t="str" cm="1">
        <f t="array" ref="D1273">_xlfn.TEXTJOIN("", TRUE, IF(ISNUMBER(SEARCH($K$1379:$K$1423, C1273)), $K$1379:$K$1423, ""))</f>
        <v>Hershey's</v>
      </c>
      <c r="E1273" t="str">
        <f t="shared" si="38"/>
        <v>Prepared Food</v>
      </c>
      <c r="F1273" t="str">
        <f t="shared" si="39"/>
        <v>Prepared Food</v>
      </c>
      <c r="G1273" s="1">
        <v>2.39</v>
      </c>
      <c r="H1273" t="s">
        <v>4046</v>
      </c>
      <c r="I1273" s="3" t="s">
        <v>2083</v>
      </c>
    </row>
    <row r="1274" spans="1:9" x14ac:dyDescent="0.25">
      <c r="A1274" t="s">
        <v>4053</v>
      </c>
      <c r="B1274" t="s">
        <v>3056</v>
      </c>
      <c r="C1274" t="s">
        <v>4054</v>
      </c>
      <c r="D1274" t="str" cm="1">
        <f t="array" ref="D1274">_xlfn.TEXTJOIN("", TRUE, IF(ISNUMBER(SEARCH($K$1379:$K$1423, C1274)), $K$1379:$K$1423, ""))</f>
        <v>Hershey's</v>
      </c>
      <c r="E1274" t="str">
        <f t="shared" si="38"/>
        <v>Prepared Food</v>
      </c>
      <c r="F1274" t="str">
        <f t="shared" si="39"/>
        <v>Prepared Food</v>
      </c>
      <c r="G1274" s="1">
        <v>4.3899999999999997</v>
      </c>
      <c r="H1274" t="s">
        <v>4055</v>
      </c>
      <c r="I1274" s="3" t="s">
        <v>2071</v>
      </c>
    </row>
    <row r="1275" spans="1:9" x14ac:dyDescent="0.25">
      <c r="A1275" t="s">
        <v>4056</v>
      </c>
      <c r="B1275" t="s">
        <v>3056</v>
      </c>
      <c r="C1275" t="s">
        <v>4057</v>
      </c>
      <c r="D1275" t="str" cm="1">
        <f t="array" ref="D1275">_xlfn.TEXTJOIN("", TRUE, IF(ISNUMBER(SEARCH($K$1379:$K$1423, C1275)), $K$1379:$K$1423, ""))</f>
        <v>Hershey's</v>
      </c>
      <c r="E1275" t="str">
        <f t="shared" si="38"/>
        <v>Prepared Food</v>
      </c>
      <c r="F1275" t="str">
        <f t="shared" si="39"/>
        <v>Prepared Food</v>
      </c>
      <c r="G1275" s="1">
        <v>2.85</v>
      </c>
      <c r="H1275" t="s">
        <v>4058</v>
      </c>
      <c r="I1275" s="3" t="s">
        <v>4059</v>
      </c>
    </row>
    <row r="1276" spans="1:9" x14ac:dyDescent="0.25">
      <c r="A1276" t="s">
        <v>4060</v>
      </c>
      <c r="B1276" t="s">
        <v>3056</v>
      </c>
      <c r="C1276" t="s">
        <v>4061</v>
      </c>
      <c r="D1276" t="str" cm="1">
        <f t="array" ref="D1276">_xlfn.TEXTJOIN("", TRUE, IF(ISNUMBER(SEARCH($K$1379:$K$1423, C1276)), $K$1379:$K$1423, ""))</f>
        <v>Hershey's</v>
      </c>
      <c r="E1276" t="str">
        <f t="shared" si="38"/>
        <v>Prepared Food</v>
      </c>
      <c r="F1276" t="str">
        <f t="shared" si="39"/>
        <v>Prepared Food</v>
      </c>
      <c r="G1276" s="1">
        <v>2.85</v>
      </c>
      <c r="H1276" t="s">
        <v>4058</v>
      </c>
      <c r="I1276" s="3" t="s">
        <v>4059</v>
      </c>
    </row>
    <row r="1277" spans="1:9" x14ac:dyDescent="0.25">
      <c r="A1277" t="s">
        <v>4062</v>
      </c>
      <c r="B1277" t="s">
        <v>3056</v>
      </c>
      <c r="C1277" t="s">
        <v>4063</v>
      </c>
      <c r="D1277" t="str" cm="1">
        <f t="array" ref="D1277">_xlfn.TEXTJOIN("", TRUE, IF(ISNUMBER(SEARCH($K$1379:$K$1423, C1277)), $K$1379:$K$1423, ""))</f>
        <v>Hershey's</v>
      </c>
      <c r="E1277" t="str">
        <f t="shared" si="38"/>
        <v>Prepared Food</v>
      </c>
      <c r="F1277" t="str">
        <f t="shared" si="39"/>
        <v>Prepared Food</v>
      </c>
      <c r="G1277" s="1">
        <v>1</v>
      </c>
      <c r="H1277" t="s">
        <v>4004</v>
      </c>
      <c r="I1277" s="3" t="s">
        <v>2648</v>
      </c>
    </row>
    <row r="1278" spans="1:9" x14ac:dyDescent="0.25">
      <c r="A1278" t="s">
        <v>4064</v>
      </c>
      <c r="B1278" t="s">
        <v>3056</v>
      </c>
      <c r="C1278" t="s">
        <v>4065</v>
      </c>
      <c r="D1278" t="str" cm="1">
        <f t="array" ref="D1278">_xlfn.TEXTJOIN("", TRUE, IF(ISNUMBER(SEARCH($K$1379:$K$1423, C1278)), $K$1379:$K$1423, ""))</f>
        <v>Hershey's</v>
      </c>
      <c r="E1278" t="str">
        <f t="shared" si="38"/>
        <v>Prepared Food</v>
      </c>
      <c r="F1278" t="str">
        <f t="shared" si="39"/>
        <v>Prepared Food</v>
      </c>
      <c r="G1278" s="1">
        <v>5.59</v>
      </c>
      <c r="H1278" t="s">
        <v>1573</v>
      </c>
      <c r="I1278" s="3" t="s">
        <v>2274</v>
      </c>
    </row>
    <row r="1279" spans="1:9" x14ac:dyDescent="0.25">
      <c r="A1279" t="s">
        <v>4066</v>
      </c>
      <c r="B1279" t="s">
        <v>3056</v>
      </c>
      <c r="C1279" t="s">
        <v>4067</v>
      </c>
      <c r="D1279" t="str" cm="1">
        <f t="array" ref="D1279">_xlfn.TEXTJOIN("", TRUE, IF(ISNUMBER(SEARCH($K$1379:$K$1423, C1279)), $K$1379:$K$1423, ""))</f>
        <v>Hershey's</v>
      </c>
      <c r="E1279" t="str">
        <f t="shared" si="38"/>
        <v>Prepared Food</v>
      </c>
      <c r="F1279" t="str">
        <f t="shared" si="39"/>
        <v>Prepared Food</v>
      </c>
      <c r="G1279" s="1">
        <v>5.59</v>
      </c>
      <c r="H1279" t="s">
        <v>4068</v>
      </c>
      <c r="I1279" s="3" t="s">
        <v>1717</v>
      </c>
    </row>
    <row r="1280" spans="1:9" x14ac:dyDescent="0.25">
      <c r="A1280" t="s">
        <v>4069</v>
      </c>
      <c r="B1280" t="s">
        <v>3056</v>
      </c>
      <c r="C1280" t="s">
        <v>4070</v>
      </c>
      <c r="D1280" t="str" cm="1">
        <f t="array" ref="D1280">_xlfn.TEXTJOIN("", TRUE, IF(ISNUMBER(SEARCH($K$1379:$K$1423, C1280)), $K$1379:$K$1423, ""))</f>
        <v>Hershey's</v>
      </c>
      <c r="E1280" t="str">
        <f t="shared" si="38"/>
        <v>Prepared Food</v>
      </c>
      <c r="F1280" t="str">
        <f t="shared" si="39"/>
        <v>Prepared Food</v>
      </c>
      <c r="G1280" s="1">
        <v>5.59</v>
      </c>
      <c r="H1280" t="s">
        <v>4071</v>
      </c>
      <c r="I1280" s="3" t="s">
        <v>1717</v>
      </c>
    </row>
    <row r="1281" spans="1:9" x14ac:dyDescent="0.25">
      <c r="A1281" t="s">
        <v>4072</v>
      </c>
      <c r="B1281" t="s">
        <v>3056</v>
      </c>
      <c r="C1281" t="s">
        <v>4073</v>
      </c>
      <c r="D1281" t="str" cm="1">
        <f t="array" ref="D1281">_xlfn.TEXTJOIN("", TRUE, IF(ISNUMBER(SEARCH($K$1379:$K$1423, C1281)), $K$1379:$K$1423, ""))</f>
        <v>Hershey's</v>
      </c>
      <c r="E1281" t="str">
        <f t="shared" si="38"/>
        <v>Prepared Food</v>
      </c>
      <c r="F1281" t="str">
        <f t="shared" si="39"/>
        <v>Prepared Food</v>
      </c>
      <c r="G1281" s="1">
        <v>5.59</v>
      </c>
      <c r="H1281" t="s">
        <v>4074</v>
      </c>
      <c r="I1281" s="3" t="s">
        <v>2083</v>
      </c>
    </row>
    <row r="1282" spans="1:9" x14ac:dyDescent="0.25">
      <c r="A1282" t="s">
        <v>4075</v>
      </c>
      <c r="B1282" t="s">
        <v>3056</v>
      </c>
      <c r="C1282" t="s">
        <v>4076</v>
      </c>
      <c r="D1282" t="str" cm="1">
        <f t="array" ref="D1282">_xlfn.TEXTJOIN("", TRUE, IF(ISNUMBER(SEARCH($K$1379:$K$1423, C1282)), $K$1379:$K$1423, ""))</f>
        <v>Hershey's</v>
      </c>
      <c r="E1282" t="str">
        <f t="shared" ref="E1282:E1345" si="40">IF(OR(D1282="Mission",D1282="Nature's Own",D1282="Sara Lee"),"Bread",
IF(OR(D1282="Del Monte",D1282="Dole",D1282="Mott's"),"Canned Fruit",
IF(OR(D1282="Goya",D1282="Hunt's",D1282="Birds Eye"),"Canned Vegetables",
IF(OR(D1282="fairlife",D1282="Horizon Organic",D1282="Lactaid",D1282="Ben &amp; Jerry's"),"Milk",
IF(OR(D1282="BelGioioso",D1282="Kraft",D1282="Philadelphia"),"Cheese",
IF(OR(D1282="Chobani",D1282="Oikos",D1282="Dannon Light + Fit"),"Yogurt",
IF(OR(D1282="Barilla",D1282="Annie's",D1282="Rao's Homemade"),"Pasta",
IF(OR(D1282="Hershey's",D1282="Lay's",D1282="Totino's",D1282="Cheerios",D1282="Jif",D1282="Skippy",D1282="Nature Valley",D1282="OREO",D1282="DiGiorno",D1282="Eggo"),"Prepared Food",
IF(OR(D1282="Ben's Original",D1282="Lundberg",D1282="Quaker"),"Rice",
IF(OR(D1282="Bush's",D1282="Hillshire Farm",D1282="Oscar Mayer",D1282="SPAM"),"Protein",
IF(OR(D1282="Starbucks",D1282="Sparkling Ice",D1282="Coca-Cola",D1282="San Pellegrino",D1282="Gatorade",D1282="Arizona"),"Beverages",
"Other")))))))))))</f>
        <v>Prepared Food</v>
      </c>
      <c r="F1282" t="str">
        <f t="shared" ref="F1282:F1345" si="41">IF(OR(E1282="Bread",E1282="Rice",E1282="Pasta"), "Grain",
IF(OR(E1282="Milk",E1282="Cheese",E1282="Yogurt"), "Dairy",
IF(OR(E1282="Canned Fruit",E1282="Canned Vegetables"), "Fruit &amp; Vegetables",
IF(E1282="Prepared Food", "Prepared Food",
IF(E1282="Protein", "Protein",
IF(E1282="Beverages", "Beverages",
"Other"))))))</f>
        <v>Prepared Food</v>
      </c>
      <c r="G1282" s="1">
        <v>5.59</v>
      </c>
      <c r="H1282" t="s">
        <v>4077</v>
      </c>
      <c r="I1282" s="3" t="s">
        <v>1711</v>
      </c>
    </row>
    <row r="1283" spans="1:9" x14ac:dyDescent="0.25">
      <c r="A1283" t="s">
        <v>4078</v>
      </c>
      <c r="B1283" t="s">
        <v>3056</v>
      </c>
      <c r="C1283" t="s">
        <v>4079</v>
      </c>
      <c r="D1283" t="str" cm="1">
        <f t="array" ref="D1283">_xlfn.TEXTJOIN("", TRUE, IF(ISNUMBER(SEARCH($K$1379:$K$1423, C1283)), $K$1379:$K$1423, ""))</f>
        <v>Hershey's</v>
      </c>
      <c r="E1283" t="str">
        <f t="shared" si="40"/>
        <v>Prepared Food</v>
      </c>
      <c r="F1283" t="str">
        <f t="shared" si="41"/>
        <v>Prepared Food</v>
      </c>
      <c r="G1283" s="1">
        <v>5.59</v>
      </c>
      <c r="H1283" t="s">
        <v>2948</v>
      </c>
      <c r="I1283" s="3" t="s">
        <v>2305</v>
      </c>
    </row>
    <row r="1284" spans="1:9" x14ac:dyDescent="0.25">
      <c r="A1284" t="s">
        <v>4080</v>
      </c>
      <c r="B1284" t="s">
        <v>3056</v>
      </c>
      <c r="C1284" t="s">
        <v>4081</v>
      </c>
      <c r="D1284" t="str" cm="1">
        <f t="array" ref="D1284">_xlfn.TEXTJOIN("", TRUE, IF(ISNUMBER(SEARCH($K$1379:$K$1423, C1284)), $K$1379:$K$1423, ""))</f>
        <v>Hershey's</v>
      </c>
      <c r="E1284" t="str">
        <f t="shared" si="40"/>
        <v>Prepared Food</v>
      </c>
      <c r="F1284" t="str">
        <f t="shared" si="41"/>
        <v>Prepared Food</v>
      </c>
      <c r="G1284" s="1">
        <v>5.59</v>
      </c>
      <c r="H1284" t="s">
        <v>4068</v>
      </c>
      <c r="I1284" s="3" t="s">
        <v>1717</v>
      </c>
    </row>
    <row r="1285" spans="1:9" x14ac:dyDescent="0.25">
      <c r="A1285" t="s">
        <v>4082</v>
      </c>
      <c r="B1285" t="s">
        <v>3056</v>
      </c>
      <c r="C1285" t="s">
        <v>4083</v>
      </c>
      <c r="D1285" t="str" cm="1">
        <f t="array" ref="D1285">_xlfn.TEXTJOIN("", TRUE, IF(ISNUMBER(SEARCH($K$1379:$K$1423, C1285)), $K$1379:$K$1423, ""))</f>
        <v>Hershey's</v>
      </c>
      <c r="E1285" t="str">
        <f t="shared" si="40"/>
        <v>Prepared Food</v>
      </c>
      <c r="F1285" t="str">
        <f t="shared" si="41"/>
        <v>Prepared Food</v>
      </c>
      <c r="G1285" s="1">
        <v>5.59</v>
      </c>
      <c r="H1285" t="s">
        <v>4071</v>
      </c>
      <c r="I1285" s="3" t="s">
        <v>1717</v>
      </c>
    </row>
    <row r="1286" spans="1:9" x14ac:dyDescent="0.25">
      <c r="A1286" t="s">
        <v>4084</v>
      </c>
      <c r="B1286" t="s">
        <v>3056</v>
      </c>
      <c r="C1286" t="s">
        <v>4085</v>
      </c>
      <c r="D1286" t="str" cm="1">
        <f t="array" ref="D1286">_xlfn.TEXTJOIN("", TRUE, IF(ISNUMBER(SEARCH($K$1379:$K$1423, C1286)), $K$1379:$K$1423, ""))</f>
        <v>Hershey's</v>
      </c>
      <c r="E1286" t="str">
        <f t="shared" si="40"/>
        <v>Prepared Food</v>
      </c>
      <c r="F1286" t="str">
        <f t="shared" si="41"/>
        <v>Prepared Food</v>
      </c>
      <c r="G1286" s="1">
        <v>5.59</v>
      </c>
      <c r="H1286" t="s">
        <v>4068</v>
      </c>
      <c r="I1286" s="3" t="s">
        <v>1717</v>
      </c>
    </row>
    <row r="1287" spans="1:9" x14ac:dyDescent="0.25">
      <c r="A1287" t="s">
        <v>4086</v>
      </c>
      <c r="B1287" t="s">
        <v>3056</v>
      </c>
      <c r="C1287" t="s">
        <v>4087</v>
      </c>
      <c r="D1287" t="str" cm="1">
        <f t="array" ref="D1287">_xlfn.TEXTJOIN("", TRUE, IF(ISNUMBER(SEARCH($K$1379:$K$1423, C1287)), $K$1379:$K$1423, ""))</f>
        <v>Hershey's</v>
      </c>
      <c r="E1287" t="str">
        <f t="shared" si="40"/>
        <v>Prepared Food</v>
      </c>
      <c r="F1287" t="str">
        <f t="shared" si="41"/>
        <v>Prepared Food</v>
      </c>
      <c r="G1287" s="1">
        <v>5.59</v>
      </c>
      <c r="H1287" t="s">
        <v>4071</v>
      </c>
      <c r="I1287" s="3" t="s">
        <v>1717</v>
      </c>
    </row>
    <row r="1288" spans="1:9" x14ac:dyDescent="0.25">
      <c r="A1288" t="s">
        <v>4088</v>
      </c>
      <c r="B1288" t="s">
        <v>3056</v>
      </c>
      <c r="C1288" t="s">
        <v>4089</v>
      </c>
      <c r="D1288" t="str" cm="1">
        <f t="array" ref="D1288">_xlfn.TEXTJOIN("", TRUE, IF(ISNUMBER(SEARCH($K$1379:$K$1423, C1288)), $K$1379:$K$1423, ""))</f>
        <v>Hershey's</v>
      </c>
      <c r="E1288" t="str">
        <f t="shared" si="40"/>
        <v>Prepared Food</v>
      </c>
      <c r="F1288" t="str">
        <f t="shared" si="41"/>
        <v>Prepared Food</v>
      </c>
      <c r="G1288" s="1">
        <v>5.59</v>
      </c>
      <c r="H1288" t="s">
        <v>2948</v>
      </c>
      <c r="I1288" s="3" t="s">
        <v>2305</v>
      </c>
    </row>
    <row r="1289" spans="1:9" x14ac:dyDescent="0.25">
      <c r="A1289" t="s">
        <v>4090</v>
      </c>
      <c r="B1289" t="s">
        <v>3056</v>
      </c>
      <c r="C1289" t="s">
        <v>4091</v>
      </c>
      <c r="D1289" t="str" cm="1">
        <f t="array" ref="D1289">_xlfn.TEXTJOIN("", TRUE, IF(ISNUMBER(SEARCH($K$1379:$K$1423, C1289)), $K$1379:$K$1423, ""))</f>
        <v>Hershey's</v>
      </c>
      <c r="E1289" t="str">
        <f t="shared" si="40"/>
        <v>Prepared Food</v>
      </c>
      <c r="F1289" t="str">
        <f t="shared" si="41"/>
        <v>Prepared Food</v>
      </c>
      <c r="G1289" s="1">
        <v>10.49</v>
      </c>
      <c r="H1289" t="s">
        <v>4092</v>
      </c>
      <c r="I1289" s="3" t="s">
        <v>3174</v>
      </c>
    </row>
    <row r="1290" spans="1:9" x14ac:dyDescent="0.25">
      <c r="A1290" t="s">
        <v>4093</v>
      </c>
      <c r="B1290" t="s">
        <v>3056</v>
      </c>
      <c r="C1290" t="s">
        <v>4094</v>
      </c>
      <c r="D1290" t="str" cm="1">
        <f t="array" ref="D1290">_xlfn.TEXTJOIN("", TRUE, IF(ISNUMBER(SEARCH($K$1379:$K$1423, C1290)), $K$1379:$K$1423, ""))</f>
        <v>Hershey's</v>
      </c>
      <c r="E1290" t="str">
        <f t="shared" si="40"/>
        <v>Prepared Food</v>
      </c>
      <c r="F1290" t="str">
        <f t="shared" si="41"/>
        <v>Prepared Food</v>
      </c>
      <c r="G1290" s="1">
        <v>5.59</v>
      </c>
      <c r="H1290" t="s">
        <v>4095</v>
      </c>
      <c r="I1290" s="3" t="s">
        <v>1860</v>
      </c>
    </row>
    <row r="1291" spans="1:9" x14ac:dyDescent="0.25">
      <c r="A1291" t="s">
        <v>4096</v>
      </c>
      <c r="B1291" t="s">
        <v>3056</v>
      </c>
      <c r="C1291" t="s">
        <v>4097</v>
      </c>
      <c r="D1291" t="str" cm="1">
        <f t="array" ref="D1291">_xlfn.TEXTJOIN("", TRUE, IF(ISNUMBER(SEARCH($K$1379:$K$1423, C1291)), $K$1379:$K$1423, ""))</f>
        <v>Hershey's</v>
      </c>
      <c r="E1291" t="str">
        <f t="shared" si="40"/>
        <v>Prepared Food</v>
      </c>
      <c r="F1291" t="str">
        <f t="shared" si="41"/>
        <v>Prepared Food</v>
      </c>
      <c r="G1291" s="1">
        <v>5.59</v>
      </c>
      <c r="H1291" t="s">
        <v>4098</v>
      </c>
      <c r="I1291" s="3" t="s">
        <v>1373</v>
      </c>
    </row>
    <row r="1292" spans="1:9" x14ac:dyDescent="0.25">
      <c r="A1292" t="s">
        <v>4099</v>
      </c>
      <c r="B1292" t="s">
        <v>3056</v>
      </c>
      <c r="C1292" t="s">
        <v>4100</v>
      </c>
      <c r="D1292" t="str" cm="1">
        <f t="array" ref="D1292">_xlfn.TEXTJOIN("", TRUE, IF(ISNUMBER(SEARCH($K$1379:$K$1423, C1292)), $K$1379:$K$1423, ""))</f>
        <v>Hershey's</v>
      </c>
      <c r="E1292" t="str">
        <f t="shared" si="40"/>
        <v>Prepared Food</v>
      </c>
      <c r="F1292" t="str">
        <f t="shared" si="41"/>
        <v>Prepared Food</v>
      </c>
      <c r="G1292" s="1">
        <v>5.39</v>
      </c>
      <c r="H1292" t="s">
        <v>4032</v>
      </c>
      <c r="I1292" s="3" t="s">
        <v>4033</v>
      </c>
    </row>
    <row r="1293" spans="1:9" x14ac:dyDescent="0.25">
      <c r="A1293" t="s">
        <v>4101</v>
      </c>
      <c r="B1293" t="s">
        <v>3056</v>
      </c>
      <c r="C1293" t="s">
        <v>4102</v>
      </c>
      <c r="D1293" t="str" cm="1">
        <f t="array" ref="D1293">_xlfn.TEXTJOIN("", TRUE, IF(ISNUMBER(SEARCH($K$1379:$K$1423, C1293)), $K$1379:$K$1423, ""))</f>
        <v>Hershey's</v>
      </c>
      <c r="E1293" t="str">
        <f t="shared" si="40"/>
        <v>Prepared Food</v>
      </c>
      <c r="F1293" t="str">
        <f t="shared" si="41"/>
        <v>Prepared Food</v>
      </c>
      <c r="G1293" s="1">
        <v>10.49</v>
      </c>
      <c r="H1293" t="s">
        <v>4103</v>
      </c>
      <c r="I1293" s="3" t="s">
        <v>2648</v>
      </c>
    </row>
    <row r="1294" spans="1:9" x14ac:dyDescent="0.25">
      <c r="A1294" t="s">
        <v>4104</v>
      </c>
      <c r="B1294" t="s">
        <v>3056</v>
      </c>
      <c r="C1294" t="s">
        <v>4105</v>
      </c>
      <c r="D1294" t="str" cm="1">
        <f t="array" ref="D1294">_xlfn.TEXTJOIN("", TRUE, IF(ISNUMBER(SEARCH($K$1379:$K$1423, C1294)), $K$1379:$K$1423, ""))</f>
        <v>Hershey's</v>
      </c>
      <c r="E1294" t="str">
        <f t="shared" si="40"/>
        <v>Prepared Food</v>
      </c>
      <c r="F1294" t="str">
        <f t="shared" si="41"/>
        <v>Prepared Food</v>
      </c>
      <c r="G1294" s="1">
        <v>5.59</v>
      </c>
      <c r="H1294" t="s">
        <v>4095</v>
      </c>
      <c r="I1294" s="3" t="s">
        <v>1860</v>
      </c>
    </row>
    <row r="1295" spans="1:9" x14ac:dyDescent="0.25">
      <c r="A1295" t="s">
        <v>4106</v>
      </c>
      <c r="B1295" t="s">
        <v>3056</v>
      </c>
      <c r="C1295" t="s">
        <v>4107</v>
      </c>
      <c r="D1295" t="str" cm="1">
        <f t="array" ref="D1295">_xlfn.TEXTJOIN("", TRUE, IF(ISNUMBER(SEARCH($K$1379:$K$1423, C1295)), $K$1379:$K$1423, ""))</f>
        <v>Hershey's</v>
      </c>
      <c r="E1295" t="str">
        <f t="shared" si="40"/>
        <v>Prepared Food</v>
      </c>
      <c r="F1295" t="str">
        <f t="shared" si="41"/>
        <v>Prepared Food</v>
      </c>
      <c r="G1295" s="1">
        <v>5.59</v>
      </c>
      <c r="H1295" t="s">
        <v>398</v>
      </c>
      <c r="I1295" s="3" t="s">
        <v>1711</v>
      </c>
    </row>
    <row r="1296" spans="1:9" x14ac:dyDescent="0.25">
      <c r="A1296" t="s">
        <v>4108</v>
      </c>
      <c r="B1296" t="s">
        <v>3056</v>
      </c>
      <c r="C1296" t="s">
        <v>4109</v>
      </c>
      <c r="D1296" t="str" cm="1">
        <f t="array" ref="D1296">_xlfn.TEXTJOIN("", TRUE, IF(ISNUMBER(SEARCH($K$1379:$K$1423, C1296)), $K$1379:$K$1423, ""))</f>
        <v>Hershey's</v>
      </c>
      <c r="E1296" t="str">
        <f t="shared" si="40"/>
        <v>Prepared Food</v>
      </c>
      <c r="F1296" t="str">
        <f t="shared" si="41"/>
        <v>Prepared Food</v>
      </c>
      <c r="G1296" s="1">
        <v>3.29</v>
      </c>
      <c r="H1296" t="s">
        <v>4110</v>
      </c>
      <c r="I1296" s="3" t="s">
        <v>3223</v>
      </c>
    </row>
    <row r="1297" spans="1:9" x14ac:dyDescent="0.25">
      <c r="A1297" t="s">
        <v>4111</v>
      </c>
      <c r="B1297" t="s">
        <v>4112</v>
      </c>
      <c r="C1297" t="s">
        <v>4113</v>
      </c>
      <c r="D1297" t="str" cm="1">
        <f t="array" ref="D1297">_xlfn.TEXTJOIN("", TRUE, IF(ISNUMBER(SEARCH($K$1379:$K$1423, C1297)), $K$1379:$K$1423, ""))</f>
        <v>Oscar Mayer</v>
      </c>
      <c r="E1297" t="str">
        <f t="shared" si="40"/>
        <v>Protein</v>
      </c>
      <c r="F1297" t="str">
        <f t="shared" si="41"/>
        <v>Protein</v>
      </c>
      <c r="G1297" s="1">
        <v>4.99</v>
      </c>
      <c r="H1297" t="s">
        <v>4115</v>
      </c>
      <c r="I1297" t="s">
        <v>4116</v>
      </c>
    </row>
    <row r="1298" spans="1:9" x14ac:dyDescent="0.25">
      <c r="A1298" t="s">
        <v>4117</v>
      </c>
      <c r="B1298" t="s">
        <v>4118</v>
      </c>
      <c r="C1298" t="s">
        <v>4119</v>
      </c>
      <c r="D1298" t="str" cm="1">
        <f t="array" ref="D1298">_xlfn.TEXTJOIN("", TRUE, IF(ISNUMBER(SEARCH($K$1379:$K$1423, C1298)), $K$1379:$K$1423, ""))</f>
        <v>Oscar Mayer</v>
      </c>
      <c r="E1298" t="str">
        <f t="shared" si="40"/>
        <v>Protein</v>
      </c>
      <c r="F1298" t="str">
        <f t="shared" si="41"/>
        <v>Protein</v>
      </c>
      <c r="G1298" s="1">
        <v>4.99</v>
      </c>
      <c r="H1298" t="s">
        <v>4115</v>
      </c>
      <c r="I1298" t="s">
        <v>4116</v>
      </c>
    </row>
    <row r="1299" spans="1:9" x14ac:dyDescent="0.25">
      <c r="A1299" t="s">
        <v>4120</v>
      </c>
      <c r="B1299" t="s">
        <v>4121</v>
      </c>
      <c r="C1299" t="s">
        <v>4122</v>
      </c>
      <c r="D1299" t="str" cm="1">
        <f t="array" ref="D1299">_xlfn.TEXTJOIN("", TRUE, IF(ISNUMBER(SEARCH($K$1379:$K$1423, C1299)), $K$1379:$K$1423, ""))</f>
        <v>Oscar Mayer</v>
      </c>
      <c r="E1299" t="str">
        <f t="shared" si="40"/>
        <v>Protein</v>
      </c>
      <c r="F1299" t="str">
        <f t="shared" si="41"/>
        <v>Protein</v>
      </c>
      <c r="G1299" s="1">
        <v>4.99</v>
      </c>
      <c r="H1299" t="s">
        <v>4123</v>
      </c>
      <c r="I1299" t="s">
        <v>4124</v>
      </c>
    </row>
    <row r="1300" spans="1:9" x14ac:dyDescent="0.25">
      <c r="A1300" t="s">
        <v>4125</v>
      </c>
      <c r="B1300" t="s">
        <v>4126</v>
      </c>
      <c r="C1300" t="s">
        <v>4127</v>
      </c>
      <c r="D1300" t="str" cm="1">
        <f t="array" ref="D1300">_xlfn.TEXTJOIN("", TRUE, IF(ISNUMBER(SEARCH($K$1379:$K$1423, C1300)), $K$1379:$K$1423, ""))</f>
        <v>Oscar Mayer</v>
      </c>
      <c r="E1300" t="str">
        <f t="shared" si="40"/>
        <v>Protein</v>
      </c>
      <c r="F1300" t="str">
        <f t="shared" si="41"/>
        <v>Protein</v>
      </c>
      <c r="G1300" s="1">
        <v>12.99</v>
      </c>
      <c r="H1300" t="s">
        <v>4128</v>
      </c>
      <c r="I1300" t="s">
        <v>4129</v>
      </c>
    </row>
    <row r="1301" spans="1:9" x14ac:dyDescent="0.25">
      <c r="A1301" t="s">
        <v>4130</v>
      </c>
      <c r="B1301" t="s">
        <v>4131</v>
      </c>
      <c r="C1301" t="s">
        <v>4132</v>
      </c>
      <c r="D1301" t="str" cm="1">
        <f t="array" ref="D1301">_xlfn.TEXTJOIN("", TRUE, IF(ISNUMBER(SEARCH($K$1379:$K$1423, C1301)), $K$1379:$K$1423, ""))</f>
        <v>Oscar Mayer</v>
      </c>
      <c r="E1301" t="str">
        <f t="shared" si="40"/>
        <v>Protein</v>
      </c>
      <c r="F1301" t="str">
        <f t="shared" si="41"/>
        <v>Protein</v>
      </c>
      <c r="G1301" s="1">
        <v>8.49</v>
      </c>
      <c r="H1301" t="s">
        <v>223</v>
      </c>
      <c r="I1301" t="s">
        <v>4133</v>
      </c>
    </row>
    <row r="1302" spans="1:9" x14ac:dyDescent="0.25">
      <c r="A1302" t="s">
        <v>4134</v>
      </c>
      <c r="B1302" t="s">
        <v>4135</v>
      </c>
      <c r="C1302" t="s">
        <v>4136</v>
      </c>
      <c r="D1302" t="str" cm="1">
        <f t="array" ref="D1302">_xlfn.TEXTJOIN("", TRUE, IF(ISNUMBER(SEARCH($K$1379:$K$1423, C1302)), $K$1379:$K$1423, ""))</f>
        <v>Oscar Mayer</v>
      </c>
      <c r="E1302" t="str">
        <f t="shared" si="40"/>
        <v>Protein</v>
      </c>
      <c r="F1302" t="str">
        <f t="shared" si="41"/>
        <v>Protein</v>
      </c>
      <c r="G1302" s="1">
        <v>8.49</v>
      </c>
      <c r="H1302" t="s">
        <v>1234</v>
      </c>
      <c r="I1302" t="s">
        <v>4137</v>
      </c>
    </row>
    <row r="1303" spans="1:9" x14ac:dyDescent="0.25">
      <c r="A1303" t="s">
        <v>4138</v>
      </c>
      <c r="B1303" t="s">
        <v>4139</v>
      </c>
      <c r="C1303" t="s">
        <v>4140</v>
      </c>
      <c r="D1303" t="str" cm="1">
        <f t="array" ref="D1303">_xlfn.TEXTJOIN("", TRUE, IF(ISNUMBER(SEARCH($K$1379:$K$1423, C1303)), $K$1379:$K$1423, ""))</f>
        <v>Oscar Mayer</v>
      </c>
      <c r="E1303" t="str">
        <f t="shared" si="40"/>
        <v>Protein</v>
      </c>
      <c r="F1303" t="str">
        <f t="shared" si="41"/>
        <v>Protein</v>
      </c>
      <c r="G1303" s="1">
        <v>8.49</v>
      </c>
      <c r="H1303" t="s">
        <v>223</v>
      </c>
      <c r="I1303" t="s">
        <v>4133</v>
      </c>
    </row>
    <row r="1304" spans="1:9" x14ac:dyDescent="0.25">
      <c r="A1304" t="s">
        <v>4141</v>
      </c>
      <c r="B1304" t="s">
        <v>4142</v>
      </c>
      <c r="C1304" t="s">
        <v>4143</v>
      </c>
      <c r="D1304" t="str" cm="1">
        <f t="array" ref="D1304">_xlfn.TEXTJOIN("", TRUE, IF(ISNUMBER(SEARCH($K$1379:$K$1423, C1304)), $K$1379:$K$1423, ""))</f>
        <v>Oscar Mayer</v>
      </c>
      <c r="E1304" t="str">
        <f t="shared" si="40"/>
        <v>Protein</v>
      </c>
      <c r="F1304" t="str">
        <f t="shared" si="41"/>
        <v>Protein</v>
      </c>
      <c r="G1304" s="1">
        <v>3.49</v>
      </c>
      <c r="H1304" t="s">
        <v>223</v>
      </c>
      <c r="I1304" t="s">
        <v>4144</v>
      </c>
    </row>
    <row r="1305" spans="1:9" x14ac:dyDescent="0.25">
      <c r="A1305" t="s">
        <v>4145</v>
      </c>
      <c r="B1305" t="s">
        <v>4146</v>
      </c>
      <c r="C1305" t="s">
        <v>4147</v>
      </c>
      <c r="D1305" t="str" cm="1">
        <f t="array" ref="D1305">_xlfn.TEXTJOIN("", TRUE, IF(ISNUMBER(SEARCH($K$1379:$K$1423, C1305)), $K$1379:$K$1423, ""))</f>
        <v>Oscar Mayer</v>
      </c>
      <c r="E1305" t="str">
        <f t="shared" si="40"/>
        <v>Protein</v>
      </c>
      <c r="F1305" t="str">
        <f t="shared" si="41"/>
        <v>Protein</v>
      </c>
      <c r="G1305" s="1">
        <v>3.49</v>
      </c>
      <c r="H1305" t="s">
        <v>223</v>
      </c>
      <c r="I1305" t="s">
        <v>4144</v>
      </c>
    </row>
    <row r="1306" spans="1:9" x14ac:dyDescent="0.25">
      <c r="A1306" t="s">
        <v>4148</v>
      </c>
      <c r="B1306" t="s">
        <v>4149</v>
      </c>
      <c r="C1306" t="s">
        <v>4150</v>
      </c>
      <c r="D1306" t="str" cm="1">
        <f t="array" ref="D1306">_xlfn.TEXTJOIN("", TRUE, IF(ISNUMBER(SEARCH($K$1379:$K$1423, C1306)), $K$1379:$K$1423, ""))</f>
        <v>Oscar Mayer</v>
      </c>
      <c r="E1306" t="str">
        <f t="shared" si="40"/>
        <v>Protein</v>
      </c>
      <c r="F1306" t="str">
        <f t="shared" si="41"/>
        <v>Protein</v>
      </c>
      <c r="G1306" s="1">
        <v>4.99</v>
      </c>
      <c r="H1306" t="s">
        <v>398</v>
      </c>
      <c r="I1306" t="s">
        <v>4151</v>
      </c>
    </row>
    <row r="1307" spans="1:9" x14ac:dyDescent="0.25">
      <c r="A1307" t="s">
        <v>4152</v>
      </c>
      <c r="B1307" t="s">
        <v>3056</v>
      </c>
      <c r="C1307" t="s">
        <v>4153</v>
      </c>
      <c r="D1307" t="str" cm="1">
        <f t="array" ref="D1307">_xlfn.TEXTJOIN("", TRUE, IF(ISNUMBER(SEARCH($K$1379:$K$1423, C1307)), $K$1379:$K$1423, ""))</f>
        <v>Oscar Mayer</v>
      </c>
      <c r="E1307" t="str">
        <f t="shared" si="40"/>
        <v>Protein</v>
      </c>
      <c r="F1307" t="str">
        <f t="shared" si="41"/>
        <v>Protein</v>
      </c>
      <c r="G1307" s="1">
        <v>6.49</v>
      </c>
      <c r="H1307" t="s">
        <v>223</v>
      </c>
      <c r="I1307" t="s">
        <v>4154</v>
      </c>
    </row>
    <row r="1308" spans="1:9" x14ac:dyDescent="0.25">
      <c r="A1308" t="s">
        <v>4155</v>
      </c>
      <c r="B1308" t="s">
        <v>3056</v>
      </c>
      <c r="C1308" t="s">
        <v>4156</v>
      </c>
      <c r="D1308" t="str" cm="1">
        <f t="array" ref="D1308">_xlfn.TEXTJOIN("", TRUE, IF(ISNUMBER(SEARCH($K$1379:$K$1423, C1308)), $K$1379:$K$1423, ""))</f>
        <v>Oscar Mayer</v>
      </c>
      <c r="E1308" t="str">
        <f t="shared" si="40"/>
        <v>Protein</v>
      </c>
      <c r="F1308" t="str">
        <f t="shared" si="41"/>
        <v>Protein</v>
      </c>
      <c r="G1308" s="1">
        <v>4.79</v>
      </c>
      <c r="H1308" t="s">
        <v>1234</v>
      </c>
      <c r="I1308" t="s">
        <v>4157</v>
      </c>
    </row>
    <row r="1309" spans="1:9" x14ac:dyDescent="0.25">
      <c r="A1309" t="s">
        <v>4158</v>
      </c>
      <c r="B1309" t="s">
        <v>3056</v>
      </c>
      <c r="C1309" t="s">
        <v>4159</v>
      </c>
      <c r="D1309" t="str" cm="1">
        <f t="array" ref="D1309">_xlfn.TEXTJOIN("", TRUE, IF(ISNUMBER(SEARCH($K$1379:$K$1423, C1309)), $K$1379:$K$1423, ""))</f>
        <v>Oscar Mayer</v>
      </c>
      <c r="E1309" t="str">
        <f t="shared" si="40"/>
        <v>Protein</v>
      </c>
      <c r="F1309" t="str">
        <f t="shared" si="41"/>
        <v>Protein</v>
      </c>
      <c r="G1309" s="1">
        <v>8.49</v>
      </c>
      <c r="H1309" t="s">
        <v>223</v>
      </c>
      <c r="I1309" t="s">
        <v>4133</v>
      </c>
    </row>
    <row r="1310" spans="1:9" x14ac:dyDescent="0.25">
      <c r="A1310" t="s">
        <v>4160</v>
      </c>
      <c r="B1310" t="s">
        <v>3056</v>
      </c>
      <c r="C1310" t="s">
        <v>4161</v>
      </c>
      <c r="D1310" t="str" cm="1">
        <f t="array" ref="D1310">_xlfn.TEXTJOIN("", TRUE, IF(ISNUMBER(SEARCH($K$1379:$K$1423, C1310)), $K$1379:$K$1423, ""))</f>
        <v>Oscar Mayer</v>
      </c>
      <c r="E1310" t="str">
        <f t="shared" si="40"/>
        <v>Protein</v>
      </c>
      <c r="F1310" t="str">
        <f t="shared" si="41"/>
        <v>Protein</v>
      </c>
      <c r="G1310" s="1">
        <v>9.99</v>
      </c>
      <c r="H1310" t="s">
        <v>223</v>
      </c>
      <c r="I1310" t="s">
        <v>4162</v>
      </c>
    </row>
    <row r="1311" spans="1:9" x14ac:dyDescent="0.25">
      <c r="A1311" t="s">
        <v>4163</v>
      </c>
      <c r="B1311" t="s">
        <v>3056</v>
      </c>
      <c r="C1311" t="s">
        <v>4164</v>
      </c>
      <c r="D1311" t="str" cm="1">
        <f t="array" ref="D1311">_xlfn.TEXTJOIN("", TRUE, IF(ISNUMBER(SEARCH($K$1379:$K$1423, C1311)), $K$1379:$K$1423, ""))</f>
        <v>Oscar Mayer</v>
      </c>
      <c r="E1311" t="str">
        <f t="shared" si="40"/>
        <v>Protein</v>
      </c>
      <c r="F1311" t="str">
        <f t="shared" si="41"/>
        <v>Protein</v>
      </c>
      <c r="G1311" s="1">
        <v>5.99</v>
      </c>
      <c r="H1311" t="s">
        <v>223</v>
      </c>
      <c r="I1311" t="s">
        <v>1230</v>
      </c>
    </row>
    <row r="1312" spans="1:9" x14ac:dyDescent="0.25">
      <c r="A1312" t="s">
        <v>4165</v>
      </c>
      <c r="B1312" t="s">
        <v>3056</v>
      </c>
      <c r="C1312" t="s">
        <v>4166</v>
      </c>
      <c r="D1312" t="str" cm="1">
        <f t="array" ref="D1312">_xlfn.TEXTJOIN("", TRUE, IF(ISNUMBER(SEARCH($K$1379:$K$1423, C1312)), $K$1379:$K$1423, ""))</f>
        <v>Oscar Mayer</v>
      </c>
      <c r="E1312" t="str">
        <f t="shared" si="40"/>
        <v>Protein</v>
      </c>
      <c r="F1312" t="str">
        <f t="shared" si="41"/>
        <v>Protein</v>
      </c>
      <c r="G1312" s="1">
        <v>4.99</v>
      </c>
      <c r="H1312" t="s">
        <v>398</v>
      </c>
      <c r="I1312" t="s">
        <v>4151</v>
      </c>
    </row>
    <row r="1313" spans="1:9" x14ac:dyDescent="0.25">
      <c r="A1313" t="s">
        <v>4167</v>
      </c>
      <c r="B1313" t="s">
        <v>3056</v>
      </c>
      <c r="C1313" t="s">
        <v>4168</v>
      </c>
      <c r="D1313" t="str" cm="1">
        <f t="array" ref="D1313">_xlfn.TEXTJOIN("", TRUE, IF(ISNUMBER(SEARCH($K$1379:$K$1423, C1313)), $K$1379:$K$1423, ""))</f>
        <v>Oscar Mayer</v>
      </c>
      <c r="E1313" t="str">
        <f t="shared" si="40"/>
        <v>Protein</v>
      </c>
      <c r="F1313" t="str">
        <f t="shared" si="41"/>
        <v>Protein</v>
      </c>
      <c r="G1313" s="1">
        <v>4.99</v>
      </c>
      <c r="H1313" t="s">
        <v>211</v>
      </c>
      <c r="I1313" t="s">
        <v>216</v>
      </c>
    </row>
    <row r="1314" spans="1:9" x14ac:dyDescent="0.25">
      <c r="A1314" t="s">
        <v>4169</v>
      </c>
      <c r="B1314" t="s">
        <v>3056</v>
      </c>
      <c r="C1314" t="s">
        <v>4170</v>
      </c>
      <c r="D1314" t="str" cm="1">
        <f t="array" ref="D1314">_xlfn.TEXTJOIN("", TRUE, IF(ISNUMBER(SEARCH($K$1379:$K$1423, C1314)), $K$1379:$K$1423, ""))</f>
        <v>Oscar Mayer</v>
      </c>
      <c r="E1314" t="str">
        <f t="shared" si="40"/>
        <v>Protein</v>
      </c>
      <c r="F1314" t="str">
        <f t="shared" si="41"/>
        <v>Protein</v>
      </c>
      <c r="G1314" s="1">
        <v>4.99</v>
      </c>
      <c r="H1314" t="s">
        <v>398</v>
      </c>
      <c r="I1314" t="s">
        <v>4151</v>
      </c>
    </row>
    <row r="1315" spans="1:9" x14ac:dyDescent="0.25">
      <c r="A1315" t="s">
        <v>4171</v>
      </c>
      <c r="B1315" t="s">
        <v>3056</v>
      </c>
      <c r="C1315" t="s">
        <v>4172</v>
      </c>
      <c r="D1315" t="str" cm="1">
        <f t="array" ref="D1315">_xlfn.TEXTJOIN("", TRUE, IF(ISNUMBER(SEARCH($K$1379:$K$1423, C1315)), $K$1379:$K$1423, ""))</f>
        <v>Oscar Mayer</v>
      </c>
      <c r="E1315" t="str">
        <f t="shared" si="40"/>
        <v>Protein</v>
      </c>
      <c r="F1315" t="str">
        <f t="shared" si="41"/>
        <v>Protein</v>
      </c>
      <c r="G1315" s="1">
        <v>8.49</v>
      </c>
      <c r="H1315" t="s">
        <v>223</v>
      </c>
      <c r="I1315" t="s">
        <v>4133</v>
      </c>
    </row>
    <row r="1316" spans="1:9" x14ac:dyDescent="0.25">
      <c r="A1316" t="s">
        <v>4173</v>
      </c>
      <c r="B1316" t="s">
        <v>3056</v>
      </c>
      <c r="C1316" t="s">
        <v>4174</v>
      </c>
      <c r="D1316" t="str" cm="1">
        <f t="array" ref="D1316">_xlfn.TEXTJOIN("", TRUE, IF(ISNUMBER(SEARCH($K$1379:$K$1423, C1316)), $K$1379:$K$1423, ""))</f>
        <v>Oscar Mayer</v>
      </c>
      <c r="E1316" t="str">
        <f t="shared" si="40"/>
        <v>Protein</v>
      </c>
      <c r="F1316" t="str">
        <f t="shared" si="41"/>
        <v>Protein</v>
      </c>
      <c r="G1316" s="1">
        <v>6.59</v>
      </c>
      <c r="H1316" t="s">
        <v>897</v>
      </c>
      <c r="I1316" t="s">
        <v>4175</v>
      </c>
    </row>
    <row r="1317" spans="1:9" x14ac:dyDescent="0.25">
      <c r="A1317" t="s">
        <v>4176</v>
      </c>
      <c r="B1317" t="s">
        <v>3056</v>
      </c>
      <c r="C1317" t="s">
        <v>4177</v>
      </c>
      <c r="D1317" t="str" cm="1">
        <f t="array" ref="D1317">_xlfn.TEXTJOIN("", TRUE, IF(ISNUMBER(SEARCH($K$1379:$K$1423, C1317)), $K$1379:$K$1423, ""))</f>
        <v>Oscar Mayer</v>
      </c>
      <c r="E1317" t="str">
        <f t="shared" si="40"/>
        <v>Protein</v>
      </c>
      <c r="F1317" t="str">
        <f t="shared" si="41"/>
        <v>Protein</v>
      </c>
      <c r="G1317" s="1">
        <v>4.99</v>
      </c>
      <c r="H1317" t="s">
        <v>398</v>
      </c>
      <c r="I1317" t="s">
        <v>4151</v>
      </c>
    </row>
    <row r="1318" spans="1:9" x14ac:dyDescent="0.25">
      <c r="A1318" t="s">
        <v>4178</v>
      </c>
      <c r="B1318" t="s">
        <v>3056</v>
      </c>
      <c r="C1318" t="s">
        <v>4179</v>
      </c>
      <c r="D1318" t="str" cm="1">
        <f t="array" ref="D1318">_xlfn.TEXTJOIN("", TRUE, IF(ISNUMBER(SEARCH($K$1379:$K$1423, C1318)), $K$1379:$K$1423, ""))</f>
        <v>Oscar Mayer</v>
      </c>
      <c r="E1318" t="str">
        <f t="shared" si="40"/>
        <v>Protein</v>
      </c>
      <c r="F1318" t="str">
        <f t="shared" si="41"/>
        <v>Protein</v>
      </c>
      <c r="G1318" s="1">
        <v>4.99</v>
      </c>
      <c r="H1318" t="s">
        <v>398</v>
      </c>
      <c r="I1318" t="s">
        <v>4151</v>
      </c>
    </row>
    <row r="1319" spans="1:9" x14ac:dyDescent="0.25">
      <c r="A1319" t="s">
        <v>4180</v>
      </c>
      <c r="B1319" t="s">
        <v>3056</v>
      </c>
      <c r="C1319" t="s">
        <v>4181</v>
      </c>
      <c r="D1319" t="str" cm="1">
        <f t="array" ref="D1319">_xlfn.TEXTJOIN("", TRUE, IF(ISNUMBER(SEARCH($K$1379:$K$1423, C1319)), $K$1379:$K$1423, ""))</f>
        <v>Oscar Mayer</v>
      </c>
      <c r="E1319" t="str">
        <f t="shared" si="40"/>
        <v>Protein</v>
      </c>
      <c r="F1319" t="str">
        <f t="shared" si="41"/>
        <v>Protein</v>
      </c>
      <c r="G1319" s="1">
        <v>4.99</v>
      </c>
      <c r="H1319" t="s">
        <v>211</v>
      </c>
      <c r="I1319" t="s">
        <v>216</v>
      </c>
    </row>
    <row r="1320" spans="1:9" x14ac:dyDescent="0.25">
      <c r="A1320" t="s">
        <v>4182</v>
      </c>
      <c r="B1320" t="s">
        <v>3056</v>
      </c>
      <c r="C1320" t="s">
        <v>4183</v>
      </c>
      <c r="D1320" t="str" cm="1">
        <f t="array" ref="D1320">_xlfn.TEXTJOIN("", TRUE, IF(ISNUMBER(SEARCH($K$1379:$K$1423, C1320)), $K$1379:$K$1423, ""))</f>
        <v>Oscar Mayer</v>
      </c>
      <c r="E1320" t="str">
        <f t="shared" si="40"/>
        <v>Protein</v>
      </c>
      <c r="F1320" t="str">
        <f t="shared" si="41"/>
        <v>Protein</v>
      </c>
      <c r="G1320" s="1">
        <v>5.99</v>
      </c>
      <c r="H1320" t="s">
        <v>223</v>
      </c>
      <c r="I1320" t="s">
        <v>1230</v>
      </c>
    </row>
    <row r="1321" spans="1:9" x14ac:dyDescent="0.25">
      <c r="A1321" t="s">
        <v>4184</v>
      </c>
      <c r="B1321" t="s">
        <v>3056</v>
      </c>
      <c r="C1321" t="s">
        <v>4185</v>
      </c>
      <c r="D1321" t="str" cm="1">
        <f t="array" ref="D1321">_xlfn.TEXTJOIN("", TRUE, IF(ISNUMBER(SEARCH($K$1379:$K$1423, C1321)), $K$1379:$K$1423, ""))</f>
        <v>Oscar Mayer</v>
      </c>
      <c r="E1321" t="str">
        <f t="shared" si="40"/>
        <v>Protein</v>
      </c>
      <c r="F1321" t="str">
        <f t="shared" si="41"/>
        <v>Protein</v>
      </c>
      <c r="G1321" s="1">
        <v>8.49</v>
      </c>
      <c r="H1321" t="s">
        <v>223</v>
      </c>
      <c r="I1321" t="s">
        <v>4133</v>
      </c>
    </row>
    <row r="1322" spans="1:9" x14ac:dyDescent="0.25">
      <c r="A1322" t="s">
        <v>4186</v>
      </c>
      <c r="B1322" t="s">
        <v>3056</v>
      </c>
      <c r="C1322" t="s">
        <v>4187</v>
      </c>
      <c r="D1322" t="str" cm="1">
        <f t="array" ref="D1322">_xlfn.TEXTJOIN("", TRUE, IF(ISNUMBER(SEARCH($K$1379:$K$1423, C1322)), $K$1379:$K$1423, ""))</f>
        <v>Oscar Mayer</v>
      </c>
      <c r="E1322" t="str">
        <f t="shared" si="40"/>
        <v>Protein</v>
      </c>
      <c r="F1322" t="str">
        <f t="shared" si="41"/>
        <v>Protein</v>
      </c>
      <c r="G1322" s="1">
        <v>7.49</v>
      </c>
      <c r="H1322" t="s">
        <v>223</v>
      </c>
      <c r="I1322" t="s">
        <v>224</v>
      </c>
    </row>
    <row r="1323" spans="1:9" x14ac:dyDescent="0.25">
      <c r="A1323" t="s">
        <v>4188</v>
      </c>
      <c r="B1323" t="s">
        <v>3056</v>
      </c>
      <c r="C1323" t="s">
        <v>4189</v>
      </c>
      <c r="D1323" t="str" cm="1">
        <f t="array" ref="D1323">_xlfn.TEXTJOIN("", TRUE, IF(ISNUMBER(SEARCH($K$1379:$K$1423, C1323)), $K$1379:$K$1423, ""))</f>
        <v>Oscar Mayer</v>
      </c>
      <c r="E1323" t="str">
        <f t="shared" si="40"/>
        <v>Protein</v>
      </c>
      <c r="F1323" t="str">
        <f t="shared" si="41"/>
        <v>Protein</v>
      </c>
      <c r="G1323" s="1">
        <v>8.49</v>
      </c>
      <c r="H1323" t="s">
        <v>223</v>
      </c>
      <c r="I1323" t="s">
        <v>4133</v>
      </c>
    </row>
    <row r="1324" spans="1:9" x14ac:dyDescent="0.25">
      <c r="A1324" t="s">
        <v>4190</v>
      </c>
      <c r="B1324" t="s">
        <v>3056</v>
      </c>
      <c r="C1324" t="s">
        <v>4191</v>
      </c>
      <c r="D1324" t="str" cm="1">
        <f t="array" ref="D1324">_xlfn.TEXTJOIN("", TRUE, IF(ISNUMBER(SEARCH($K$1379:$K$1423, C1324)), $K$1379:$K$1423, ""))</f>
        <v>Oscar Mayer</v>
      </c>
      <c r="E1324" t="str">
        <f t="shared" si="40"/>
        <v>Protein</v>
      </c>
      <c r="F1324" t="str">
        <f t="shared" si="41"/>
        <v>Protein</v>
      </c>
      <c r="G1324" s="1">
        <v>2.79</v>
      </c>
      <c r="H1324" t="s">
        <v>4192</v>
      </c>
      <c r="I1324" t="s">
        <v>2522</v>
      </c>
    </row>
    <row r="1325" spans="1:9" x14ac:dyDescent="0.25">
      <c r="A1325" t="s">
        <v>4193</v>
      </c>
      <c r="B1325" t="s">
        <v>3056</v>
      </c>
      <c r="C1325" t="s">
        <v>4194</v>
      </c>
      <c r="D1325" t="str" cm="1">
        <f t="array" ref="D1325">_xlfn.TEXTJOIN("", TRUE, IF(ISNUMBER(SEARCH($K$1379:$K$1423, C1325)), $K$1379:$K$1423, ""))</f>
        <v>Oscar Mayer</v>
      </c>
      <c r="E1325" t="str">
        <f t="shared" si="40"/>
        <v>Protein</v>
      </c>
      <c r="F1325" t="str">
        <f t="shared" si="41"/>
        <v>Protein</v>
      </c>
      <c r="G1325" s="1">
        <v>3.49</v>
      </c>
      <c r="H1325" t="s">
        <v>223</v>
      </c>
      <c r="I1325" t="s">
        <v>4144</v>
      </c>
    </row>
    <row r="1326" spans="1:9" x14ac:dyDescent="0.25">
      <c r="A1326" t="s">
        <v>4195</v>
      </c>
      <c r="B1326" t="s">
        <v>3056</v>
      </c>
      <c r="C1326" t="s">
        <v>4196</v>
      </c>
      <c r="D1326" t="str" cm="1">
        <f t="array" ref="D1326">_xlfn.TEXTJOIN("", TRUE, IF(ISNUMBER(SEARCH($K$1379:$K$1423, C1326)), $K$1379:$K$1423, ""))</f>
        <v>Oscar Mayer</v>
      </c>
      <c r="E1326" t="str">
        <f t="shared" si="40"/>
        <v>Protein</v>
      </c>
      <c r="F1326" t="str">
        <f t="shared" si="41"/>
        <v>Protein</v>
      </c>
      <c r="G1326" s="1">
        <v>6.59</v>
      </c>
      <c r="H1326" t="s">
        <v>897</v>
      </c>
      <c r="I1326" t="s">
        <v>4175</v>
      </c>
    </row>
    <row r="1327" spans="1:9" x14ac:dyDescent="0.25">
      <c r="A1327" t="s">
        <v>4197</v>
      </c>
      <c r="B1327" t="s">
        <v>3056</v>
      </c>
      <c r="C1327" t="s">
        <v>4198</v>
      </c>
      <c r="D1327" t="str" cm="1">
        <f t="array" ref="D1327">_xlfn.TEXTJOIN("", TRUE, IF(ISNUMBER(SEARCH($K$1379:$K$1423, C1327)), $K$1379:$K$1423, ""))</f>
        <v>Oscar Mayer</v>
      </c>
      <c r="E1327" t="str">
        <f t="shared" si="40"/>
        <v>Protein</v>
      </c>
      <c r="F1327" t="str">
        <f t="shared" si="41"/>
        <v>Protein</v>
      </c>
      <c r="G1327" s="1">
        <v>4.99</v>
      </c>
      <c r="H1327" t="s">
        <v>398</v>
      </c>
      <c r="I1327" t="s">
        <v>4151</v>
      </c>
    </row>
    <row r="1328" spans="1:9" x14ac:dyDescent="0.25">
      <c r="A1328" t="s">
        <v>4199</v>
      </c>
      <c r="B1328" t="s">
        <v>3056</v>
      </c>
      <c r="C1328" t="s">
        <v>4200</v>
      </c>
      <c r="D1328" t="str" cm="1">
        <f t="array" ref="D1328">_xlfn.TEXTJOIN("", TRUE, IF(ISNUMBER(SEARCH($K$1379:$K$1423, C1328)), $K$1379:$K$1423, ""))</f>
        <v>Oscar Mayer</v>
      </c>
      <c r="E1328" t="str">
        <f t="shared" si="40"/>
        <v>Protein</v>
      </c>
      <c r="F1328" t="str">
        <f t="shared" si="41"/>
        <v>Protein</v>
      </c>
      <c r="G1328" s="1">
        <v>2.79</v>
      </c>
      <c r="H1328" t="s">
        <v>4192</v>
      </c>
      <c r="I1328" t="s">
        <v>2522</v>
      </c>
    </row>
    <row r="1329" spans="1:9" x14ac:dyDescent="0.25">
      <c r="A1329" t="s">
        <v>4201</v>
      </c>
      <c r="B1329" t="s">
        <v>3056</v>
      </c>
      <c r="C1329" t="s">
        <v>4202</v>
      </c>
      <c r="D1329" t="str" cm="1">
        <f t="array" ref="D1329">_xlfn.TEXTJOIN("", TRUE, IF(ISNUMBER(SEARCH($K$1379:$K$1423, C1329)), $K$1379:$K$1423, ""))</f>
        <v>Oscar Mayer</v>
      </c>
      <c r="E1329" t="str">
        <f t="shared" si="40"/>
        <v>Protein</v>
      </c>
      <c r="F1329" t="str">
        <f t="shared" si="41"/>
        <v>Protein</v>
      </c>
      <c r="G1329" s="1">
        <v>3.79</v>
      </c>
      <c r="H1329" t="s">
        <v>223</v>
      </c>
      <c r="I1329" t="s">
        <v>4203</v>
      </c>
    </row>
    <row r="1330" spans="1:9" x14ac:dyDescent="0.25">
      <c r="A1330" t="s">
        <v>4204</v>
      </c>
      <c r="B1330" t="s">
        <v>3056</v>
      </c>
      <c r="C1330" t="s">
        <v>4205</v>
      </c>
      <c r="D1330" t="str" cm="1">
        <f t="array" ref="D1330">_xlfn.TEXTJOIN("", TRUE, IF(ISNUMBER(SEARCH($K$1379:$K$1423, C1330)), $K$1379:$K$1423, ""))</f>
        <v>Oscar Mayer</v>
      </c>
      <c r="E1330" t="str">
        <f t="shared" si="40"/>
        <v>Protein</v>
      </c>
      <c r="F1330" t="str">
        <f t="shared" si="41"/>
        <v>Protein</v>
      </c>
      <c r="G1330" s="1">
        <v>8.49</v>
      </c>
      <c r="H1330" t="s">
        <v>223</v>
      </c>
      <c r="I1330" t="s">
        <v>4133</v>
      </c>
    </row>
    <row r="1331" spans="1:9" x14ac:dyDescent="0.25">
      <c r="A1331" t="s">
        <v>4206</v>
      </c>
      <c r="B1331" t="s">
        <v>3056</v>
      </c>
      <c r="C1331" t="s">
        <v>4207</v>
      </c>
      <c r="D1331" t="str" cm="1">
        <f t="array" ref="D1331">_xlfn.TEXTJOIN("", TRUE, IF(ISNUMBER(SEARCH($K$1379:$K$1423, C1331)), $K$1379:$K$1423, ""))</f>
        <v>Oscar Mayer</v>
      </c>
      <c r="E1331" t="str">
        <f t="shared" si="40"/>
        <v>Protein</v>
      </c>
      <c r="F1331" t="str">
        <f t="shared" si="41"/>
        <v>Protein</v>
      </c>
      <c r="G1331" s="1">
        <v>6.59</v>
      </c>
      <c r="H1331" t="s">
        <v>897</v>
      </c>
      <c r="I1331" t="s">
        <v>4175</v>
      </c>
    </row>
    <row r="1332" spans="1:9" x14ac:dyDescent="0.25">
      <c r="A1332" t="s">
        <v>4208</v>
      </c>
      <c r="B1332" t="s">
        <v>3056</v>
      </c>
      <c r="C1332" t="s">
        <v>4209</v>
      </c>
      <c r="D1332" t="str" cm="1">
        <f t="array" ref="D1332">_xlfn.TEXTJOIN("", TRUE, IF(ISNUMBER(SEARCH($K$1379:$K$1423, C1332)), $K$1379:$K$1423, ""))</f>
        <v>Oscar Mayer</v>
      </c>
      <c r="E1332" t="str">
        <f t="shared" si="40"/>
        <v>Protein</v>
      </c>
      <c r="F1332" t="str">
        <f t="shared" si="41"/>
        <v>Protein</v>
      </c>
      <c r="G1332" s="1">
        <v>4.49</v>
      </c>
      <c r="H1332" t="s">
        <v>223</v>
      </c>
      <c r="I1332" t="s">
        <v>4210</v>
      </c>
    </row>
    <row r="1333" spans="1:9" x14ac:dyDescent="0.25">
      <c r="A1333" t="s">
        <v>4211</v>
      </c>
      <c r="B1333" t="s">
        <v>3056</v>
      </c>
      <c r="C1333" t="s">
        <v>4132</v>
      </c>
      <c r="D1333" t="str" cm="1">
        <f t="array" ref="D1333">_xlfn.TEXTJOIN("", TRUE, IF(ISNUMBER(SEARCH($K$1379:$K$1423, C1333)), $K$1379:$K$1423, ""))</f>
        <v>Oscar Mayer</v>
      </c>
      <c r="E1333" t="str">
        <f t="shared" si="40"/>
        <v>Protein</v>
      </c>
      <c r="F1333" t="str">
        <f t="shared" si="41"/>
        <v>Protein</v>
      </c>
      <c r="G1333" s="1">
        <v>11.49</v>
      </c>
      <c r="H1333" t="s">
        <v>1433</v>
      </c>
      <c r="I1333" t="s">
        <v>4212</v>
      </c>
    </row>
    <row r="1334" spans="1:9" x14ac:dyDescent="0.25">
      <c r="A1334" t="s">
        <v>4213</v>
      </c>
      <c r="B1334" t="s">
        <v>3056</v>
      </c>
      <c r="C1334" t="s">
        <v>4214</v>
      </c>
      <c r="D1334" t="str" cm="1">
        <f t="array" ref="D1334">_xlfn.TEXTJOIN("", TRUE, IF(ISNUMBER(SEARCH($K$1379:$K$1423, C1334)), $K$1379:$K$1423, ""))</f>
        <v>Oscar Mayer</v>
      </c>
      <c r="E1334" t="str">
        <f t="shared" si="40"/>
        <v>Protein</v>
      </c>
      <c r="F1334" t="str">
        <f t="shared" si="41"/>
        <v>Protein</v>
      </c>
      <c r="G1334" s="1">
        <v>4.99</v>
      </c>
      <c r="H1334" t="s">
        <v>398</v>
      </c>
      <c r="I1334" t="s">
        <v>4151</v>
      </c>
    </row>
    <row r="1335" spans="1:9" x14ac:dyDescent="0.25">
      <c r="A1335" t="s">
        <v>4215</v>
      </c>
      <c r="B1335" t="s">
        <v>3056</v>
      </c>
      <c r="C1335" t="s">
        <v>4216</v>
      </c>
      <c r="D1335" t="str" cm="1">
        <f t="array" ref="D1335">_xlfn.TEXTJOIN("", TRUE, IF(ISNUMBER(SEARCH($K$1379:$K$1423, C1335)), $K$1379:$K$1423, ""))</f>
        <v>Oscar Mayer</v>
      </c>
      <c r="E1335" t="str">
        <f t="shared" si="40"/>
        <v>Protein</v>
      </c>
      <c r="F1335" t="str">
        <f t="shared" si="41"/>
        <v>Protein</v>
      </c>
      <c r="G1335" s="1">
        <v>8.49</v>
      </c>
      <c r="H1335" t="s">
        <v>223</v>
      </c>
      <c r="I1335" t="s">
        <v>4133</v>
      </c>
    </row>
    <row r="1336" spans="1:9" x14ac:dyDescent="0.25">
      <c r="A1336" t="s">
        <v>4217</v>
      </c>
      <c r="B1336" t="s">
        <v>3056</v>
      </c>
      <c r="C1336" t="s">
        <v>4218</v>
      </c>
      <c r="D1336" t="str" cm="1">
        <f t="array" ref="D1336">_xlfn.TEXTJOIN("", TRUE, IF(ISNUMBER(SEARCH($K$1379:$K$1423, C1336)), $K$1379:$K$1423, ""))</f>
        <v>Oscar Mayer</v>
      </c>
      <c r="E1336" t="str">
        <f t="shared" si="40"/>
        <v>Protein</v>
      </c>
      <c r="F1336" t="str">
        <f t="shared" si="41"/>
        <v>Protein</v>
      </c>
      <c r="G1336" s="1">
        <v>7.49</v>
      </c>
      <c r="H1336" t="s">
        <v>223</v>
      </c>
      <c r="I1336" t="s">
        <v>224</v>
      </c>
    </row>
    <row r="1337" spans="1:9" x14ac:dyDescent="0.25">
      <c r="A1337" t="s">
        <v>4219</v>
      </c>
      <c r="B1337" t="s">
        <v>4220</v>
      </c>
      <c r="C1337" t="s">
        <v>4351</v>
      </c>
      <c r="D1337" t="str" cm="1">
        <f t="array" ref="D1337">_xlfn.TEXTJOIN("", TRUE, IF(ISNUMBER(SEARCH($K$1379:$K$1423, C1337)), $K$1379:$K$1423, ""))</f>
        <v>SPAM</v>
      </c>
      <c r="E1337" t="str">
        <f t="shared" si="40"/>
        <v>Protein</v>
      </c>
      <c r="F1337" t="str">
        <f t="shared" si="41"/>
        <v>Protein</v>
      </c>
      <c r="G1337" s="1">
        <v>4.59</v>
      </c>
      <c r="H1337" t="s">
        <v>1040</v>
      </c>
      <c r="I1337" s="3" t="s">
        <v>1505</v>
      </c>
    </row>
    <row r="1338" spans="1:9" x14ac:dyDescent="0.25">
      <c r="A1338" t="s">
        <v>4221</v>
      </c>
      <c r="B1338" t="s">
        <v>4222</v>
      </c>
      <c r="C1338" t="s">
        <v>4352</v>
      </c>
      <c r="D1338" t="str" cm="1">
        <f t="array" ref="D1338">_xlfn.TEXTJOIN("", TRUE, IF(ISNUMBER(SEARCH($K$1379:$K$1423, C1338)), $K$1379:$K$1423, ""))</f>
        <v>SPAM</v>
      </c>
      <c r="E1338" t="str">
        <f t="shared" si="40"/>
        <v>Protein</v>
      </c>
      <c r="F1338" t="str">
        <f t="shared" si="41"/>
        <v>Protein</v>
      </c>
      <c r="G1338" s="1">
        <v>4.59</v>
      </c>
      <c r="H1338" t="s">
        <v>1040</v>
      </c>
      <c r="I1338" s="3" t="s">
        <v>1505</v>
      </c>
    </row>
    <row r="1339" spans="1:9" x14ac:dyDescent="0.25">
      <c r="A1339" t="s">
        <v>4223</v>
      </c>
      <c r="B1339" t="s">
        <v>4224</v>
      </c>
      <c r="C1339" t="s">
        <v>4353</v>
      </c>
      <c r="D1339" t="str" cm="1">
        <f t="array" ref="D1339">_xlfn.TEXTJOIN("", TRUE, IF(ISNUMBER(SEARCH($K$1379:$K$1423, C1339)), $K$1379:$K$1423, ""))</f>
        <v>SPAM</v>
      </c>
      <c r="E1339" t="str">
        <f t="shared" si="40"/>
        <v>Protein</v>
      </c>
      <c r="F1339" t="str">
        <f t="shared" si="41"/>
        <v>Protein</v>
      </c>
      <c r="G1339" s="1">
        <v>4.59</v>
      </c>
      <c r="H1339" t="s">
        <v>1040</v>
      </c>
      <c r="I1339" s="3" t="s">
        <v>1505</v>
      </c>
    </row>
    <row r="1340" spans="1:9" x14ac:dyDescent="0.25">
      <c r="A1340" t="s">
        <v>4225</v>
      </c>
      <c r="B1340" t="s">
        <v>4226</v>
      </c>
      <c r="C1340" t="s">
        <v>4354</v>
      </c>
      <c r="D1340" t="str" cm="1">
        <f t="array" ref="D1340">_xlfn.TEXTJOIN("", TRUE, IF(ISNUMBER(SEARCH($K$1379:$K$1423, C1340)), $K$1379:$K$1423, ""))</f>
        <v>SPAM</v>
      </c>
      <c r="E1340" t="str">
        <f t="shared" si="40"/>
        <v>Protein</v>
      </c>
      <c r="F1340" t="str">
        <f t="shared" si="41"/>
        <v>Protein</v>
      </c>
      <c r="G1340" s="1">
        <v>7.59</v>
      </c>
      <c r="H1340" t="s">
        <v>1040</v>
      </c>
      <c r="I1340" s="3" t="s">
        <v>2201</v>
      </c>
    </row>
    <row r="1341" spans="1:9" x14ac:dyDescent="0.25">
      <c r="A1341" t="s">
        <v>4227</v>
      </c>
      <c r="B1341" t="s">
        <v>4228</v>
      </c>
      <c r="C1341" t="s">
        <v>4355</v>
      </c>
      <c r="D1341" t="str" cm="1">
        <f t="array" ref="D1341">_xlfn.TEXTJOIN("", TRUE, IF(ISNUMBER(SEARCH($K$1379:$K$1423, C1341)), $K$1379:$K$1423, ""))</f>
        <v>SPAM</v>
      </c>
      <c r="E1341" t="str">
        <f t="shared" si="40"/>
        <v>Protein</v>
      </c>
      <c r="F1341" t="str">
        <f t="shared" si="41"/>
        <v>Protein</v>
      </c>
      <c r="G1341" s="1">
        <v>4.59</v>
      </c>
      <c r="H1341" t="s">
        <v>1040</v>
      </c>
      <c r="I1341" s="3" t="s">
        <v>1505</v>
      </c>
    </row>
    <row r="1342" spans="1:9" x14ac:dyDescent="0.25">
      <c r="A1342" t="s">
        <v>4229</v>
      </c>
      <c r="B1342" t="s">
        <v>4230</v>
      </c>
      <c r="C1342" t="s">
        <v>4356</v>
      </c>
      <c r="D1342" t="str" cm="1">
        <f t="array" ref="D1342">_xlfn.TEXTJOIN("", TRUE, IF(ISNUMBER(SEARCH($K$1379:$K$1423, C1342)), $K$1379:$K$1423, ""))</f>
        <v>SPAM</v>
      </c>
      <c r="E1342" t="str">
        <f t="shared" si="40"/>
        <v>Protein</v>
      </c>
      <c r="F1342" t="str">
        <f t="shared" si="41"/>
        <v>Protein</v>
      </c>
      <c r="G1342" s="1">
        <v>4.59</v>
      </c>
      <c r="H1342" t="s">
        <v>1040</v>
      </c>
      <c r="I1342" s="3" t="s">
        <v>1505</v>
      </c>
    </row>
    <row r="1343" spans="1:9" x14ac:dyDescent="0.25">
      <c r="A1343" t="s">
        <v>4231</v>
      </c>
      <c r="B1343" t="s">
        <v>4232</v>
      </c>
      <c r="C1343" t="s">
        <v>4357</v>
      </c>
      <c r="D1343" t="str" cm="1">
        <f t="array" ref="D1343">_xlfn.TEXTJOIN("", TRUE, IF(ISNUMBER(SEARCH($K$1379:$K$1423, C1343)), $K$1379:$K$1423, ""))</f>
        <v>SPAM</v>
      </c>
      <c r="E1343" t="str">
        <f t="shared" si="40"/>
        <v>Protein</v>
      </c>
      <c r="F1343" t="str">
        <f t="shared" si="41"/>
        <v>Protein</v>
      </c>
      <c r="G1343" s="1">
        <v>4.59</v>
      </c>
      <c r="H1343" t="s">
        <v>1040</v>
      </c>
      <c r="I1343" s="3" t="s">
        <v>1505</v>
      </c>
    </row>
    <row r="1344" spans="1:9" x14ac:dyDescent="0.25">
      <c r="A1344" t="s">
        <v>4233</v>
      </c>
      <c r="B1344" t="s">
        <v>4234</v>
      </c>
      <c r="C1344" t="s">
        <v>4358</v>
      </c>
      <c r="D1344" t="str" cm="1">
        <f t="array" ref="D1344">_xlfn.TEXTJOIN("", TRUE, IF(ISNUMBER(SEARCH($K$1379:$K$1423, C1344)), $K$1379:$K$1423, ""))</f>
        <v>SPAM</v>
      </c>
      <c r="E1344" t="str">
        <f t="shared" si="40"/>
        <v>Protein</v>
      </c>
      <c r="F1344" t="str">
        <f t="shared" si="41"/>
        <v>Protein</v>
      </c>
      <c r="G1344" s="1">
        <v>1.69</v>
      </c>
      <c r="H1344" t="s">
        <v>4235</v>
      </c>
      <c r="I1344" s="3" t="s">
        <v>3223</v>
      </c>
    </row>
    <row r="1345" spans="1:9" x14ac:dyDescent="0.25">
      <c r="A1345" t="s">
        <v>4236</v>
      </c>
      <c r="B1345" t="s">
        <v>4237</v>
      </c>
      <c r="C1345" t="s">
        <v>4351</v>
      </c>
      <c r="D1345" t="str" cm="1">
        <f t="array" ref="D1345">_xlfn.TEXTJOIN("", TRUE, IF(ISNUMBER(SEARCH($K$1379:$K$1423, C1345)), $K$1379:$K$1423, ""))</f>
        <v>SPAM</v>
      </c>
      <c r="E1345" t="str">
        <f t="shared" si="40"/>
        <v>Protein</v>
      </c>
      <c r="F1345" t="str">
        <f t="shared" si="41"/>
        <v>Protein</v>
      </c>
      <c r="G1345" s="1">
        <v>3.29</v>
      </c>
      <c r="H1345" t="s">
        <v>4238</v>
      </c>
      <c r="I1345" s="3" t="s">
        <v>1594</v>
      </c>
    </row>
    <row r="1346" spans="1:9" x14ac:dyDescent="0.25">
      <c r="A1346" t="s">
        <v>4239</v>
      </c>
      <c r="B1346" t="s">
        <v>4240</v>
      </c>
      <c r="C1346" t="s">
        <v>4359</v>
      </c>
      <c r="D1346" t="str" cm="1">
        <f t="array" ref="D1346">_xlfn.TEXTJOIN("", TRUE, IF(ISNUMBER(SEARCH($K$1379:$K$1423, C1346)), $K$1379:$K$1423, ""))</f>
        <v>SPAM</v>
      </c>
      <c r="E1346" t="str">
        <f t="shared" ref="E1346:E1376" si="42">IF(OR(D1346="Mission",D1346="Nature's Own",D1346="Sara Lee"),"Bread",
IF(OR(D1346="Del Monte",D1346="Dole",D1346="Mott's"),"Canned Fruit",
IF(OR(D1346="Goya",D1346="Hunt's",D1346="Birds Eye"),"Canned Vegetables",
IF(OR(D1346="fairlife",D1346="Horizon Organic",D1346="Lactaid",D1346="Ben &amp; Jerry's"),"Milk",
IF(OR(D1346="BelGioioso",D1346="Kraft",D1346="Philadelphia"),"Cheese",
IF(OR(D1346="Chobani",D1346="Oikos",D1346="Dannon Light + Fit"),"Yogurt",
IF(OR(D1346="Barilla",D1346="Annie's",D1346="Rao's Homemade"),"Pasta",
IF(OR(D1346="Hershey's",D1346="Lay's",D1346="Totino's",D1346="Cheerios",D1346="Jif",D1346="Skippy",D1346="Nature Valley",D1346="OREO",D1346="DiGiorno",D1346="Eggo"),"Prepared Food",
IF(OR(D1346="Ben's Original",D1346="Lundberg",D1346="Quaker"),"Rice",
IF(OR(D1346="Bush's",D1346="Hillshire Farm",D1346="Oscar Mayer",D1346="SPAM"),"Protein",
IF(OR(D1346="Starbucks",D1346="Sparkling Ice",D1346="Coca-Cola",D1346="San Pellegrino",D1346="Gatorade",D1346="Arizona"),"Beverages",
"Other")))))))))))</f>
        <v>Protein</v>
      </c>
      <c r="F1346" t="str">
        <f t="shared" ref="F1346:F1376" si="43">IF(OR(E1346="Bread",E1346="Rice",E1346="Pasta"), "Grain",
IF(OR(E1346="Milk",E1346="Cheese",E1346="Yogurt"), "Dairy",
IF(OR(E1346="Canned Fruit",E1346="Canned Vegetables"), "Fruit &amp; Vegetables",
IF(E1346="Prepared Food", "Prepared Food",
IF(E1346="Protein", "Protein",
IF(E1346="Beverages", "Beverages",
"Other"))))))</f>
        <v>Protein</v>
      </c>
      <c r="G1346" s="1">
        <v>1.69</v>
      </c>
      <c r="H1346" t="s">
        <v>4235</v>
      </c>
      <c r="I1346" s="3" t="s">
        <v>3223</v>
      </c>
    </row>
    <row r="1347" spans="1:9" x14ac:dyDescent="0.25">
      <c r="A1347" t="s">
        <v>4241</v>
      </c>
      <c r="B1347" t="s">
        <v>3056</v>
      </c>
      <c r="C1347" t="s">
        <v>4352</v>
      </c>
      <c r="D1347" t="str" cm="1">
        <f t="array" ref="D1347">_xlfn.TEXTJOIN("", TRUE, IF(ISNUMBER(SEARCH($K$1379:$K$1423, C1347)), $K$1379:$K$1423, ""))</f>
        <v>SPAM</v>
      </c>
      <c r="E1347" t="str">
        <f t="shared" si="42"/>
        <v>Protein</v>
      </c>
      <c r="F1347" t="str">
        <f t="shared" si="43"/>
        <v>Protein</v>
      </c>
      <c r="G1347" s="1">
        <v>3.29</v>
      </c>
      <c r="H1347" t="s">
        <v>4242</v>
      </c>
      <c r="I1347" s="3" t="s">
        <v>1594</v>
      </c>
    </row>
    <row r="1348" spans="1:9" x14ac:dyDescent="0.25">
      <c r="A1348" t="s">
        <v>4243</v>
      </c>
      <c r="B1348" t="s">
        <v>4244</v>
      </c>
      <c r="C1348" t="s">
        <v>4245</v>
      </c>
      <c r="D1348" t="str" cm="1">
        <f t="array" ref="D1348">_xlfn.TEXTJOIN("", TRUE, IF(ISNUMBER(SEARCH($K$1379:$K$1423, C1348)), $K$1379:$K$1423, ""))</f>
        <v>Hillshire Farm</v>
      </c>
      <c r="E1348" t="str">
        <f t="shared" si="42"/>
        <v>Protein</v>
      </c>
      <c r="F1348" t="str">
        <f t="shared" si="43"/>
        <v>Protein</v>
      </c>
      <c r="G1348" s="1">
        <v>4.49</v>
      </c>
      <c r="H1348" t="s">
        <v>3085</v>
      </c>
      <c r="I1348" s="3" t="s">
        <v>4246</v>
      </c>
    </row>
    <row r="1349" spans="1:9" x14ac:dyDescent="0.25">
      <c r="A1349" t="s">
        <v>4247</v>
      </c>
      <c r="B1349" t="s">
        <v>4248</v>
      </c>
      <c r="C1349" t="s">
        <v>4249</v>
      </c>
      <c r="D1349" t="str" cm="1">
        <f t="array" ref="D1349">_xlfn.TEXTJOIN("", TRUE, IF(ISNUMBER(SEARCH($K$1379:$K$1423, C1349)), $K$1379:$K$1423, ""))</f>
        <v>Hillshire Farm</v>
      </c>
      <c r="E1349" t="str">
        <f t="shared" si="42"/>
        <v>Protein</v>
      </c>
      <c r="F1349" t="str">
        <f t="shared" si="43"/>
        <v>Protein</v>
      </c>
      <c r="G1349" s="1">
        <v>5.49</v>
      </c>
      <c r="H1349" t="s">
        <v>1234</v>
      </c>
      <c r="I1349" s="3" t="s">
        <v>4250</v>
      </c>
    </row>
    <row r="1350" spans="1:9" x14ac:dyDescent="0.25">
      <c r="A1350" t="s">
        <v>4251</v>
      </c>
      <c r="B1350" t="s">
        <v>4252</v>
      </c>
      <c r="C1350" t="s">
        <v>4253</v>
      </c>
      <c r="D1350" t="str" cm="1">
        <f t="array" ref="D1350">_xlfn.TEXTJOIN("", TRUE, IF(ISNUMBER(SEARCH($K$1379:$K$1423, C1350)), $K$1379:$K$1423, ""))</f>
        <v>Hillshire Farm</v>
      </c>
      <c r="E1350" t="str">
        <f t="shared" si="42"/>
        <v>Protein</v>
      </c>
      <c r="F1350" t="str">
        <f t="shared" si="43"/>
        <v>Protein</v>
      </c>
      <c r="G1350" s="1">
        <v>5.29</v>
      </c>
      <c r="H1350" t="s">
        <v>4254</v>
      </c>
      <c r="I1350" s="3" t="s">
        <v>4255</v>
      </c>
    </row>
    <row r="1351" spans="1:9" x14ac:dyDescent="0.25">
      <c r="A1351" t="s">
        <v>4256</v>
      </c>
      <c r="B1351" t="s">
        <v>4257</v>
      </c>
      <c r="C1351" t="s">
        <v>4258</v>
      </c>
      <c r="D1351" t="str" cm="1">
        <f t="array" ref="D1351">_xlfn.TEXTJOIN("", TRUE, IF(ISNUMBER(SEARCH($K$1379:$K$1423, C1351)), $K$1379:$K$1423, ""))</f>
        <v>Hillshire Farm</v>
      </c>
      <c r="E1351" t="str">
        <f t="shared" si="42"/>
        <v>Protein</v>
      </c>
      <c r="F1351" t="str">
        <f t="shared" si="43"/>
        <v>Protein</v>
      </c>
      <c r="G1351" s="1">
        <v>4.49</v>
      </c>
      <c r="H1351" t="s">
        <v>4259</v>
      </c>
      <c r="I1351" s="3" t="s">
        <v>4260</v>
      </c>
    </row>
    <row r="1352" spans="1:9" x14ac:dyDescent="0.25">
      <c r="A1352" t="s">
        <v>4261</v>
      </c>
      <c r="B1352" t="s">
        <v>4262</v>
      </c>
      <c r="C1352" t="s">
        <v>4263</v>
      </c>
      <c r="D1352" t="str" cm="1">
        <f t="array" ref="D1352">_xlfn.TEXTJOIN("", TRUE, IF(ISNUMBER(SEARCH($K$1379:$K$1423, C1352)), $K$1379:$K$1423, ""))</f>
        <v>Hillshire Farm</v>
      </c>
      <c r="E1352" t="str">
        <f t="shared" si="42"/>
        <v>Protein</v>
      </c>
      <c r="F1352" t="str">
        <f t="shared" si="43"/>
        <v>Protein</v>
      </c>
      <c r="G1352" s="1">
        <v>3.33</v>
      </c>
      <c r="H1352" t="s">
        <v>4264</v>
      </c>
      <c r="I1352" s="3" t="s">
        <v>4265</v>
      </c>
    </row>
    <row r="1353" spans="1:9" x14ac:dyDescent="0.25">
      <c r="A1353" t="s">
        <v>4266</v>
      </c>
      <c r="B1353" t="s">
        <v>4267</v>
      </c>
      <c r="C1353" t="s">
        <v>4268</v>
      </c>
      <c r="D1353" t="str" cm="1">
        <f t="array" ref="D1353">_xlfn.TEXTJOIN("", TRUE, IF(ISNUMBER(SEARCH($K$1379:$K$1423, C1353)), $K$1379:$K$1423, ""))</f>
        <v>Hillshire Farm</v>
      </c>
      <c r="E1353" t="str">
        <f t="shared" si="42"/>
        <v>Protein</v>
      </c>
      <c r="F1353" t="str">
        <f t="shared" si="43"/>
        <v>Protein</v>
      </c>
      <c r="G1353" s="1">
        <v>5.29</v>
      </c>
      <c r="H1353" t="s">
        <v>4254</v>
      </c>
      <c r="I1353" s="3" t="s">
        <v>4255</v>
      </c>
    </row>
    <row r="1354" spans="1:9" x14ac:dyDescent="0.25">
      <c r="A1354" t="s">
        <v>4269</v>
      </c>
      <c r="B1354" t="s">
        <v>4270</v>
      </c>
      <c r="C1354" t="s">
        <v>4271</v>
      </c>
      <c r="D1354" t="str" cm="1">
        <f t="array" ref="D1354">_xlfn.TEXTJOIN("", TRUE, IF(ISNUMBER(SEARCH($K$1379:$K$1423, C1354)), $K$1379:$K$1423, ""))</f>
        <v>Hillshire Farm</v>
      </c>
      <c r="E1354" t="str">
        <f t="shared" si="42"/>
        <v>Protein</v>
      </c>
      <c r="F1354" t="str">
        <f t="shared" si="43"/>
        <v>Protein</v>
      </c>
      <c r="G1354" s="1">
        <v>4.49</v>
      </c>
      <c r="H1354" t="s">
        <v>4259</v>
      </c>
      <c r="I1354" s="3" t="s">
        <v>4260</v>
      </c>
    </row>
    <row r="1355" spans="1:9" x14ac:dyDescent="0.25">
      <c r="A1355" t="s">
        <v>4272</v>
      </c>
      <c r="B1355" t="s">
        <v>4273</v>
      </c>
      <c r="C1355" t="s">
        <v>4274</v>
      </c>
      <c r="D1355" t="str" cm="1">
        <f t="array" ref="D1355">_xlfn.TEXTJOIN("", TRUE, IF(ISNUMBER(SEARCH($K$1379:$K$1423, C1355)), $K$1379:$K$1423, ""))</f>
        <v>Hillshire Farm</v>
      </c>
      <c r="E1355" t="str">
        <f t="shared" si="42"/>
        <v>Protein</v>
      </c>
      <c r="F1355" t="str">
        <f t="shared" si="43"/>
        <v>Protein</v>
      </c>
      <c r="G1355" s="1">
        <v>4.49</v>
      </c>
      <c r="H1355" t="s">
        <v>3085</v>
      </c>
      <c r="I1355" s="3" t="s">
        <v>4246</v>
      </c>
    </row>
    <row r="1356" spans="1:9" x14ac:dyDescent="0.25">
      <c r="A1356" t="s">
        <v>4275</v>
      </c>
      <c r="B1356" t="s">
        <v>4276</v>
      </c>
      <c r="C1356" t="s">
        <v>4277</v>
      </c>
      <c r="D1356" t="str" cm="1">
        <f t="array" ref="D1356">_xlfn.TEXTJOIN("", TRUE, IF(ISNUMBER(SEARCH($K$1379:$K$1423, C1356)), $K$1379:$K$1423, ""))</f>
        <v>Hillshire Farm</v>
      </c>
      <c r="E1356" t="str">
        <f t="shared" si="42"/>
        <v>Protein</v>
      </c>
      <c r="F1356" t="str">
        <f t="shared" si="43"/>
        <v>Protein</v>
      </c>
      <c r="G1356" s="1">
        <v>8.49</v>
      </c>
      <c r="H1356" t="s">
        <v>290</v>
      </c>
      <c r="I1356" s="3" t="s">
        <v>4133</v>
      </c>
    </row>
    <row r="1357" spans="1:9" x14ac:dyDescent="0.25">
      <c r="A1357" t="s">
        <v>4278</v>
      </c>
      <c r="B1357" t="s">
        <v>4279</v>
      </c>
      <c r="C1357" t="s">
        <v>4280</v>
      </c>
      <c r="D1357" t="str" cm="1">
        <f t="array" ref="D1357">_xlfn.TEXTJOIN("", TRUE, IF(ISNUMBER(SEARCH($K$1379:$K$1423, C1357)), $K$1379:$K$1423, ""))</f>
        <v>Hillshire Farm</v>
      </c>
      <c r="E1357" t="str">
        <f t="shared" si="42"/>
        <v>Protein</v>
      </c>
      <c r="F1357" t="str">
        <f t="shared" si="43"/>
        <v>Protein</v>
      </c>
      <c r="G1357" s="1">
        <v>8.49</v>
      </c>
      <c r="H1357" t="s">
        <v>290</v>
      </c>
      <c r="I1357" s="3" t="s">
        <v>4133</v>
      </c>
    </row>
    <row r="1358" spans="1:9" x14ac:dyDescent="0.25">
      <c r="A1358" t="s">
        <v>4281</v>
      </c>
      <c r="B1358" t="s">
        <v>4282</v>
      </c>
      <c r="C1358" t="s">
        <v>4283</v>
      </c>
      <c r="D1358" t="str" cm="1">
        <f t="array" ref="D1358">_xlfn.TEXTJOIN("", TRUE, IF(ISNUMBER(SEARCH($K$1379:$K$1423, C1358)), $K$1379:$K$1423, ""))</f>
        <v>Hillshire Farm</v>
      </c>
      <c r="E1358" t="str">
        <f t="shared" si="42"/>
        <v>Protein</v>
      </c>
      <c r="F1358" t="str">
        <f t="shared" si="43"/>
        <v>Protein</v>
      </c>
      <c r="G1358" s="1">
        <v>5.29</v>
      </c>
      <c r="H1358" t="s">
        <v>220</v>
      </c>
      <c r="I1358" s="3" t="s">
        <v>4284</v>
      </c>
    </row>
    <row r="1359" spans="1:9" x14ac:dyDescent="0.25">
      <c r="A1359" t="s">
        <v>4285</v>
      </c>
      <c r="B1359" t="s">
        <v>4286</v>
      </c>
      <c r="C1359" t="s">
        <v>4287</v>
      </c>
      <c r="D1359" t="str" cm="1">
        <f t="array" ref="D1359">_xlfn.TEXTJOIN("", TRUE, IF(ISNUMBER(SEARCH($K$1379:$K$1423, C1359)), $K$1379:$K$1423, ""))</f>
        <v>Hillshire Farm</v>
      </c>
      <c r="E1359" t="str">
        <f t="shared" si="42"/>
        <v>Protein</v>
      </c>
      <c r="F1359" t="str">
        <f t="shared" si="43"/>
        <v>Protein</v>
      </c>
      <c r="G1359" s="1">
        <v>5.49</v>
      </c>
      <c r="H1359" t="s">
        <v>1234</v>
      </c>
      <c r="I1359" s="3" t="s">
        <v>4250</v>
      </c>
    </row>
    <row r="1360" spans="1:9" x14ac:dyDescent="0.25">
      <c r="A1360" t="s">
        <v>4288</v>
      </c>
      <c r="B1360" t="s">
        <v>4289</v>
      </c>
      <c r="C1360" t="s">
        <v>4290</v>
      </c>
      <c r="D1360" t="str" cm="1">
        <f t="array" ref="D1360">_xlfn.TEXTJOIN("", TRUE, IF(ISNUMBER(SEARCH($K$1379:$K$1423, C1360)), $K$1379:$K$1423, ""))</f>
        <v>Hillshire Farm</v>
      </c>
      <c r="E1360" t="str">
        <f t="shared" si="42"/>
        <v>Protein</v>
      </c>
      <c r="F1360" t="str">
        <f t="shared" si="43"/>
        <v>Protein</v>
      </c>
      <c r="G1360" s="1">
        <v>5.49</v>
      </c>
      <c r="H1360" t="s">
        <v>1234</v>
      </c>
      <c r="I1360" s="3" t="s">
        <v>4250</v>
      </c>
    </row>
    <row r="1361" spans="1:9" x14ac:dyDescent="0.25">
      <c r="A1361" t="s">
        <v>4291</v>
      </c>
      <c r="B1361" t="s">
        <v>4292</v>
      </c>
      <c r="C1361" t="s">
        <v>4293</v>
      </c>
      <c r="D1361" t="str" cm="1">
        <f t="array" ref="D1361">_xlfn.TEXTJOIN("", TRUE, IF(ISNUMBER(SEARCH($K$1379:$K$1423, C1361)), $K$1379:$K$1423, ""))</f>
        <v>Hillshire Farm</v>
      </c>
      <c r="E1361" t="str">
        <f t="shared" si="42"/>
        <v>Protein</v>
      </c>
      <c r="F1361" t="str">
        <f t="shared" si="43"/>
        <v>Protein</v>
      </c>
      <c r="G1361" s="1">
        <v>5.29</v>
      </c>
      <c r="H1361" t="s">
        <v>4254</v>
      </c>
      <c r="I1361" s="3" t="s">
        <v>4255</v>
      </c>
    </row>
    <row r="1362" spans="1:9" x14ac:dyDescent="0.25">
      <c r="A1362" t="s">
        <v>4294</v>
      </c>
      <c r="B1362" t="s">
        <v>4295</v>
      </c>
      <c r="C1362" t="s">
        <v>4296</v>
      </c>
      <c r="D1362" t="str" cm="1">
        <f t="array" ref="D1362">_xlfn.TEXTJOIN("", TRUE, IF(ISNUMBER(SEARCH($K$1379:$K$1423, C1362)), $K$1379:$K$1423, ""))</f>
        <v>Hillshire Farm</v>
      </c>
      <c r="E1362" t="str">
        <f t="shared" si="42"/>
        <v>Protein</v>
      </c>
      <c r="F1362" t="str">
        <f t="shared" si="43"/>
        <v>Protein</v>
      </c>
      <c r="G1362" s="1">
        <v>5.29</v>
      </c>
      <c r="H1362" t="s">
        <v>4297</v>
      </c>
      <c r="I1362" s="3" t="s">
        <v>4298</v>
      </c>
    </row>
    <row r="1363" spans="1:9" x14ac:dyDescent="0.25">
      <c r="A1363" t="s">
        <v>4299</v>
      </c>
      <c r="B1363" t="s">
        <v>4300</v>
      </c>
      <c r="C1363" t="s">
        <v>4301</v>
      </c>
      <c r="D1363" t="str" cm="1">
        <f t="array" ref="D1363">_xlfn.TEXTJOIN("", TRUE, IF(ISNUMBER(SEARCH($K$1379:$K$1423, C1363)), $K$1379:$K$1423, ""))</f>
        <v>Hillshire Farm</v>
      </c>
      <c r="E1363" t="str">
        <f t="shared" si="42"/>
        <v>Protein</v>
      </c>
      <c r="F1363" t="str">
        <f t="shared" si="43"/>
        <v>Protein</v>
      </c>
      <c r="G1363" s="1">
        <v>3.33</v>
      </c>
      <c r="H1363" t="s">
        <v>4264</v>
      </c>
      <c r="I1363" s="3" t="s">
        <v>4265</v>
      </c>
    </row>
    <row r="1364" spans="1:9" x14ac:dyDescent="0.25">
      <c r="A1364" t="s">
        <v>4302</v>
      </c>
      <c r="B1364" t="s">
        <v>4303</v>
      </c>
      <c r="C1364" t="s">
        <v>4304</v>
      </c>
      <c r="D1364" t="str" cm="1">
        <f t="array" ref="D1364">_xlfn.TEXTJOIN("", TRUE, IF(ISNUMBER(SEARCH($K$1379:$K$1423, C1364)), $K$1379:$K$1423, ""))</f>
        <v>Hillshire Farm</v>
      </c>
      <c r="E1364" t="str">
        <f t="shared" si="42"/>
        <v>Protein</v>
      </c>
      <c r="F1364" t="str">
        <f t="shared" si="43"/>
        <v>Protein</v>
      </c>
      <c r="G1364" s="1">
        <v>5.29</v>
      </c>
      <c r="H1364" t="s">
        <v>4254</v>
      </c>
      <c r="I1364" s="3" t="s">
        <v>4255</v>
      </c>
    </row>
    <row r="1365" spans="1:9" x14ac:dyDescent="0.25">
      <c r="A1365" t="s">
        <v>4305</v>
      </c>
      <c r="B1365" t="s">
        <v>4306</v>
      </c>
      <c r="C1365" t="s">
        <v>4307</v>
      </c>
      <c r="D1365" t="str" cm="1">
        <f t="array" ref="D1365">_xlfn.TEXTJOIN("", TRUE, IF(ISNUMBER(SEARCH($K$1379:$K$1423, C1365)), $K$1379:$K$1423, ""))</f>
        <v>Hillshire Farm</v>
      </c>
      <c r="E1365" t="str">
        <f t="shared" si="42"/>
        <v>Protein</v>
      </c>
      <c r="F1365" t="str">
        <f t="shared" si="43"/>
        <v>Protein</v>
      </c>
      <c r="G1365" s="1">
        <v>5.49</v>
      </c>
      <c r="H1365" t="s">
        <v>3085</v>
      </c>
      <c r="I1365" s="3" t="s">
        <v>4308</v>
      </c>
    </row>
    <row r="1366" spans="1:9" x14ac:dyDescent="0.25">
      <c r="A1366" t="s">
        <v>4309</v>
      </c>
      <c r="B1366" t="s">
        <v>4310</v>
      </c>
      <c r="C1366" t="s">
        <v>4311</v>
      </c>
      <c r="D1366" t="str" cm="1">
        <f t="array" ref="D1366">_xlfn.TEXTJOIN("", TRUE, IF(ISNUMBER(SEARCH($K$1379:$K$1423, C1366)), $K$1379:$K$1423, ""))</f>
        <v>Hillshire Farm</v>
      </c>
      <c r="E1366" t="str">
        <f t="shared" si="42"/>
        <v>Protein</v>
      </c>
      <c r="F1366" t="str">
        <f t="shared" si="43"/>
        <v>Protein</v>
      </c>
      <c r="G1366" s="1">
        <v>4.49</v>
      </c>
      <c r="H1366" t="s">
        <v>4259</v>
      </c>
      <c r="I1366" s="3" t="s">
        <v>4260</v>
      </c>
    </row>
    <row r="1367" spans="1:9" x14ac:dyDescent="0.25">
      <c r="A1367" t="s">
        <v>4312</v>
      </c>
      <c r="B1367" t="s">
        <v>4313</v>
      </c>
      <c r="C1367" t="s">
        <v>4314</v>
      </c>
      <c r="D1367" t="str" cm="1">
        <f t="array" ref="D1367">_xlfn.TEXTJOIN("", TRUE, IF(ISNUMBER(SEARCH($K$1379:$K$1423, C1367)), $K$1379:$K$1423, ""))</f>
        <v>Hillshire Farm</v>
      </c>
      <c r="E1367" t="str">
        <f t="shared" si="42"/>
        <v>Protein</v>
      </c>
      <c r="F1367" t="str">
        <f t="shared" si="43"/>
        <v>Protein</v>
      </c>
      <c r="G1367" s="1">
        <v>8.49</v>
      </c>
      <c r="H1367" t="s">
        <v>290</v>
      </c>
      <c r="I1367" s="3" t="s">
        <v>4133</v>
      </c>
    </row>
    <row r="1368" spans="1:9" x14ac:dyDescent="0.25">
      <c r="A1368" t="s">
        <v>4315</v>
      </c>
      <c r="B1368" t="s">
        <v>4316</v>
      </c>
      <c r="C1368" t="s">
        <v>4317</v>
      </c>
      <c r="D1368" t="str" cm="1">
        <f t="array" ref="D1368">_xlfn.TEXTJOIN("", TRUE, IF(ISNUMBER(SEARCH($K$1379:$K$1423, C1368)), $K$1379:$K$1423, ""))</f>
        <v>Hillshire Farm</v>
      </c>
      <c r="E1368" t="str">
        <f t="shared" si="42"/>
        <v>Protein</v>
      </c>
      <c r="F1368" t="str">
        <f t="shared" si="43"/>
        <v>Protein</v>
      </c>
      <c r="G1368" s="1">
        <v>5.29</v>
      </c>
      <c r="H1368" t="s">
        <v>4254</v>
      </c>
      <c r="I1368" s="3" t="s">
        <v>4255</v>
      </c>
    </row>
    <row r="1369" spans="1:9" x14ac:dyDescent="0.25">
      <c r="A1369" t="s">
        <v>4318</v>
      </c>
      <c r="B1369" t="s">
        <v>4319</v>
      </c>
      <c r="C1369" t="s">
        <v>4320</v>
      </c>
      <c r="D1369" t="str" cm="1">
        <f t="array" ref="D1369">_xlfn.TEXTJOIN("", TRUE, IF(ISNUMBER(SEARCH($K$1379:$K$1423, C1369)), $K$1379:$K$1423, ""))</f>
        <v>Hillshire Farm</v>
      </c>
      <c r="E1369" t="str">
        <f t="shared" si="42"/>
        <v>Protein</v>
      </c>
      <c r="F1369" t="str">
        <f t="shared" si="43"/>
        <v>Protein</v>
      </c>
      <c r="G1369" s="1">
        <v>5.29</v>
      </c>
      <c r="H1369" t="s">
        <v>4254</v>
      </c>
      <c r="I1369" s="3" t="s">
        <v>4255</v>
      </c>
    </row>
    <row r="1370" spans="1:9" x14ac:dyDescent="0.25">
      <c r="A1370" t="s">
        <v>4321</v>
      </c>
      <c r="B1370" t="s">
        <v>4322</v>
      </c>
      <c r="C1370" t="s">
        <v>4323</v>
      </c>
      <c r="D1370" t="str" cm="1">
        <f t="array" ref="D1370">_xlfn.TEXTJOIN("", TRUE, IF(ISNUMBER(SEARCH($K$1379:$K$1423, C1370)), $K$1379:$K$1423, ""))</f>
        <v>Hillshire Farm</v>
      </c>
      <c r="E1370" t="str">
        <f t="shared" si="42"/>
        <v>Protein</v>
      </c>
      <c r="F1370" t="str">
        <f t="shared" si="43"/>
        <v>Protein</v>
      </c>
      <c r="G1370" s="1">
        <v>3.33</v>
      </c>
      <c r="H1370" t="s">
        <v>4264</v>
      </c>
      <c r="I1370" s="3" t="s">
        <v>4265</v>
      </c>
    </row>
    <row r="1371" spans="1:9" x14ac:dyDescent="0.25">
      <c r="A1371" t="s">
        <v>4324</v>
      </c>
      <c r="B1371" t="s">
        <v>4325</v>
      </c>
      <c r="C1371" t="s">
        <v>4326</v>
      </c>
      <c r="D1371" t="str" cm="1">
        <f t="array" ref="D1371">_xlfn.TEXTJOIN("", TRUE, IF(ISNUMBER(SEARCH($K$1379:$K$1423, C1371)), $K$1379:$K$1423, ""))</f>
        <v>Hillshire Farm</v>
      </c>
      <c r="E1371" t="str">
        <f t="shared" si="42"/>
        <v>Protein</v>
      </c>
      <c r="F1371" t="str">
        <f t="shared" si="43"/>
        <v>Protein</v>
      </c>
      <c r="G1371" s="1">
        <v>8.49</v>
      </c>
      <c r="H1371" t="s">
        <v>290</v>
      </c>
      <c r="I1371" s="3" t="s">
        <v>4133</v>
      </c>
    </row>
    <row r="1372" spans="1:9" x14ac:dyDescent="0.25">
      <c r="A1372" t="s">
        <v>4327</v>
      </c>
      <c r="B1372" t="s">
        <v>4328</v>
      </c>
      <c r="C1372" t="s">
        <v>4329</v>
      </c>
      <c r="D1372" t="str" cm="1">
        <f t="array" ref="D1372">_xlfn.TEXTJOIN("", TRUE, IF(ISNUMBER(SEARCH($K$1379:$K$1423, C1372)), $K$1379:$K$1423, ""))</f>
        <v>Hillshire Farm</v>
      </c>
      <c r="E1372" t="str">
        <f t="shared" si="42"/>
        <v>Protein</v>
      </c>
      <c r="F1372" t="str">
        <f t="shared" si="43"/>
        <v>Protein</v>
      </c>
      <c r="G1372" s="1">
        <v>5.29</v>
      </c>
      <c r="H1372" t="s">
        <v>4297</v>
      </c>
      <c r="I1372" s="3" t="s">
        <v>4298</v>
      </c>
    </row>
    <row r="1373" spans="1:9" x14ac:dyDescent="0.25">
      <c r="A1373" t="s">
        <v>4330</v>
      </c>
      <c r="B1373" t="s">
        <v>4331</v>
      </c>
      <c r="C1373" t="s">
        <v>4332</v>
      </c>
      <c r="D1373" t="str" cm="1">
        <f t="array" ref="D1373">_xlfn.TEXTJOIN("", TRUE, IF(ISNUMBER(SEARCH($K$1379:$K$1423, C1373)), $K$1379:$K$1423, ""))</f>
        <v>Hillshire Farm</v>
      </c>
      <c r="E1373" t="str">
        <f t="shared" si="42"/>
        <v>Protein</v>
      </c>
      <c r="F1373" t="str">
        <f t="shared" si="43"/>
        <v>Protein</v>
      </c>
      <c r="G1373" s="1">
        <v>10.99</v>
      </c>
      <c r="H1373" t="s">
        <v>1433</v>
      </c>
      <c r="I1373" s="3" t="s">
        <v>4333</v>
      </c>
    </row>
    <row r="1374" spans="1:9" x14ac:dyDescent="0.25">
      <c r="A1374" t="s">
        <v>4334</v>
      </c>
      <c r="B1374" t="s">
        <v>4335</v>
      </c>
      <c r="C1374" t="s">
        <v>4336</v>
      </c>
      <c r="D1374" t="str" cm="1">
        <f t="array" ref="D1374">_xlfn.TEXTJOIN("", TRUE, IF(ISNUMBER(SEARCH($K$1379:$K$1423, C1374)), $K$1379:$K$1423, ""))</f>
        <v>Hillshire Farm</v>
      </c>
      <c r="E1374" t="str">
        <f t="shared" si="42"/>
        <v>Protein</v>
      </c>
      <c r="F1374" t="str">
        <f t="shared" si="43"/>
        <v>Protein</v>
      </c>
      <c r="G1374" s="1">
        <v>10.99</v>
      </c>
      <c r="H1374" t="s">
        <v>4337</v>
      </c>
      <c r="I1374" s="3" t="s">
        <v>4338</v>
      </c>
    </row>
    <row r="1375" spans="1:9" x14ac:dyDescent="0.25">
      <c r="A1375" t="s">
        <v>4339</v>
      </c>
      <c r="B1375" t="s">
        <v>4340</v>
      </c>
      <c r="C1375" t="s">
        <v>4341</v>
      </c>
      <c r="D1375" t="str" cm="1">
        <f t="array" ref="D1375">_xlfn.TEXTJOIN("", TRUE, IF(ISNUMBER(SEARCH($K$1379:$K$1423, C1375)), $K$1379:$K$1423, ""))</f>
        <v>Hillshire Farm</v>
      </c>
      <c r="E1375" t="str">
        <f t="shared" si="42"/>
        <v>Protein</v>
      </c>
      <c r="F1375" t="str">
        <f t="shared" si="43"/>
        <v>Protein</v>
      </c>
      <c r="G1375" s="1">
        <v>5.49</v>
      </c>
      <c r="H1375" t="s">
        <v>3085</v>
      </c>
      <c r="I1375" s="3" t="s">
        <v>4308</v>
      </c>
    </row>
    <row r="1376" spans="1:9" x14ac:dyDescent="0.25">
      <c r="A1376" t="s">
        <v>4342</v>
      </c>
      <c r="B1376" t="s">
        <v>4343</v>
      </c>
      <c r="C1376" t="s">
        <v>4344</v>
      </c>
      <c r="D1376" t="str" cm="1">
        <f t="array" ref="D1376">_xlfn.TEXTJOIN("", TRUE, IF(ISNUMBER(SEARCH($K$1379:$K$1423, C1376)), $K$1379:$K$1423, ""))</f>
        <v>Hillshire Farm</v>
      </c>
      <c r="E1376" t="str">
        <f t="shared" si="42"/>
        <v>Protein</v>
      </c>
      <c r="F1376" t="str">
        <f t="shared" si="43"/>
        <v>Protein</v>
      </c>
      <c r="G1376" s="1">
        <v>10.99</v>
      </c>
      <c r="H1376" t="s">
        <v>1433</v>
      </c>
      <c r="I1376" s="3" t="s">
        <v>4333</v>
      </c>
    </row>
    <row r="1377" spans="7:13" x14ac:dyDescent="0.25">
      <c r="G1377" s="1"/>
      <c r="H1377" s="3"/>
      <c r="I1377"/>
    </row>
    <row r="1378" spans="7:13" x14ac:dyDescent="0.25">
      <c r="G1378" s="1"/>
      <c r="H1378" s="3"/>
      <c r="I1378"/>
      <c r="K1378" t="s">
        <v>4345</v>
      </c>
      <c r="L1378" t="s">
        <v>4425</v>
      </c>
      <c r="M1378" t="s">
        <v>4426</v>
      </c>
    </row>
    <row r="1379" spans="7:13" x14ac:dyDescent="0.25">
      <c r="G1379" s="1"/>
      <c r="H1379" s="3"/>
      <c r="I1379"/>
      <c r="K1379" t="s">
        <v>11</v>
      </c>
      <c r="L1379" t="s">
        <v>2059</v>
      </c>
      <c r="M1379" t="s">
        <v>2568</v>
      </c>
    </row>
    <row r="1380" spans="7:13" x14ac:dyDescent="0.25">
      <c r="G1380" s="1"/>
      <c r="H1380" s="3"/>
      <c r="I1380"/>
      <c r="K1380" t="s">
        <v>209</v>
      </c>
      <c r="L1380" t="s">
        <v>4427</v>
      </c>
      <c r="M1380" t="s">
        <v>210</v>
      </c>
    </row>
    <row r="1381" spans="7:13" x14ac:dyDescent="0.25">
      <c r="G1381" s="1"/>
      <c r="H1381" s="3"/>
      <c r="I1381"/>
      <c r="K1381" t="s">
        <v>306</v>
      </c>
      <c r="L1381" t="s">
        <v>4114</v>
      </c>
      <c r="M1381" t="s">
        <v>4428</v>
      </c>
    </row>
    <row r="1382" spans="7:13" x14ac:dyDescent="0.25">
      <c r="G1382" s="1"/>
      <c r="H1382" s="3"/>
      <c r="I1382"/>
      <c r="K1382" t="s">
        <v>409</v>
      </c>
      <c r="L1382" t="s">
        <v>2494</v>
      </c>
      <c r="M1382" t="s">
        <v>4114</v>
      </c>
    </row>
    <row r="1383" spans="7:13" x14ac:dyDescent="0.25">
      <c r="G1383" s="1"/>
      <c r="H1383" s="3"/>
      <c r="I1383"/>
      <c r="K1383" t="s">
        <v>501</v>
      </c>
      <c r="L1383" t="s">
        <v>4429</v>
      </c>
      <c r="M1383" t="s">
        <v>4430</v>
      </c>
    </row>
    <row r="1384" spans="7:13" x14ac:dyDescent="0.25">
      <c r="G1384" s="1"/>
      <c r="H1384" s="3"/>
      <c r="I1384"/>
      <c r="K1384" t="s">
        <v>1626</v>
      </c>
      <c r="L1384" t="s">
        <v>4431</v>
      </c>
    </row>
    <row r="1385" spans="7:13" x14ac:dyDescent="0.25">
      <c r="G1385" s="1"/>
      <c r="H1385" s="3"/>
      <c r="I1385"/>
      <c r="K1385" t="s">
        <v>862</v>
      </c>
      <c r="L1385" t="s">
        <v>2602</v>
      </c>
    </row>
    <row r="1386" spans="7:13" x14ac:dyDescent="0.25">
      <c r="G1386" s="1"/>
      <c r="H1386" s="3"/>
      <c r="I1386"/>
      <c r="K1386" t="s">
        <v>916</v>
      </c>
      <c r="L1386" t="s">
        <v>4432</v>
      </c>
    </row>
    <row r="1387" spans="7:13" x14ac:dyDescent="0.25">
      <c r="G1387" s="1"/>
      <c r="H1387" s="3"/>
      <c r="I1387"/>
      <c r="K1387" t="s">
        <v>959</v>
      </c>
      <c r="L1387" t="s">
        <v>4430</v>
      </c>
    </row>
    <row r="1388" spans="7:13" x14ac:dyDescent="0.25">
      <c r="G1388" s="1"/>
      <c r="H1388" s="3"/>
      <c r="I1388"/>
      <c r="K1388" t="s">
        <v>4346</v>
      </c>
      <c r="L1388" t="s">
        <v>4433</v>
      </c>
    </row>
    <row r="1389" spans="7:13" x14ac:dyDescent="0.25">
      <c r="G1389" s="1"/>
      <c r="H1389" s="3"/>
      <c r="I1389"/>
      <c r="K1389" t="s">
        <v>1026</v>
      </c>
      <c r="L1389" t="s">
        <v>4347</v>
      </c>
    </row>
    <row r="1390" spans="7:13" x14ac:dyDescent="0.25">
      <c r="G1390" s="1"/>
      <c r="H1390" s="3"/>
      <c r="I1390"/>
      <c r="K1390" t="s">
        <v>1101</v>
      </c>
    </row>
    <row r="1391" spans="7:13" x14ac:dyDescent="0.25">
      <c r="G1391" s="1"/>
      <c r="H1391" s="3"/>
      <c r="I1391"/>
      <c r="K1391" t="s">
        <v>1178</v>
      </c>
    </row>
    <row r="1392" spans="7:13" x14ac:dyDescent="0.25">
      <c r="G1392" s="1"/>
      <c r="H1392" s="3"/>
      <c r="I1392"/>
      <c r="K1392" t="s">
        <v>1460</v>
      </c>
    </row>
    <row r="1393" spans="7:11" x14ac:dyDescent="0.25">
      <c r="G1393" s="1"/>
      <c r="H1393" s="3"/>
      <c r="I1393"/>
      <c r="K1393" t="s">
        <v>1500</v>
      </c>
    </row>
    <row r="1394" spans="7:11" x14ac:dyDescent="0.25">
      <c r="G1394" s="1"/>
      <c r="H1394" s="3"/>
      <c r="I1394"/>
      <c r="K1394" t="s">
        <v>1666</v>
      </c>
    </row>
    <row r="1395" spans="7:11" x14ac:dyDescent="0.25">
      <c r="G1395" s="1"/>
      <c r="H1395" s="3"/>
      <c r="I1395"/>
      <c r="K1395" t="s">
        <v>1768</v>
      </c>
    </row>
    <row r="1396" spans="7:11" x14ac:dyDescent="0.25">
      <c r="G1396" s="1"/>
      <c r="H1396" s="3"/>
      <c r="I1396"/>
      <c r="K1396" t="s">
        <v>1799</v>
      </c>
    </row>
    <row r="1397" spans="7:11" x14ac:dyDescent="0.25">
      <c r="G1397" s="1"/>
      <c r="H1397" s="3"/>
      <c r="I1397"/>
      <c r="K1397" t="s">
        <v>1702</v>
      </c>
    </row>
    <row r="1398" spans="7:11" x14ac:dyDescent="0.25">
      <c r="G1398" s="1"/>
      <c r="H1398" s="3"/>
      <c r="I1398"/>
      <c r="K1398" t="s">
        <v>1867</v>
      </c>
    </row>
    <row r="1399" spans="7:11" x14ac:dyDescent="0.25">
      <c r="G1399" s="1"/>
      <c r="H1399" s="3"/>
      <c r="I1399"/>
      <c r="K1399" t="s">
        <v>4434</v>
      </c>
    </row>
    <row r="1400" spans="7:11" x14ac:dyDescent="0.25">
      <c r="G1400" s="1"/>
      <c r="H1400" s="3"/>
      <c r="I1400"/>
      <c r="K1400" t="s">
        <v>4435</v>
      </c>
    </row>
    <row r="1401" spans="7:11" x14ac:dyDescent="0.25">
      <c r="G1401" s="1"/>
      <c r="H1401" s="3"/>
      <c r="I1401"/>
      <c r="K1401" t="s">
        <v>4436</v>
      </c>
    </row>
    <row r="1402" spans="7:11" x14ac:dyDescent="0.25">
      <c r="G1402" s="1"/>
      <c r="H1402" s="3"/>
      <c r="I1402"/>
      <c r="K1402" t="s">
        <v>3998</v>
      </c>
    </row>
    <row r="1403" spans="7:11" x14ac:dyDescent="0.25">
      <c r="G1403" s="1"/>
      <c r="H1403" s="3"/>
      <c r="I1403"/>
      <c r="K1403" t="s">
        <v>3958</v>
      </c>
    </row>
    <row r="1404" spans="7:11" x14ac:dyDescent="0.25">
      <c r="G1404" s="1"/>
      <c r="H1404" s="3"/>
      <c r="I1404"/>
      <c r="K1404" t="s">
        <v>3863</v>
      </c>
    </row>
    <row r="1405" spans="7:11" x14ac:dyDescent="0.25">
      <c r="G1405" s="1"/>
      <c r="H1405" s="3"/>
      <c r="I1405"/>
      <c r="K1405" t="s">
        <v>3756</v>
      </c>
    </row>
    <row r="1406" spans="7:11" x14ac:dyDescent="0.25">
      <c r="G1406" s="1"/>
      <c r="H1406" s="3"/>
      <c r="I1406"/>
      <c r="K1406" t="s">
        <v>3704</v>
      </c>
    </row>
    <row r="1407" spans="7:11" x14ac:dyDescent="0.25">
      <c r="G1407" s="1"/>
      <c r="H1407" s="3"/>
      <c r="I1407"/>
      <c r="K1407" t="s">
        <v>3639</v>
      </c>
    </row>
    <row r="1408" spans="7:11" x14ac:dyDescent="0.25">
      <c r="G1408" s="1"/>
      <c r="H1408" s="3"/>
      <c r="I1408"/>
      <c r="K1408" t="s">
        <v>3585</v>
      </c>
    </row>
    <row r="1409" spans="7:11" x14ac:dyDescent="0.25">
      <c r="G1409" s="1"/>
      <c r="H1409" s="3"/>
      <c r="I1409"/>
      <c r="K1409" t="s">
        <v>3496</v>
      </c>
    </row>
    <row r="1410" spans="7:11" x14ac:dyDescent="0.25">
      <c r="G1410" s="1"/>
      <c r="H1410" s="3"/>
      <c r="I1410"/>
      <c r="K1410" t="s">
        <v>3448</v>
      </c>
    </row>
    <row r="1411" spans="7:11" x14ac:dyDescent="0.25">
      <c r="G1411" s="1"/>
      <c r="H1411" s="3"/>
      <c r="I1411"/>
      <c r="K1411" t="s">
        <v>3312</v>
      </c>
    </row>
    <row r="1412" spans="7:11" x14ac:dyDescent="0.25">
      <c r="G1412" s="1"/>
      <c r="H1412" s="3"/>
      <c r="I1412"/>
      <c r="K1412" t="s">
        <v>3245</v>
      </c>
    </row>
    <row r="1413" spans="7:11" x14ac:dyDescent="0.25">
      <c r="G1413" s="1"/>
      <c r="H1413" s="3"/>
      <c r="I1413"/>
      <c r="K1413" t="s">
        <v>2947</v>
      </c>
    </row>
    <row r="1414" spans="7:11" x14ac:dyDescent="0.25">
      <c r="G1414" s="1"/>
      <c r="H1414" s="3"/>
      <c r="I1414"/>
      <c r="K1414" t="s">
        <v>4437</v>
      </c>
    </row>
    <row r="1415" spans="7:11" x14ac:dyDescent="0.25">
      <c r="G1415" s="1"/>
      <c r="H1415" s="3"/>
      <c r="I1415"/>
      <c r="K1415" t="s">
        <v>2838</v>
      </c>
    </row>
    <row r="1416" spans="7:11" x14ac:dyDescent="0.25">
      <c r="G1416" s="1"/>
      <c r="H1416" s="3"/>
      <c r="I1416"/>
      <c r="K1416" t="s">
        <v>2721</v>
      </c>
    </row>
    <row r="1417" spans="7:11" x14ac:dyDescent="0.25">
      <c r="G1417" s="1"/>
      <c r="H1417" s="3"/>
      <c r="I1417"/>
      <c r="K1417" t="s">
        <v>2601</v>
      </c>
    </row>
    <row r="1418" spans="7:11" x14ac:dyDescent="0.25">
      <c r="G1418" s="1"/>
      <c r="H1418" s="3"/>
      <c r="I1418"/>
      <c r="K1418" t="s">
        <v>2567</v>
      </c>
    </row>
    <row r="1419" spans="7:11" x14ac:dyDescent="0.25">
      <c r="G1419" s="1"/>
      <c r="H1419" s="3"/>
      <c r="I1419"/>
      <c r="K1419" t="s">
        <v>2493</v>
      </c>
    </row>
    <row r="1420" spans="7:11" x14ac:dyDescent="0.25">
      <c r="G1420" s="1"/>
      <c r="H1420" s="3"/>
      <c r="I1420"/>
      <c r="K1420" t="s">
        <v>2058</v>
      </c>
    </row>
    <row r="1421" spans="7:11" x14ac:dyDescent="0.25">
      <c r="G1421" s="1"/>
      <c r="H1421" s="3"/>
      <c r="I1421"/>
      <c r="K1421" t="s">
        <v>2164</v>
      </c>
    </row>
    <row r="1422" spans="7:11" x14ac:dyDescent="0.25">
      <c r="G1422" s="1"/>
      <c r="H1422" s="3"/>
      <c r="I1422"/>
      <c r="K1422" t="s">
        <v>2332</v>
      </c>
    </row>
    <row r="1423" spans="7:11" x14ac:dyDescent="0.25">
      <c r="G1423" s="1"/>
      <c r="H1423" s="3"/>
      <c r="I1423"/>
      <c r="K1423" t="s">
        <v>4438</v>
      </c>
    </row>
    <row r="1424" spans="7:11" x14ac:dyDescent="0.25">
      <c r="G1424" s="1"/>
      <c r="H1424" s="3"/>
      <c r="I1424"/>
    </row>
    <row r="1425" spans="7:9" x14ac:dyDescent="0.25">
      <c r="G1425" s="1"/>
      <c r="H1425" s="3"/>
      <c r="I1425"/>
    </row>
    <row r="1426" spans="7:9" x14ac:dyDescent="0.25">
      <c r="G1426" s="1"/>
      <c r="H1426" s="3"/>
      <c r="I1426"/>
    </row>
    <row r="1427" spans="7:9" x14ac:dyDescent="0.25">
      <c r="G1427" s="1"/>
      <c r="H1427" s="3"/>
      <c r="I1427"/>
    </row>
    <row r="1428" spans="7:9" x14ac:dyDescent="0.25">
      <c r="G1428" s="1"/>
      <c r="H1428" s="3"/>
      <c r="I1428"/>
    </row>
    <row r="1429" spans="7:9" x14ac:dyDescent="0.25">
      <c r="G1429" s="1"/>
      <c r="H1429" s="3"/>
      <c r="I1429"/>
    </row>
    <row r="1430" spans="7:9" x14ac:dyDescent="0.25">
      <c r="G1430" s="1"/>
      <c r="H1430" s="3"/>
      <c r="I1430"/>
    </row>
    <row r="1431" spans="7:9" x14ac:dyDescent="0.25">
      <c r="G1431" s="1"/>
      <c r="H1431" s="3"/>
      <c r="I1431"/>
    </row>
    <row r="1432" spans="7:9" x14ac:dyDescent="0.25">
      <c r="G1432" s="1"/>
      <c r="H1432" s="3"/>
      <c r="I1432"/>
    </row>
    <row r="1433" spans="7:9" x14ac:dyDescent="0.25">
      <c r="G1433" s="1"/>
      <c r="H1433" s="3"/>
      <c r="I1433"/>
    </row>
    <row r="1434" spans="7:9" x14ac:dyDescent="0.25">
      <c r="G1434" s="1"/>
      <c r="H1434" s="3"/>
      <c r="I1434"/>
    </row>
    <row r="1435" spans="7:9" x14ac:dyDescent="0.25">
      <c r="G1435" s="1"/>
      <c r="H1435" s="3"/>
      <c r="I1435"/>
    </row>
    <row r="1436" spans="7:9" x14ac:dyDescent="0.25">
      <c r="G1436" s="1"/>
      <c r="H1436" s="3"/>
      <c r="I1436"/>
    </row>
    <row r="1437" spans="7:9" x14ac:dyDescent="0.25">
      <c r="G1437" s="1"/>
      <c r="H1437" s="3"/>
      <c r="I1437"/>
    </row>
    <row r="1438" spans="7:9" x14ac:dyDescent="0.25">
      <c r="G1438" s="1"/>
      <c r="H1438" s="3"/>
      <c r="I1438"/>
    </row>
    <row r="1439" spans="7:9" x14ac:dyDescent="0.25">
      <c r="G1439" s="1"/>
      <c r="I1439" s="3"/>
    </row>
    <row r="1440" spans="7:9" x14ac:dyDescent="0.25">
      <c r="G1440" s="1"/>
      <c r="I1440" s="3"/>
    </row>
    <row r="1441" spans="7:9" x14ac:dyDescent="0.25">
      <c r="G1441" s="1"/>
      <c r="I1441" s="3"/>
    </row>
    <row r="1442" spans="7:9" x14ac:dyDescent="0.25">
      <c r="G1442" s="1"/>
      <c r="I1442" s="3"/>
    </row>
    <row r="1443" spans="7:9" x14ac:dyDescent="0.25">
      <c r="G1443" s="1"/>
      <c r="I1443" s="3"/>
    </row>
    <row r="1444" spans="7:9" x14ac:dyDescent="0.25">
      <c r="G1444" s="1"/>
      <c r="I1444" s="3"/>
    </row>
    <row r="1445" spans="7:9" x14ac:dyDescent="0.25">
      <c r="G1445" s="1"/>
      <c r="I1445" s="3"/>
    </row>
    <row r="1446" spans="7:9" x14ac:dyDescent="0.25">
      <c r="G1446" s="1"/>
      <c r="I1446" s="3"/>
    </row>
    <row r="1447" spans="7:9" x14ac:dyDescent="0.25">
      <c r="G1447" s="1"/>
      <c r="I1447" s="3"/>
    </row>
    <row r="1448" spans="7:9" x14ac:dyDescent="0.25">
      <c r="G1448" s="1"/>
      <c r="I1448" s="3"/>
    </row>
    <row r="1449" spans="7:9" x14ac:dyDescent="0.25">
      <c r="G1449" s="1"/>
      <c r="I1449" s="3"/>
    </row>
    <row r="1450" spans="7:9" x14ac:dyDescent="0.25">
      <c r="G1450" s="1"/>
      <c r="I1450" s="3"/>
    </row>
    <row r="1451" spans="7:9" x14ac:dyDescent="0.25">
      <c r="G1451" s="1"/>
      <c r="I1451" s="3"/>
    </row>
    <row r="1452" spans="7:9" x14ac:dyDescent="0.25">
      <c r="G1452" s="1"/>
      <c r="I1452" s="3"/>
    </row>
    <row r="1453" spans="7:9" x14ac:dyDescent="0.25">
      <c r="G1453" s="1"/>
      <c r="I1453" s="3"/>
    </row>
    <row r="1454" spans="7:9" x14ac:dyDescent="0.25">
      <c r="G1454" s="1"/>
      <c r="I1454" s="3"/>
    </row>
    <row r="1455" spans="7:9" x14ac:dyDescent="0.25">
      <c r="G1455" s="1"/>
      <c r="I1455" s="3"/>
    </row>
    <row r="1456" spans="7:9" x14ac:dyDescent="0.25">
      <c r="G1456" s="1"/>
      <c r="I1456" s="3"/>
    </row>
    <row r="1457" spans="7:9" x14ac:dyDescent="0.25">
      <c r="G1457" s="1"/>
      <c r="I1457" s="3"/>
    </row>
    <row r="1458" spans="7:9" x14ac:dyDescent="0.25">
      <c r="G1458" s="1"/>
      <c r="I1458" s="3"/>
    </row>
    <row r="1459" spans="7:9" x14ac:dyDescent="0.25">
      <c r="G1459" s="1"/>
      <c r="I1459" s="3"/>
    </row>
    <row r="1460" spans="7:9" x14ac:dyDescent="0.25">
      <c r="G1460" s="1"/>
      <c r="I1460" s="3"/>
    </row>
    <row r="1461" spans="7:9" x14ac:dyDescent="0.25">
      <c r="G1461" s="1"/>
      <c r="I1461" s="3"/>
    </row>
    <row r="1462" spans="7:9" x14ac:dyDescent="0.25">
      <c r="G1462" s="1"/>
      <c r="I1462" s="3"/>
    </row>
    <row r="1463" spans="7:9" x14ac:dyDescent="0.25">
      <c r="G1463" s="1"/>
      <c r="I1463" s="3"/>
    </row>
    <row r="1464" spans="7:9" x14ac:dyDescent="0.25">
      <c r="G1464" s="1"/>
      <c r="I1464" s="3"/>
    </row>
    <row r="1465" spans="7:9" x14ac:dyDescent="0.25">
      <c r="G1465" s="1"/>
      <c r="I1465" s="3"/>
    </row>
    <row r="1466" spans="7:9" x14ac:dyDescent="0.25">
      <c r="G1466" s="1"/>
      <c r="I1466" s="3"/>
    </row>
    <row r="1467" spans="7:9" x14ac:dyDescent="0.25">
      <c r="G1467" s="1"/>
      <c r="I1467" s="3"/>
    </row>
    <row r="1468" spans="7:9" x14ac:dyDescent="0.25">
      <c r="G1468" s="1"/>
      <c r="I1468" s="3"/>
    </row>
    <row r="1469" spans="7:9" x14ac:dyDescent="0.25">
      <c r="G1469" s="1"/>
      <c r="I1469" s="3"/>
    </row>
    <row r="1470" spans="7:9" x14ac:dyDescent="0.25">
      <c r="G1470" s="1"/>
      <c r="I1470" s="3"/>
    </row>
    <row r="1471" spans="7:9" x14ac:dyDescent="0.25">
      <c r="G1471" s="1"/>
      <c r="I1471" s="3"/>
    </row>
    <row r="1472" spans="7:9" x14ac:dyDescent="0.25">
      <c r="G1472" s="1"/>
      <c r="I1472" s="3"/>
    </row>
    <row r="1473" spans="7:9" x14ac:dyDescent="0.25">
      <c r="G1473" s="1"/>
      <c r="I1473" s="3"/>
    </row>
    <row r="1474" spans="7:9" x14ac:dyDescent="0.25">
      <c r="G1474" s="1"/>
      <c r="I1474" s="3"/>
    </row>
    <row r="1475" spans="7:9" x14ac:dyDescent="0.25">
      <c r="G1475" s="1"/>
      <c r="I1475" s="3"/>
    </row>
    <row r="1476" spans="7:9" x14ac:dyDescent="0.25">
      <c r="G1476" s="1"/>
      <c r="I1476" s="3"/>
    </row>
    <row r="1477" spans="7:9" x14ac:dyDescent="0.25">
      <c r="G1477" s="1"/>
      <c r="I1477" s="3"/>
    </row>
    <row r="1478" spans="7:9" x14ac:dyDescent="0.25">
      <c r="G1478" s="1"/>
      <c r="I1478" s="3"/>
    </row>
    <row r="1479" spans="7:9" x14ac:dyDescent="0.25">
      <c r="G1479" s="1"/>
      <c r="I1479" s="3"/>
    </row>
    <row r="1480" spans="7:9" x14ac:dyDescent="0.25">
      <c r="G1480" s="1"/>
      <c r="I1480" s="3"/>
    </row>
    <row r="1481" spans="7:9" x14ac:dyDescent="0.25">
      <c r="G1481" s="1"/>
      <c r="I1481" s="3"/>
    </row>
    <row r="1482" spans="7:9" x14ac:dyDescent="0.25">
      <c r="G1482" s="1"/>
      <c r="I1482" s="3"/>
    </row>
    <row r="1483" spans="7:9" x14ac:dyDescent="0.25">
      <c r="G1483" s="1"/>
      <c r="I1483" s="3"/>
    </row>
    <row r="1484" spans="7:9" x14ac:dyDescent="0.25">
      <c r="G1484" s="1"/>
      <c r="I1484" s="3"/>
    </row>
    <row r="1485" spans="7:9" x14ac:dyDescent="0.25">
      <c r="G1485" s="1"/>
      <c r="I1485" s="3"/>
    </row>
    <row r="1486" spans="7:9" x14ac:dyDescent="0.25">
      <c r="G1486" s="1"/>
      <c r="I1486" s="3"/>
    </row>
    <row r="1487" spans="7:9" x14ac:dyDescent="0.25">
      <c r="G1487" s="1"/>
      <c r="I1487" s="3"/>
    </row>
    <row r="1488" spans="7:9" x14ac:dyDescent="0.25">
      <c r="G1488" s="1"/>
      <c r="I1488" s="3"/>
    </row>
    <row r="1489" spans="7:9" x14ac:dyDescent="0.25">
      <c r="G1489" s="1"/>
      <c r="I1489" s="3"/>
    </row>
    <row r="1490" spans="7:9" x14ac:dyDescent="0.25">
      <c r="G1490" s="1"/>
      <c r="I1490" s="3"/>
    </row>
    <row r="1491" spans="7:9" x14ac:dyDescent="0.25">
      <c r="G1491" s="1"/>
      <c r="I1491" s="3"/>
    </row>
    <row r="1492" spans="7:9" x14ac:dyDescent="0.25">
      <c r="G1492" s="1"/>
      <c r="I1492" s="3"/>
    </row>
    <row r="1493" spans="7:9" x14ac:dyDescent="0.25">
      <c r="G1493" s="1"/>
      <c r="I1493" s="3"/>
    </row>
    <row r="1494" spans="7:9" x14ac:dyDescent="0.25">
      <c r="G1494" s="1"/>
      <c r="I1494" s="3"/>
    </row>
    <row r="1495" spans="7:9" x14ac:dyDescent="0.25">
      <c r="G1495" s="1"/>
      <c r="I1495" s="3"/>
    </row>
    <row r="1496" spans="7:9" x14ac:dyDescent="0.25">
      <c r="G1496" s="1"/>
      <c r="I1496" s="3"/>
    </row>
    <row r="1497" spans="7:9" x14ac:dyDescent="0.25">
      <c r="G1497" s="1"/>
      <c r="I1497" s="3"/>
    </row>
    <row r="1498" spans="7:9" x14ac:dyDescent="0.25">
      <c r="G1498" s="1"/>
      <c r="I1498" s="3"/>
    </row>
    <row r="1499" spans="7:9" x14ac:dyDescent="0.25">
      <c r="G1499" s="1"/>
      <c r="I1499" s="3"/>
    </row>
    <row r="1500" spans="7:9" x14ac:dyDescent="0.25">
      <c r="G1500" s="1"/>
      <c r="I1500" s="3"/>
    </row>
    <row r="1501" spans="7:9" x14ac:dyDescent="0.25">
      <c r="G1501" s="1"/>
      <c r="I1501" s="3"/>
    </row>
    <row r="1502" spans="7:9" x14ac:dyDescent="0.25">
      <c r="G1502" s="1"/>
      <c r="I1502" s="3"/>
    </row>
    <row r="1503" spans="7:9" x14ac:dyDescent="0.25">
      <c r="G1503" s="1"/>
      <c r="I1503" s="3"/>
    </row>
    <row r="1504" spans="7:9" x14ac:dyDescent="0.25">
      <c r="G1504" s="1"/>
      <c r="I1504" s="3"/>
    </row>
    <row r="1505" spans="7:9" x14ac:dyDescent="0.25">
      <c r="G1505" s="1"/>
      <c r="I1505" s="3"/>
    </row>
    <row r="1506" spans="7:9" x14ac:dyDescent="0.25">
      <c r="G1506" s="1"/>
      <c r="I1506" s="3"/>
    </row>
    <row r="1507" spans="7:9" x14ac:dyDescent="0.25">
      <c r="G1507" s="1"/>
      <c r="I1507" s="3"/>
    </row>
    <row r="1508" spans="7:9" x14ac:dyDescent="0.25">
      <c r="G1508" s="1"/>
      <c r="I1508" s="3"/>
    </row>
    <row r="1509" spans="7:9" x14ac:dyDescent="0.25">
      <c r="G1509" s="1"/>
      <c r="I1509" s="3"/>
    </row>
    <row r="1510" spans="7:9" x14ac:dyDescent="0.25">
      <c r="G1510" s="1"/>
      <c r="I1510" s="3"/>
    </row>
    <row r="1511" spans="7:9" x14ac:dyDescent="0.25">
      <c r="G1511" s="1"/>
      <c r="I1511" s="3"/>
    </row>
    <row r="1512" spans="7:9" x14ac:dyDescent="0.25">
      <c r="G1512" s="1"/>
      <c r="I1512" s="3"/>
    </row>
    <row r="1513" spans="7:9" x14ac:dyDescent="0.25">
      <c r="G1513" s="1"/>
      <c r="I1513" s="3"/>
    </row>
    <row r="1514" spans="7:9" x14ac:dyDescent="0.25">
      <c r="G1514" s="1"/>
      <c r="I1514" s="3"/>
    </row>
    <row r="1515" spans="7:9" x14ac:dyDescent="0.25">
      <c r="G1515" s="1"/>
      <c r="I1515" s="3"/>
    </row>
    <row r="1516" spans="7:9" x14ac:dyDescent="0.25">
      <c r="G1516" s="1"/>
      <c r="I1516" s="3"/>
    </row>
    <row r="1517" spans="7:9" x14ac:dyDescent="0.25">
      <c r="G1517" s="1"/>
      <c r="I1517" s="3"/>
    </row>
    <row r="1518" spans="7:9" x14ac:dyDescent="0.25">
      <c r="G1518" s="1"/>
      <c r="I1518" s="3"/>
    </row>
    <row r="1519" spans="7:9" x14ac:dyDescent="0.25">
      <c r="G1519" s="1"/>
      <c r="I1519" s="3"/>
    </row>
    <row r="1520" spans="7:9" x14ac:dyDescent="0.25">
      <c r="G1520" s="1"/>
      <c r="I1520" s="3"/>
    </row>
    <row r="1521" spans="7:9" x14ac:dyDescent="0.25">
      <c r="G1521" s="1"/>
      <c r="I1521" s="3"/>
    </row>
    <row r="1522" spans="7:9" x14ac:dyDescent="0.25">
      <c r="G1522" s="1"/>
      <c r="I1522" s="3"/>
    </row>
    <row r="1523" spans="7:9" x14ac:dyDescent="0.25">
      <c r="G1523" s="1"/>
      <c r="I1523" s="3"/>
    </row>
    <row r="1524" spans="7:9" x14ac:dyDescent="0.25">
      <c r="G1524" s="1"/>
      <c r="I1524" s="3"/>
    </row>
    <row r="1525" spans="7:9" x14ac:dyDescent="0.25">
      <c r="G1525" s="1"/>
      <c r="I1525" s="3"/>
    </row>
    <row r="1526" spans="7:9" x14ac:dyDescent="0.25">
      <c r="G1526" s="1"/>
      <c r="I1526" s="3"/>
    </row>
    <row r="1527" spans="7:9" x14ac:dyDescent="0.25">
      <c r="G1527" s="1"/>
      <c r="I1527" s="3"/>
    </row>
    <row r="1528" spans="7:9" x14ac:dyDescent="0.25">
      <c r="G1528" s="1"/>
      <c r="I1528" s="3"/>
    </row>
    <row r="1529" spans="7:9" x14ac:dyDescent="0.25">
      <c r="G1529" s="1"/>
      <c r="I1529" s="3"/>
    </row>
    <row r="1530" spans="7:9" x14ac:dyDescent="0.25">
      <c r="G1530" s="1"/>
      <c r="I1530" s="3"/>
    </row>
    <row r="1531" spans="7:9" x14ac:dyDescent="0.25">
      <c r="G1531" s="1"/>
      <c r="I1531" s="3"/>
    </row>
    <row r="1532" spans="7:9" x14ac:dyDescent="0.25">
      <c r="G1532" s="1"/>
      <c r="I1532" s="3"/>
    </row>
    <row r="1533" spans="7:9" x14ac:dyDescent="0.25">
      <c r="G1533" s="1"/>
      <c r="I1533" s="3"/>
    </row>
    <row r="1534" spans="7:9" x14ac:dyDescent="0.25">
      <c r="G1534" s="1"/>
      <c r="I1534" s="3"/>
    </row>
    <row r="1535" spans="7:9" x14ac:dyDescent="0.25">
      <c r="G1535" s="1"/>
      <c r="I1535" s="3"/>
    </row>
    <row r="1536" spans="7:9" x14ac:dyDescent="0.25">
      <c r="G1536" s="1"/>
      <c r="I1536" s="3"/>
    </row>
    <row r="1537" spans="7:9" x14ac:dyDescent="0.25">
      <c r="G1537" s="1"/>
      <c r="I1537" s="3"/>
    </row>
    <row r="1538" spans="7:9" x14ac:dyDescent="0.25">
      <c r="G1538" s="1"/>
      <c r="I1538" s="3"/>
    </row>
    <row r="1539" spans="7:9" x14ac:dyDescent="0.25">
      <c r="G1539" s="1"/>
      <c r="I1539" s="3"/>
    </row>
    <row r="1540" spans="7:9" x14ac:dyDescent="0.25">
      <c r="G1540" s="1"/>
      <c r="I1540" s="3"/>
    </row>
    <row r="1541" spans="7:9" x14ac:dyDescent="0.25">
      <c r="G1541" s="1"/>
      <c r="I1541" s="3"/>
    </row>
    <row r="1542" spans="7:9" x14ac:dyDescent="0.25">
      <c r="G1542" s="1"/>
      <c r="I1542" s="3"/>
    </row>
    <row r="1543" spans="7:9" x14ac:dyDescent="0.25">
      <c r="G1543" s="1"/>
      <c r="I1543" s="3"/>
    </row>
    <row r="1544" spans="7:9" x14ac:dyDescent="0.25">
      <c r="G1544" s="1"/>
      <c r="I1544" s="3"/>
    </row>
    <row r="1545" spans="7:9" x14ac:dyDescent="0.25">
      <c r="G1545" s="1"/>
      <c r="I1545" s="3"/>
    </row>
    <row r="1546" spans="7:9" x14ac:dyDescent="0.25">
      <c r="G1546" s="1"/>
      <c r="I1546" s="3"/>
    </row>
    <row r="1547" spans="7:9" x14ac:dyDescent="0.25">
      <c r="G1547" s="1"/>
      <c r="I1547" s="3"/>
    </row>
    <row r="1548" spans="7:9" x14ac:dyDescent="0.25">
      <c r="G1548" s="1"/>
      <c r="I1548" s="3"/>
    </row>
    <row r="1549" spans="7:9" x14ac:dyDescent="0.25">
      <c r="G1549" s="1"/>
      <c r="I1549" s="3"/>
    </row>
    <row r="1550" spans="7:9" x14ac:dyDescent="0.25">
      <c r="G1550" s="1"/>
      <c r="I1550" s="3"/>
    </row>
    <row r="1551" spans="7:9" x14ac:dyDescent="0.25">
      <c r="G1551" s="1"/>
      <c r="I1551" s="3"/>
    </row>
    <row r="1552" spans="7:9" x14ac:dyDescent="0.25">
      <c r="G1552" s="1"/>
      <c r="I1552" s="3"/>
    </row>
    <row r="1553" spans="7:9" x14ac:dyDescent="0.25">
      <c r="G1553" s="1"/>
      <c r="I1553" s="3"/>
    </row>
    <row r="1554" spans="7:9" x14ac:dyDescent="0.25">
      <c r="G1554" s="1"/>
      <c r="I1554"/>
    </row>
    <row r="1555" spans="7:9" x14ac:dyDescent="0.25">
      <c r="G1555" s="1"/>
      <c r="I1555"/>
    </row>
    <row r="1556" spans="7:9" x14ac:dyDescent="0.25">
      <c r="G1556" s="1"/>
      <c r="I1556"/>
    </row>
    <row r="1557" spans="7:9" x14ac:dyDescent="0.25">
      <c r="G1557" s="1"/>
      <c r="I1557"/>
    </row>
    <row r="1558" spans="7:9" x14ac:dyDescent="0.25">
      <c r="G1558" s="1"/>
      <c r="I1558"/>
    </row>
    <row r="1559" spans="7:9" x14ac:dyDescent="0.25">
      <c r="G1559" s="1"/>
      <c r="I1559"/>
    </row>
    <row r="1560" spans="7:9" x14ac:dyDescent="0.25">
      <c r="G1560" s="1"/>
      <c r="I1560"/>
    </row>
    <row r="1561" spans="7:9" x14ac:dyDescent="0.25">
      <c r="G1561" s="1"/>
      <c r="I1561"/>
    </row>
    <row r="1562" spans="7:9" x14ac:dyDescent="0.25">
      <c r="G1562" s="1"/>
      <c r="I1562"/>
    </row>
    <row r="1563" spans="7:9" x14ac:dyDescent="0.25">
      <c r="G1563" s="1"/>
      <c r="I1563"/>
    </row>
    <row r="1564" spans="7:9" x14ac:dyDescent="0.25">
      <c r="G1564" s="1"/>
      <c r="I1564"/>
    </row>
    <row r="1565" spans="7:9" x14ac:dyDescent="0.25">
      <c r="G1565" s="1"/>
      <c r="I1565"/>
    </row>
    <row r="1566" spans="7:9" x14ac:dyDescent="0.25">
      <c r="G1566" s="1"/>
      <c r="I1566"/>
    </row>
    <row r="1567" spans="7:9" x14ac:dyDescent="0.25">
      <c r="G1567" s="1"/>
      <c r="I1567"/>
    </row>
    <row r="1568" spans="7:9" x14ac:dyDescent="0.25">
      <c r="G1568" s="1"/>
      <c r="I1568"/>
    </row>
    <row r="1569" spans="7:9" x14ac:dyDescent="0.25">
      <c r="G1569" s="1"/>
      <c r="I1569"/>
    </row>
    <row r="1570" spans="7:9" x14ac:dyDescent="0.25">
      <c r="G1570" s="1"/>
      <c r="I1570"/>
    </row>
    <row r="1571" spans="7:9" x14ac:dyDescent="0.25">
      <c r="G1571" s="1"/>
      <c r="I1571"/>
    </row>
    <row r="1572" spans="7:9" x14ac:dyDescent="0.25">
      <c r="G1572" s="1"/>
      <c r="I1572"/>
    </row>
    <row r="1573" spans="7:9" x14ac:dyDescent="0.25">
      <c r="G1573" s="1"/>
      <c r="I1573"/>
    </row>
    <row r="1574" spans="7:9" x14ac:dyDescent="0.25">
      <c r="G1574" s="1"/>
      <c r="I1574"/>
    </row>
    <row r="1575" spans="7:9" x14ac:dyDescent="0.25">
      <c r="G1575" s="1"/>
      <c r="I1575"/>
    </row>
    <row r="1576" spans="7:9" x14ac:dyDescent="0.25">
      <c r="G1576" s="1"/>
      <c r="I1576"/>
    </row>
    <row r="1577" spans="7:9" x14ac:dyDescent="0.25">
      <c r="G1577" s="1"/>
      <c r="I1577"/>
    </row>
    <row r="1578" spans="7:9" x14ac:dyDescent="0.25">
      <c r="G1578" s="1"/>
      <c r="I1578" s="3"/>
    </row>
    <row r="1579" spans="7:9" x14ac:dyDescent="0.25">
      <c r="G1579" s="1"/>
      <c r="I1579" s="3"/>
    </row>
    <row r="1580" spans="7:9" x14ac:dyDescent="0.25">
      <c r="G1580" s="1"/>
      <c r="I1580" s="3"/>
    </row>
    <row r="1581" spans="7:9" x14ac:dyDescent="0.25">
      <c r="G1581" s="1"/>
      <c r="I1581" s="3"/>
    </row>
    <row r="1582" spans="7:9" x14ac:dyDescent="0.25">
      <c r="G1582" s="1"/>
      <c r="I1582" s="3"/>
    </row>
    <row r="1583" spans="7:9" x14ac:dyDescent="0.25">
      <c r="G1583" s="1"/>
      <c r="I1583" s="3"/>
    </row>
    <row r="1584" spans="7:9" x14ac:dyDescent="0.25">
      <c r="G1584" s="1"/>
      <c r="I1584" s="3"/>
    </row>
    <row r="1585" spans="7:9" x14ac:dyDescent="0.25">
      <c r="G1585" s="1"/>
      <c r="I1585" s="3"/>
    </row>
    <row r="1586" spans="7:9" x14ac:dyDescent="0.25">
      <c r="G1586" s="1"/>
      <c r="I1586" s="3"/>
    </row>
    <row r="1587" spans="7:9" x14ac:dyDescent="0.25">
      <c r="G1587" s="1"/>
      <c r="I1587" s="3"/>
    </row>
    <row r="1588" spans="7:9" x14ac:dyDescent="0.25">
      <c r="G1588" s="1"/>
      <c r="I1588" s="3"/>
    </row>
    <row r="1589" spans="7:9" x14ac:dyDescent="0.25">
      <c r="G1589" s="1"/>
      <c r="I1589" s="3"/>
    </row>
    <row r="1590" spans="7:9" x14ac:dyDescent="0.25">
      <c r="G1590" s="1"/>
      <c r="I1590" s="3"/>
    </row>
    <row r="1591" spans="7:9" x14ac:dyDescent="0.25">
      <c r="G1591" s="1"/>
      <c r="I1591" s="3"/>
    </row>
    <row r="1592" spans="7:9" x14ac:dyDescent="0.25">
      <c r="G1592" s="1"/>
      <c r="I1592" s="3"/>
    </row>
    <row r="1593" spans="7:9" x14ac:dyDescent="0.25">
      <c r="G1593" s="1"/>
      <c r="I1593" s="3"/>
    </row>
    <row r="1594" spans="7:9" x14ac:dyDescent="0.25">
      <c r="G1594" s="1"/>
      <c r="I1594" s="3"/>
    </row>
    <row r="1595" spans="7:9" x14ac:dyDescent="0.25">
      <c r="G1595" s="1"/>
      <c r="I1595" s="3"/>
    </row>
    <row r="1596" spans="7:9" x14ac:dyDescent="0.25">
      <c r="G1596" s="1"/>
      <c r="I1596" s="3"/>
    </row>
    <row r="1597" spans="7:9" x14ac:dyDescent="0.25">
      <c r="G1597" s="1"/>
      <c r="I1597" s="3"/>
    </row>
    <row r="1598" spans="7:9" x14ac:dyDescent="0.25">
      <c r="G1598" s="1"/>
      <c r="I1598" s="3"/>
    </row>
    <row r="1599" spans="7:9" x14ac:dyDescent="0.25">
      <c r="G1599" s="1"/>
      <c r="I1599" s="3"/>
    </row>
    <row r="1600" spans="7:9" x14ac:dyDescent="0.25">
      <c r="G1600" s="1"/>
      <c r="I1600" s="3"/>
    </row>
    <row r="1601" spans="7:9" x14ac:dyDescent="0.25">
      <c r="G1601" s="1"/>
      <c r="I1601" s="3"/>
    </row>
    <row r="1602" spans="7:9" x14ac:dyDescent="0.25">
      <c r="G1602" s="1"/>
      <c r="I1602" s="3"/>
    </row>
    <row r="1603" spans="7:9" x14ac:dyDescent="0.25">
      <c r="G1603" s="1"/>
      <c r="I1603" s="3"/>
    </row>
    <row r="1604" spans="7:9" x14ac:dyDescent="0.25">
      <c r="G1604" s="1"/>
      <c r="I1604" s="3"/>
    </row>
    <row r="1605" spans="7:9" x14ac:dyDescent="0.25">
      <c r="G1605" s="1"/>
      <c r="I1605" s="3"/>
    </row>
    <row r="1606" spans="7:9" x14ac:dyDescent="0.25">
      <c r="G1606" s="1"/>
      <c r="I1606" s="3"/>
    </row>
    <row r="1607" spans="7:9" x14ac:dyDescent="0.25">
      <c r="G1607" s="1"/>
      <c r="I1607" s="3"/>
    </row>
    <row r="1608" spans="7:9" x14ac:dyDescent="0.25">
      <c r="G1608" s="1"/>
      <c r="I1608" s="3"/>
    </row>
    <row r="1609" spans="7:9" x14ac:dyDescent="0.25">
      <c r="G1609" s="1"/>
      <c r="I1609" s="3"/>
    </row>
    <row r="1610" spans="7:9" x14ac:dyDescent="0.25">
      <c r="G1610" s="1"/>
      <c r="I1610" s="3"/>
    </row>
    <row r="1611" spans="7:9" x14ac:dyDescent="0.25">
      <c r="G1611" s="1"/>
      <c r="I1611" s="3"/>
    </row>
    <row r="1612" spans="7:9" x14ac:dyDescent="0.25">
      <c r="G1612" s="1"/>
      <c r="I1612" s="3"/>
    </row>
    <row r="1613" spans="7:9" x14ac:dyDescent="0.25">
      <c r="G1613" s="1"/>
      <c r="I1613" s="3"/>
    </row>
    <row r="1614" spans="7:9" x14ac:dyDescent="0.25">
      <c r="G1614" s="1"/>
      <c r="I1614" s="3"/>
    </row>
    <row r="1615" spans="7:9" x14ac:dyDescent="0.25">
      <c r="G1615" s="1"/>
      <c r="I1615" s="3"/>
    </row>
    <row r="1616" spans="7:9" x14ac:dyDescent="0.25">
      <c r="G1616" s="1"/>
      <c r="I1616" s="3"/>
    </row>
    <row r="1617" spans="7:9" x14ac:dyDescent="0.25">
      <c r="G1617" s="1"/>
      <c r="I1617" s="3"/>
    </row>
    <row r="1618" spans="7:9" x14ac:dyDescent="0.25">
      <c r="G1618" s="1"/>
      <c r="I1618" s="3"/>
    </row>
    <row r="1619" spans="7:9" x14ac:dyDescent="0.25">
      <c r="G1619" s="1"/>
      <c r="I1619" s="3"/>
    </row>
    <row r="1620" spans="7:9" x14ac:dyDescent="0.25">
      <c r="G1620" s="1"/>
      <c r="I1620" s="3"/>
    </row>
    <row r="1621" spans="7:9" x14ac:dyDescent="0.25">
      <c r="G1621" s="1"/>
      <c r="I1621" s="3"/>
    </row>
    <row r="1622" spans="7:9" x14ac:dyDescent="0.25">
      <c r="G1622" s="1"/>
      <c r="I1622" s="3"/>
    </row>
    <row r="1623" spans="7:9" x14ac:dyDescent="0.25">
      <c r="G1623" s="1"/>
      <c r="I1623" s="3"/>
    </row>
    <row r="1624" spans="7:9" x14ac:dyDescent="0.25">
      <c r="G1624" s="1"/>
      <c r="I1624" s="3"/>
    </row>
    <row r="1625" spans="7:9" x14ac:dyDescent="0.25">
      <c r="G1625" s="1"/>
      <c r="I1625" s="3"/>
    </row>
    <row r="1626" spans="7:9" x14ac:dyDescent="0.25">
      <c r="G1626" s="1"/>
      <c r="I1626" s="3"/>
    </row>
    <row r="1627" spans="7:9" x14ac:dyDescent="0.25">
      <c r="G1627" s="1"/>
      <c r="I1627" s="3"/>
    </row>
    <row r="1628" spans="7:9" x14ac:dyDescent="0.25">
      <c r="G1628" s="1"/>
      <c r="I1628" s="3"/>
    </row>
    <row r="1629" spans="7:9" x14ac:dyDescent="0.25">
      <c r="G1629" s="1"/>
      <c r="I1629" s="3"/>
    </row>
    <row r="1630" spans="7:9" x14ac:dyDescent="0.25">
      <c r="G1630" s="1"/>
      <c r="I1630" s="3"/>
    </row>
    <row r="1631" spans="7:9" x14ac:dyDescent="0.25">
      <c r="G1631" s="1"/>
      <c r="I1631" s="3"/>
    </row>
    <row r="1632" spans="7:9" x14ac:dyDescent="0.25">
      <c r="G1632" s="1"/>
      <c r="I1632" s="3"/>
    </row>
    <row r="1633" spans="7:9" x14ac:dyDescent="0.25">
      <c r="G1633" s="1"/>
      <c r="I1633" s="3"/>
    </row>
    <row r="1634" spans="7:9" x14ac:dyDescent="0.25">
      <c r="G1634" s="1"/>
      <c r="I1634" s="3"/>
    </row>
    <row r="1635" spans="7:9" x14ac:dyDescent="0.25">
      <c r="G1635" s="1"/>
      <c r="I1635" s="3"/>
    </row>
    <row r="1636" spans="7:9" x14ac:dyDescent="0.25">
      <c r="G1636" s="1"/>
      <c r="I1636" s="3"/>
    </row>
    <row r="1637" spans="7:9" x14ac:dyDescent="0.25">
      <c r="G1637" s="1"/>
      <c r="I1637" s="3"/>
    </row>
    <row r="1638" spans="7:9" x14ac:dyDescent="0.25">
      <c r="G1638" s="1"/>
      <c r="I1638" s="3"/>
    </row>
    <row r="1639" spans="7:9" x14ac:dyDescent="0.25">
      <c r="G1639" s="1"/>
      <c r="I1639" s="3"/>
    </row>
    <row r="1640" spans="7:9" x14ac:dyDescent="0.25">
      <c r="G1640" s="1"/>
      <c r="I1640" s="3"/>
    </row>
    <row r="1641" spans="7:9" x14ac:dyDescent="0.25">
      <c r="G1641" s="1"/>
      <c r="I1641" s="3"/>
    </row>
    <row r="1642" spans="7:9" x14ac:dyDescent="0.25">
      <c r="G1642" s="1"/>
      <c r="I1642" s="3"/>
    </row>
    <row r="1643" spans="7:9" x14ac:dyDescent="0.25">
      <c r="G1643" s="1"/>
      <c r="I1643" s="3"/>
    </row>
    <row r="1644" spans="7:9" x14ac:dyDescent="0.25">
      <c r="G1644" s="1"/>
      <c r="I1644" s="3"/>
    </row>
    <row r="1645" spans="7:9" x14ac:dyDescent="0.25">
      <c r="G1645" s="1"/>
      <c r="I1645" s="3"/>
    </row>
    <row r="1646" spans="7:9" x14ac:dyDescent="0.25">
      <c r="G1646" s="1"/>
      <c r="I1646" s="3"/>
    </row>
    <row r="1647" spans="7:9" x14ac:dyDescent="0.25">
      <c r="G1647" s="1"/>
      <c r="I1647" s="3"/>
    </row>
    <row r="1648" spans="7:9" x14ac:dyDescent="0.25">
      <c r="G1648" s="1"/>
      <c r="I1648" s="3"/>
    </row>
    <row r="1649" spans="7:9" x14ac:dyDescent="0.25">
      <c r="G1649" s="1"/>
      <c r="I1649" s="3"/>
    </row>
    <row r="1650" spans="7:9" x14ac:dyDescent="0.25">
      <c r="G1650" s="1"/>
      <c r="I1650" s="3"/>
    </row>
    <row r="1651" spans="7:9" x14ac:dyDescent="0.25">
      <c r="G1651" s="1"/>
      <c r="I1651"/>
    </row>
    <row r="1652" spans="7:9" x14ac:dyDescent="0.25">
      <c r="G1652" s="1"/>
      <c r="I1652"/>
    </row>
    <row r="1653" spans="7:9" x14ac:dyDescent="0.25">
      <c r="G1653" s="1"/>
      <c r="I1653"/>
    </row>
    <row r="1654" spans="7:9" x14ac:dyDescent="0.25">
      <c r="G1654" s="1"/>
      <c r="I1654"/>
    </row>
    <row r="1655" spans="7:9" x14ac:dyDescent="0.25">
      <c r="G1655" s="1"/>
      <c r="I1655"/>
    </row>
    <row r="1656" spans="7:9" x14ac:dyDescent="0.25">
      <c r="G1656" s="1"/>
      <c r="I1656"/>
    </row>
    <row r="1657" spans="7:9" x14ac:dyDescent="0.25">
      <c r="G1657" s="1"/>
      <c r="I1657"/>
    </row>
    <row r="1658" spans="7:9" x14ac:dyDescent="0.25">
      <c r="G1658" s="1"/>
      <c r="I1658"/>
    </row>
    <row r="1659" spans="7:9" x14ac:dyDescent="0.25">
      <c r="G1659" s="1"/>
      <c r="I1659"/>
    </row>
    <row r="1660" spans="7:9" x14ac:dyDescent="0.25">
      <c r="G1660" s="1"/>
      <c r="I1660"/>
    </row>
    <row r="1661" spans="7:9" x14ac:dyDescent="0.25">
      <c r="G1661" s="1"/>
      <c r="I1661"/>
    </row>
    <row r="1662" spans="7:9" x14ac:dyDescent="0.25">
      <c r="G1662" s="1"/>
      <c r="I1662"/>
    </row>
    <row r="1663" spans="7:9" x14ac:dyDescent="0.25">
      <c r="G1663" s="1"/>
      <c r="I1663"/>
    </row>
    <row r="1664" spans="7:9" x14ac:dyDescent="0.25">
      <c r="G1664" s="1"/>
      <c r="I1664"/>
    </row>
    <row r="1665" spans="7:9" x14ac:dyDescent="0.25">
      <c r="G1665" s="1"/>
      <c r="I1665"/>
    </row>
    <row r="1666" spans="7:9" x14ac:dyDescent="0.25">
      <c r="G1666" s="1"/>
      <c r="I1666"/>
    </row>
    <row r="1667" spans="7:9" x14ac:dyDescent="0.25">
      <c r="G1667" s="1"/>
      <c r="I1667"/>
    </row>
    <row r="1668" spans="7:9" x14ac:dyDescent="0.25">
      <c r="G1668" s="1"/>
      <c r="I1668"/>
    </row>
    <row r="1669" spans="7:9" x14ac:dyDescent="0.25">
      <c r="G1669" s="1"/>
      <c r="I1669"/>
    </row>
    <row r="1670" spans="7:9" x14ac:dyDescent="0.25">
      <c r="G1670" s="1"/>
      <c r="I1670"/>
    </row>
    <row r="1671" spans="7:9" x14ac:dyDescent="0.25">
      <c r="G1671" s="1"/>
      <c r="I1671"/>
    </row>
    <row r="1672" spans="7:9" x14ac:dyDescent="0.25">
      <c r="G1672" s="1"/>
      <c r="I1672"/>
    </row>
    <row r="1673" spans="7:9" x14ac:dyDescent="0.25">
      <c r="G1673" s="1"/>
      <c r="I1673"/>
    </row>
    <row r="1674" spans="7:9" x14ac:dyDescent="0.25">
      <c r="G1674" s="1"/>
      <c r="I1674"/>
    </row>
    <row r="1675" spans="7:9" x14ac:dyDescent="0.25">
      <c r="G1675" s="1"/>
      <c r="I1675"/>
    </row>
    <row r="1676" spans="7:9" x14ac:dyDescent="0.25">
      <c r="G1676" s="1"/>
      <c r="I1676"/>
    </row>
    <row r="1677" spans="7:9" x14ac:dyDescent="0.25">
      <c r="G1677" s="1"/>
      <c r="I1677"/>
    </row>
    <row r="1678" spans="7:9" x14ac:dyDescent="0.25">
      <c r="G1678" s="1"/>
      <c r="I1678"/>
    </row>
    <row r="1679" spans="7:9" x14ac:dyDescent="0.25">
      <c r="G1679" s="1"/>
      <c r="I1679"/>
    </row>
    <row r="1680" spans="7:9" x14ac:dyDescent="0.25">
      <c r="G1680" s="1"/>
      <c r="I1680"/>
    </row>
    <row r="1681" spans="7:9" x14ac:dyDescent="0.25">
      <c r="G1681" s="1"/>
      <c r="I1681"/>
    </row>
    <row r="1682" spans="7:9" x14ac:dyDescent="0.25">
      <c r="G1682" s="1"/>
      <c r="I1682"/>
    </row>
    <row r="1683" spans="7:9" x14ac:dyDescent="0.25">
      <c r="G1683" s="1"/>
      <c r="I1683"/>
    </row>
    <row r="1685" spans="7:9" x14ac:dyDescent="0.25">
      <c r="G1685" s="1"/>
      <c r="I1685" s="3"/>
    </row>
    <row r="1686" spans="7:9" x14ac:dyDescent="0.25">
      <c r="G1686" s="1"/>
      <c r="I1686" s="3"/>
    </row>
    <row r="1687" spans="7:9" x14ac:dyDescent="0.25">
      <c r="G1687" s="1"/>
      <c r="I1687" s="3"/>
    </row>
    <row r="1688" spans="7:9" x14ac:dyDescent="0.25">
      <c r="G1688" s="1"/>
      <c r="I1688" s="3"/>
    </row>
    <row r="1689" spans="7:9" x14ac:dyDescent="0.25">
      <c r="G1689" s="1"/>
      <c r="I1689" s="3"/>
    </row>
    <row r="1690" spans="7:9" x14ac:dyDescent="0.25">
      <c r="G1690" s="1"/>
      <c r="I1690" s="3"/>
    </row>
    <row r="1691" spans="7:9" x14ac:dyDescent="0.25">
      <c r="G1691" s="1"/>
      <c r="I1691" s="3"/>
    </row>
    <row r="1692" spans="7:9" x14ac:dyDescent="0.25">
      <c r="G1692" s="1"/>
      <c r="I1692" s="3"/>
    </row>
    <row r="1693" spans="7:9" x14ac:dyDescent="0.25">
      <c r="G1693" s="1"/>
      <c r="I1693" s="3"/>
    </row>
    <row r="1694" spans="7:9" x14ac:dyDescent="0.25">
      <c r="G1694" s="1"/>
      <c r="I1694" s="3"/>
    </row>
    <row r="1695" spans="7:9" x14ac:dyDescent="0.25">
      <c r="G1695" s="1"/>
      <c r="I1695" s="3"/>
    </row>
    <row r="1696" spans="7:9" x14ac:dyDescent="0.25">
      <c r="G1696" s="1"/>
      <c r="I1696" s="3"/>
    </row>
    <row r="1697" spans="7:9" x14ac:dyDescent="0.25">
      <c r="G1697" s="1"/>
      <c r="I1697" s="3"/>
    </row>
    <row r="1698" spans="7:9" x14ac:dyDescent="0.25">
      <c r="G1698" s="1"/>
      <c r="I1698" s="3"/>
    </row>
    <row r="1699" spans="7:9" x14ac:dyDescent="0.25">
      <c r="G1699" s="1"/>
      <c r="I1699" s="3"/>
    </row>
    <row r="1700" spans="7:9" x14ac:dyDescent="0.25">
      <c r="G1700" s="1"/>
      <c r="I1700" s="3"/>
    </row>
    <row r="1701" spans="7:9" x14ac:dyDescent="0.25">
      <c r="G1701" s="1"/>
      <c r="I1701" s="3"/>
    </row>
    <row r="1702" spans="7:9" x14ac:dyDescent="0.25">
      <c r="G1702" s="1"/>
      <c r="I1702" s="3"/>
    </row>
    <row r="1703" spans="7:9" x14ac:dyDescent="0.25">
      <c r="G1703" s="1"/>
      <c r="I1703" s="3"/>
    </row>
    <row r="1704" spans="7:9" x14ac:dyDescent="0.25">
      <c r="G1704" s="1"/>
      <c r="I1704" s="3"/>
    </row>
    <row r="1705" spans="7:9" x14ac:dyDescent="0.25">
      <c r="G1705" s="1"/>
      <c r="I1705" s="3"/>
    </row>
    <row r="1706" spans="7:9" x14ac:dyDescent="0.25">
      <c r="G1706" s="1"/>
      <c r="I1706" s="3"/>
    </row>
    <row r="1707" spans="7:9" x14ac:dyDescent="0.25">
      <c r="G1707" s="1"/>
      <c r="I1707" s="3"/>
    </row>
    <row r="1708" spans="7:9" x14ac:dyDescent="0.25">
      <c r="G1708" s="1"/>
      <c r="I1708" s="3"/>
    </row>
    <row r="1709" spans="7:9" x14ac:dyDescent="0.25">
      <c r="G1709" s="1"/>
      <c r="I1709" s="3"/>
    </row>
    <row r="1710" spans="7:9" x14ac:dyDescent="0.25">
      <c r="G1710" s="1"/>
      <c r="I1710" s="3"/>
    </row>
    <row r="1711" spans="7:9" x14ac:dyDescent="0.25">
      <c r="G1711" s="1"/>
      <c r="I1711" s="3"/>
    </row>
    <row r="1712" spans="7:9" x14ac:dyDescent="0.25">
      <c r="G1712" s="1"/>
      <c r="I1712" s="3"/>
    </row>
    <row r="1713" spans="7:9" x14ac:dyDescent="0.25">
      <c r="G1713" s="1"/>
      <c r="I1713" s="3"/>
    </row>
    <row r="1714" spans="7:9" x14ac:dyDescent="0.25">
      <c r="G1714" s="1"/>
      <c r="I1714" s="3"/>
    </row>
    <row r="1715" spans="7:9" x14ac:dyDescent="0.25">
      <c r="G1715" s="1"/>
      <c r="I1715" s="3"/>
    </row>
    <row r="1716" spans="7:9" x14ac:dyDescent="0.25">
      <c r="G1716" s="1"/>
      <c r="I1716" s="3"/>
    </row>
    <row r="1717" spans="7:9" x14ac:dyDescent="0.25">
      <c r="G1717" s="1"/>
      <c r="I1717" s="3"/>
    </row>
    <row r="1718" spans="7:9" x14ac:dyDescent="0.25">
      <c r="G1718" s="1"/>
      <c r="I1718" s="3"/>
    </row>
    <row r="1719" spans="7:9" x14ac:dyDescent="0.25">
      <c r="G1719" s="1"/>
      <c r="I1719" s="3"/>
    </row>
    <row r="1720" spans="7:9" x14ac:dyDescent="0.25">
      <c r="G1720" s="1"/>
      <c r="I1720" s="3"/>
    </row>
    <row r="1721" spans="7:9" x14ac:dyDescent="0.25">
      <c r="G1721" s="1"/>
      <c r="I1721" s="3"/>
    </row>
    <row r="1722" spans="7:9" x14ac:dyDescent="0.25">
      <c r="G1722" s="1"/>
      <c r="I1722" s="3"/>
    </row>
    <row r="1723" spans="7:9" x14ac:dyDescent="0.25">
      <c r="G1723" s="1"/>
      <c r="I1723" s="3"/>
    </row>
    <row r="1724" spans="7:9" x14ac:dyDescent="0.25">
      <c r="G1724" s="1"/>
      <c r="I1724" s="3"/>
    </row>
    <row r="1725" spans="7:9" x14ac:dyDescent="0.25">
      <c r="G1725" s="1"/>
      <c r="I1725" s="3"/>
    </row>
    <row r="1726" spans="7:9" x14ac:dyDescent="0.25">
      <c r="G1726" s="1"/>
      <c r="I1726" s="3"/>
    </row>
    <row r="1727" spans="7:9" x14ac:dyDescent="0.25">
      <c r="G1727" s="1"/>
      <c r="I1727" s="3"/>
    </row>
    <row r="1728" spans="7:9" x14ac:dyDescent="0.25">
      <c r="G1728" s="1"/>
      <c r="I1728" s="3"/>
    </row>
    <row r="1729" spans="7:9" x14ac:dyDescent="0.25">
      <c r="G1729" s="1"/>
      <c r="I1729" s="3"/>
    </row>
    <row r="1730" spans="7:9" x14ac:dyDescent="0.25">
      <c r="G1730" s="1"/>
      <c r="I1730" s="3"/>
    </row>
    <row r="1731" spans="7:9" x14ac:dyDescent="0.25">
      <c r="G1731" s="1"/>
      <c r="I1731" s="3"/>
    </row>
    <row r="1732" spans="7:9" x14ac:dyDescent="0.25">
      <c r="G1732" s="1"/>
      <c r="I1732" s="3"/>
    </row>
    <row r="1733" spans="7:9" x14ac:dyDescent="0.25">
      <c r="G1733" s="1"/>
      <c r="I1733" s="3"/>
    </row>
    <row r="1734" spans="7:9" x14ac:dyDescent="0.25">
      <c r="G1734" s="1"/>
      <c r="I1734" s="3"/>
    </row>
    <row r="1735" spans="7:9" x14ac:dyDescent="0.25">
      <c r="G1735" s="1"/>
      <c r="I1735" s="3"/>
    </row>
    <row r="1736" spans="7:9" x14ac:dyDescent="0.25">
      <c r="G1736" s="1"/>
      <c r="I1736" s="3"/>
    </row>
    <row r="1737" spans="7:9" x14ac:dyDescent="0.25">
      <c r="G1737" s="1"/>
      <c r="I1737" s="3"/>
    </row>
    <row r="1738" spans="7:9" x14ac:dyDescent="0.25">
      <c r="G1738" s="1"/>
      <c r="I1738" s="3"/>
    </row>
    <row r="1739" spans="7:9" x14ac:dyDescent="0.25">
      <c r="G1739" s="1"/>
      <c r="I1739" s="3"/>
    </row>
    <row r="1740" spans="7:9" x14ac:dyDescent="0.25">
      <c r="G1740" s="1"/>
      <c r="I1740" s="3"/>
    </row>
    <row r="1741" spans="7:9" x14ac:dyDescent="0.25">
      <c r="G1741" s="1"/>
      <c r="I1741" s="3"/>
    </row>
    <row r="1742" spans="7:9" x14ac:dyDescent="0.25">
      <c r="G1742" s="1"/>
      <c r="I1742" s="3"/>
    </row>
    <row r="1743" spans="7:9" x14ac:dyDescent="0.25">
      <c r="G1743" s="1"/>
      <c r="I1743" s="3"/>
    </row>
    <row r="1744" spans="7:9" x14ac:dyDescent="0.25">
      <c r="G1744" s="1"/>
      <c r="I1744" s="3"/>
    </row>
    <row r="1745" spans="7:9" x14ac:dyDescent="0.25">
      <c r="G1745" s="1"/>
      <c r="I1745" s="3"/>
    </row>
    <row r="1746" spans="7:9" x14ac:dyDescent="0.25">
      <c r="G1746" s="1"/>
      <c r="I1746" s="3"/>
    </row>
    <row r="1747" spans="7:9" x14ac:dyDescent="0.25">
      <c r="G1747" s="1"/>
      <c r="I1747" s="3"/>
    </row>
    <row r="1748" spans="7:9" x14ac:dyDescent="0.25">
      <c r="G1748" s="1"/>
      <c r="I1748" s="3"/>
    </row>
    <row r="1749" spans="7:9" x14ac:dyDescent="0.25">
      <c r="G1749" s="1"/>
      <c r="I1749" s="3"/>
    </row>
    <row r="1750" spans="7:9" x14ac:dyDescent="0.25">
      <c r="G1750" s="1"/>
      <c r="I1750" s="3"/>
    </row>
    <row r="1751" spans="7:9" x14ac:dyDescent="0.25">
      <c r="G1751" s="1"/>
      <c r="I1751" s="3"/>
    </row>
    <row r="1752" spans="7:9" x14ac:dyDescent="0.25">
      <c r="G1752" s="1"/>
      <c r="I1752" s="3"/>
    </row>
    <row r="1753" spans="7:9" x14ac:dyDescent="0.25">
      <c r="G1753" s="1"/>
      <c r="I1753" s="3"/>
    </row>
    <row r="1754" spans="7:9" x14ac:dyDescent="0.25">
      <c r="G1754" s="1"/>
      <c r="I1754" s="3"/>
    </row>
    <row r="1755" spans="7:9" x14ac:dyDescent="0.25">
      <c r="G1755" s="1"/>
      <c r="I1755" s="3"/>
    </row>
    <row r="1756" spans="7:9" x14ac:dyDescent="0.25">
      <c r="G1756" s="1"/>
      <c r="I1756" s="3"/>
    </row>
    <row r="1757" spans="7:9" x14ac:dyDescent="0.25">
      <c r="G1757" s="1"/>
      <c r="I1757" s="3"/>
    </row>
    <row r="1758" spans="7:9" x14ac:dyDescent="0.25">
      <c r="G1758" s="1"/>
      <c r="I1758" s="3"/>
    </row>
    <row r="1759" spans="7:9" x14ac:dyDescent="0.25">
      <c r="G1759" s="1"/>
      <c r="I1759" s="3"/>
    </row>
    <row r="1760" spans="7:9" x14ac:dyDescent="0.25">
      <c r="G1760" s="1"/>
      <c r="I1760" s="3"/>
    </row>
    <row r="1761" spans="7:9" x14ac:dyDescent="0.25">
      <c r="G1761" s="1"/>
      <c r="I1761" s="3"/>
    </row>
    <row r="1762" spans="7:9" x14ac:dyDescent="0.25">
      <c r="G1762" s="1"/>
      <c r="I1762" s="3"/>
    </row>
    <row r="1763" spans="7:9" x14ac:dyDescent="0.25">
      <c r="G1763" s="1"/>
      <c r="I1763" s="3"/>
    </row>
    <row r="1764" spans="7:9" x14ac:dyDescent="0.25">
      <c r="G1764" s="1"/>
      <c r="I1764" s="3"/>
    </row>
    <row r="1765" spans="7:9" x14ac:dyDescent="0.25">
      <c r="G1765" s="1"/>
      <c r="I1765" s="3"/>
    </row>
    <row r="1766" spans="7:9" x14ac:dyDescent="0.25">
      <c r="G1766" s="1"/>
      <c r="I1766" s="3"/>
    </row>
    <row r="1767" spans="7:9" x14ac:dyDescent="0.25">
      <c r="G1767" s="1"/>
      <c r="I1767" s="3"/>
    </row>
    <row r="1768" spans="7:9" x14ac:dyDescent="0.25">
      <c r="G1768" s="1"/>
      <c r="I1768" s="3"/>
    </row>
    <row r="1769" spans="7:9" x14ac:dyDescent="0.25">
      <c r="G1769" s="1"/>
      <c r="I1769" s="3"/>
    </row>
    <row r="1770" spans="7:9" x14ac:dyDescent="0.25">
      <c r="G1770" s="1"/>
      <c r="I1770" s="3"/>
    </row>
    <row r="1771" spans="7:9" x14ac:dyDescent="0.25">
      <c r="G1771" s="1"/>
      <c r="I1771" s="3"/>
    </row>
    <row r="1772" spans="7:9" x14ac:dyDescent="0.25">
      <c r="G1772" s="1"/>
      <c r="I1772" s="3"/>
    </row>
    <row r="1773" spans="7:9" x14ac:dyDescent="0.25">
      <c r="G1773" s="1"/>
      <c r="I1773" s="3"/>
    </row>
    <row r="1774" spans="7:9" x14ac:dyDescent="0.25">
      <c r="G1774" s="1"/>
      <c r="I1774" s="3"/>
    </row>
    <row r="1775" spans="7:9" x14ac:dyDescent="0.25">
      <c r="G1775" s="1"/>
      <c r="I1775" s="3"/>
    </row>
    <row r="1776" spans="7:9" x14ac:dyDescent="0.25">
      <c r="G1776" s="1"/>
      <c r="I1776" s="3"/>
    </row>
    <row r="1777" spans="7:9" x14ac:dyDescent="0.25">
      <c r="G1777" s="1"/>
      <c r="I1777" s="3"/>
    </row>
    <row r="1778" spans="7:9" x14ac:dyDescent="0.25">
      <c r="G1778" s="1"/>
      <c r="I1778" s="3"/>
    </row>
    <row r="1779" spans="7:9" x14ac:dyDescent="0.25">
      <c r="G1779" s="1"/>
      <c r="I1779" s="3"/>
    </row>
    <row r="1780" spans="7:9" x14ac:dyDescent="0.25">
      <c r="G1780" s="1"/>
      <c r="I1780" s="3"/>
    </row>
    <row r="1781" spans="7:9" x14ac:dyDescent="0.25">
      <c r="G1781" s="1"/>
      <c r="I1781" s="3"/>
    </row>
    <row r="1782" spans="7:9" x14ac:dyDescent="0.25">
      <c r="G1782" s="1"/>
      <c r="I1782" s="3"/>
    </row>
    <row r="1783" spans="7:9" x14ac:dyDescent="0.25">
      <c r="G1783" s="1"/>
      <c r="I1783" s="3"/>
    </row>
    <row r="1784" spans="7:9" x14ac:dyDescent="0.25">
      <c r="G1784" s="1"/>
      <c r="I1784" s="3"/>
    </row>
    <row r="1785" spans="7:9" x14ac:dyDescent="0.25">
      <c r="G1785" s="1"/>
      <c r="I1785" s="3"/>
    </row>
    <row r="1786" spans="7:9" x14ac:dyDescent="0.25">
      <c r="G1786" s="1"/>
      <c r="I1786" s="3"/>
    </row>
    <row r="1787" spans="7:9" x14ac:dyDescent="0.25">
      <c r="G1787" s="1"/>
      <c r="I1787" s="3"/>
    </row>
    <row r="1788" spans="7:9" x14ac:dyDescent="0.25">
      <c r="G1788" s="1"/>
      <c r="I1788" s="3"/>
    </row>
    <row r="1789" spans="7:9" x14ac:dyDescent="0.25">
      <c r="G1789" s="1"/>
      <c r="I1789" s="3"/>
    </row>
    <row r="1790" spans="7:9" x14ac:dyDescent="0.25">
      <c r="G1790" s="1"/>
      <c r="I1790" s="3"/>
    </row>
    <row r="1791" spans="7:9" x14ac:dyDescent="0.25">
      <c r="G1791" s="1"/>
      <c r="I1791" s="3"/>
    </row>
    <row r="1792" spans="7:9" x14ac:dyDescent="0.25">
      <c r="G1792" s="1"/>
      <c r="I1792" s="3"/>
    </row>
    <row r="1793" spans="7:9" x14ac:dyDescent="0.25">
      <c r="G1793" s="1"/>
      <c r="I1793" s="3"/>
    </row>
    <row r="1794" spans="7:9" x14ac:dyDescent="0.25">
      <c r="G1794" s="1"/>
      <c r="I1794" s="3"/>
    </row>
    <row r="1795" spans="7:9" x14ac:dyDescent="0.25">
      <c r="G1795" s="1"/>
      <c r="I1795" s="3"/>
    </row>
    <row r="1796" spans="7:9" x14ac:dyDescent="0.25">
      <c r="G1796" s="1"/>
      <c r="I1796" s="3"/>
    </row>
    <row r="1797" spans="7:9" x14ac:dyDescent="0.25">
      <c r="G1797" s="1"/>
      <c r="I1797" s="3"/>
    </row>
    <row r="1798" spans="7:9" x14ac:dyDescent="0.25">
      <c r="G1798" s="1"/>
      <c r="I1798" s="3"/>
    </row>
    <row r="1799" spans="7:9" x14ac:dyDescent="0.25">
      <c r="G1799" s="1"/>
      <c r="I1799" s="3"/>
    </row>
    <row r="1800" spans="7:9" x14ac:dyDescent="0.25">
      <c r="G1800" s="1"/>
      <c r="I1800" s="3"/>
    </row>
    <row r="1801" spans="7:9" x14ac:dyDescent="0.25">
      <c r="G1801" s="1"/>
      <c r="I1801" s="3"/>
    </row>
    <row r="1802" spans="7:9" x14ac:dyDescent="0.25">
      <c r="G1802" s="1"/>
      <c r="I1802" s="3"/>
    </row>
    <row r="1803" spans="7:9" x14ac:dyDescent="0.25">
      <c r="G1803" s="1"/>
      <c r="I1803" s="3"/>
    </row>
    <row r="1804" spans="7:9" x14ac:dyDescent="0.25">
      <c r="G1804" s="1"/>
      <c r="I1804" s="3"/>
    </row>
    <row r="1805" spans="7:9" x14ac:dyDescent="0.25">
      <c r="G1805" s="1"/>
      <c r="I1805" s="3"/>
    </row>
    <row r="1806" spans="7:9" x14ac:dyDescent="0.25">
      <c r="G1806" s="1"/>
      <c r="I1806" s="3"/>
    </row>
    <row r="1807" spans="7:9" x14ac:dyDescent="0.25">
      <c r="G1807" s="1"/>
      <c r="I1807" s="3"/>
    </row>
    <row r="1808" spans="7:9" x14ac:dyDescent="0.25">
      <c r="G1808" s="1"/>
      <c r="I1808" s="3"/>
    </row>
    <row r="1809" spans="7:9" x14ac:dyDescent="0.25">
      <c r="G1809" s="1"/>
      <c r="I1809" s="3"/>
    </row>
    <row r="1810" spans="7:9" x14ac:dyDescent="0.25">
      <c r="G1810" s="1"/>
      <c r="I1810" s="3"/>
    </row>
    <row r="1811" spans="7:9" x14ac:dyDescent="0.25">
      <c r="G1811" s="1"/>
      <c r="I1811" s="3"/>
    </row>
    <row r="1812" spans="7:9" x14ac:dyDescent="0.25">
      <c r="G1812" s="1"/>
      <c r="I1812" s="3"/>
    </row>
    <row r="1813" spans="7:9" x14ac:dyDescent="0.25">
      <c r="G1813" s="1"/>
      <c r="I1813"/>
    </row>
    <row r="1814" spans="7:9" x14ac:dyDescent="0.25">
      <c r="G1814" s="1"/>
      <c r="I1814"/>
    </row>
    <row r="1815" spans="7:9" x14ac:dyDescent="0.25">
      <c r="G1815" s="1"/>
      <c r="I1815"/>
    </row>
    <row r="1816" spans="7:9" x14ac:dyDescent="0.25">
      <c r="G1816" s="1"/>
      <c r="I1816"/>
    </row>
    <row r="1817" spans="7:9" x14ac:dyDescent="0.25">
      <c r="G1817" s="1"/>
      <c r="I1817"/>
    </row>
    <row r="1818" spans="7:9" x14ac:dyDescent="0.25">
      <c r="G1818" s="1"/>
      <c r="I1818"/>
    </row>
    <row r="1819" spans="7:9" x14ac:dyDescent="0.25">
      <c r="G1819" s="1"/>
      <c r="I1819"/>
    </row>
    <row r="1820" spans="7:9" x14ac:dyDescent="0.25">
      <c r="G1820" s="1"/>
      <c r="I1820"/>
    </row>
    <row r="1821" spans="7:9" x14ac:dyDescent="0.25">
      <c r="G1821" s="1"/>
      <c r="I1821"/>
    </row>
    <row r="1822" spans="7:9" x14ac:dyDescent="0.25">
      <c r="G1822" s="1"/>
      <c r="I1822"/>
    </row>
    <row r="1823" spans="7:9" x14ac:dyDescent="0.25">
      <c r="G1823" s="1"/>
      <c r="I1823"/>
    </row>
    <row r="1824" spans="7:9" x14ac:dyDescent="0.25">
      <c r="G1824" s="1"/>
      <c r="I1824"/>
    </row>
    <row r="1825" spans="7:9" x14ac:dyDescent="0.25">
      <c r="G1825" s="1"/>
      <c r="I1825"/>
    </row>
    <row r="1826" spans="7:9" x14ac:dyDescent="0.25">
      <c r="G1826" s="1"/>
      <c r="I1826"/>
    </row>
    <row r="1827" spans="7:9" x14ac:dyDescent="0.25">
      <c r="G1827" s="1"/>
      <c r="I1827"/>
    </row>
    <row r="1828" spans="7:9" x14ac:dyDescent="0.25">
      <c r="G1828" s="1"/>
      <c r="I1828"/>
    </row>
    <row r="1829" spans="7:9" x14ac:dyDescent="0.25">
      <c r="G1829" s="1"/>
      <c r="I1829"/>
    </row>
    <row r="1830" spans="7:9" x14ac:dyDescent="0.25">
      <c r="G1830" s="1"/>
      <c r="I1830"/>
    </row>
    <row r="1831" spans="7:9" x14ac:dyDescent="0.25">
      <c r="G1831" s="1"/>
      <c r="I1831"/>
    </row>
    <row r="1832" spans="7:9" x14ac:dyDescent="0.25">
      <c r="G1832" s="1"/>
      <c r="I1832"/>
    </row>
    <row r="1833" spans="7:9" x14ac:dyDescent="0.25">
      <c r="G1833" s="1"/>
      <c r="I1833"/>
    </row>
    <row r="1834" spans="7:9" x14ac:dyDescent="0.25">
      <c r="G1834" s="1"/>
      <c r="I1834"/>
    </row>
    <row r="1835" spans="7:9" x14ac:dyDescent="0.25">
      <c r="G1835" s="1"/>
      <c r="I1835"/>
    </row>
    <row r="1836" spans="7:9" x14ac:dyDescent="0.25">
      <c r="G1836" s="1"/>
      <c r="I1836"/>
    </row>
    <row r="1837" spans="7:9" x14ac:dyDescent="0.25">
      <c r="G1837" s="1"/>
      <c r="I1837"/>
    </row>
    <row r="1838" spans="7:9" x14ac:dyDescent="0.25">
      <c r="G1838" s="1"/>
      <c r="I1838"/>
    </row>
    <row r="1839" spans="7:9" x14ac:dyDescent="0.25">
      <c r="G1839" s="1"/>
      <c r="I1839"/>
    </row>
    <row r="1840" spans="7:9" x14ac:dyDescent="0.25">
      <c r="G1840" s="1"/>
      <c r="I1840"/>
    </row>
    <row r="1841" spans="7:9" x14ac:dyDescent="0.25">
      <c r="G1841" s="1"/>
      <c r="I1841"/>
    </row>
    <row r="1842" spans="7:9" x14ac:dyDescent="0.25">
      <c r="G1842" s="1"/>
      <c r="I1842"/>
    </row>
    <row r="1843" spans="7:9" x14ac:dyDescent="0.25">
      <c r="G1843" s="1"/>
      <c r="I1843"/>
    </row>
    <row r="1844" spans="7:9" x14ac:dyDescent="0.25">
      <c r="G1844" s="1"/>
      <c r="I1844"/>
    </row>
    <row r="1845" spans="7:9" x14ac:dyDescent="0.25">
      <c r="G1845" s="1"/>
      <c r="I1845"/>
    </row>
    <row r="1846" spans="7:9" x14ac:dyDescent="0.25">
      <c r="G1846" s="1"/>
      <c r="I1846"/>
    </row>
    <row r="1847" spans="7:9" x14ac:dyDescent="0.25">
      <c r="G1847" s="1"/>
      <c r="I1847"/>
    </row>
    <row r="1848" spans="7:9" x14ac:dyDescent="0.25">
      <c r="G1848" s="1"/>
      <c r="I1848" s="3"/>
    </row>
    <row r="1849" spans="7:9" x14ac:dyDescent="0.25">
      <c r="G1849" s="1"/>
      <c r="I1849" s="3"/>
    </row>
    <row r="1850" spans="7:9" x14ac:dyDescent="0.25">
      <c r="G1850" s="1"/>
      <c r="I1850" s="3"/>
    </row>
    <row r="1851" spans="7:9" x14ac:dyDescent="0.25">
      <c r="G1851" s="1"/>
      <c r="I1851" s="3"/>
    </row>
    <row r="1852" spans="7:9" x14ac:dyDescent="0.25">
      <c r="G1852" s="1"/>
      <c r="I1852" s="3"/>
    </row>
    <row r="1853" spans="7:9" x14ac:dyDescent="0.25">
      <c r="G1853" s="1"/>
      <c r="I1853" s="3"/>
    </row>
    <row r="1854" spans="7:9" x14ac:dyDescent="0.25">
      <c r="G1854" s="1"/>
      <c r="I1854" s="3"/>
    </row>
    <row r="1855" spans="7:9" x14ac:dyDescent="0.25">
      <c r="G1855" s="1"/>
      <c r="I1855" s="3"/>
    </row>
    <row r="1856" spans="7:9" x14ac:dyDescent="0.25">
      <c r="G1856" s="1"/>
      <c r="I1856" s="3"/>
    </row>
    <row r="1857" spans="7:9" x14ac:dyDescent="0.25">
      <c r="G1857" s="1"/>
      <c r="I1857" s="3"/>
    </row>
    <row r="1858" spans="7:9" x14ac:dyDescent="0.25">
      <c r="G1858" s="1"/>
      <c r="I1858" s="3"/>
    </row>
    <row r="1859" spans="7:9" x14ac:dyDescent="0.25">
      <c r="G1859" s="1"/>
      <c r="I1859" s="3"/>
    </row>
    <row r="1860" spans="7:9" x14ac:dyDescent="0.25">
      <c r="G1860" s="1"/>
      <c r="I1860" s="3"/>
    </row>
    <row r="1861" spans="7:9" x14ac:dyDescent="0.25">
      <c r="G1861" s="1"/>
      <c r="I1861" s="3"/>
    </row>
    <row r="1862" spans="7:9" x14ac:dyDescent="0.25">
      <c r="G1862" s="1"/>
      <c r="I1862" s="3"/>
    </row>
    <row r="1863" spans="7:9" x14ac:dyDescent="0.25">
      <c r="G1863" s="1"/>
      <c r="I1863" s="3"/>
    </row>
    <row r="1864" spans="7:9" x14ac:dyDescent="0.25">
      <c r="G1864" s="1"/>
      <c r="I1864" s="3"/>
    </row>
    <row r="1865" spans="7:9" x14ac:dyDescent="0.25">
      <c r="G1865" s="1"/>
      <c r="I1865" s="3"/>
    </row>
    <row r="1866" spans="7:9" x14ac:dyDescent="0.25">
      <c r="G1866" s="1"/>
      <c r="I1866" s="3"/>
    </row>
    <row r="1867" spans="7:9" x14ac:dyDescent="0.25">
      <c r="G1867" s="1"/>
      <c r="I1867" s="3"/>
    </row>
    <row r="1868" spans="7:9" x14ac:dyDescent="0.25">
      <c r="G1868" s="1"/>
      <c r="I1868" s="3"/>
    </row>
    <row r="1869" spans="7:9" x14ac:dyDescent="0.25">
      <c r="G1869" s="1"/>
      <c r="I1869" s="3"/>
    </row>
    <row r="1870" spans="7:9" x14ac:dyDescent="0.25">
      <c r="G1870" s="1"/>
      <c r="I1870" s="3"/>
    </row>
    <row r="1871" spans="7:9" x14ac:dyDescent="0.25">
      <c r="G1871" s="1"/>
      <c r="I1871" s="3"/>
    </row>
    <row r="1872" spans="7:9" x14ac:dyDescent="0.25">
      <c r="G1872" s="1"/>
      <c r="I1872" s="3"/>
    </row>
    <row r="1873" spans="7:9" x14ac:dyDescent="0.25">
      <c r="G1873" s="1"/>
      <c r="I1873" s="3"/>
    </row>
    <row r="1874" spans="7:9" x14ac:dyDescent="0.25">
      <c r="G1874" s="1"/>
      <c r="I1874" s="3"/>
    </row>
    <row r="1875" spans="7:9" x14ac:dyDescent="0.25">
      <c r="G1875" s="1"/>
      <c r="I1875" s="3"/>
    </row>
    <row r="1876" spans="7:9" x14ac:dyDescent="0.25">
      <c r="G1876" s="1"/>
      <c r="I1876" s="3"/>
    </row>
    <row r="1877" spans="7:9" x14ac:dyDescent="0.25">
      <c r="G1877" s="1"/>
      <c r="I1877" s="3"/>
    </row>
    <row r="1878" spans="7:9" x14ac:dyDescent="0.25">
      <c r="G1878" s="1"/>
      <c r="I1878" s="3"/>
    </row>
    <row r="1879" spans="7:9" x14ac:dyDescent="0.25">
      <c r="G1879" s="1"/>
      <c r="I1879" s="3"/>
    </row>
    <row r="1880" spans="7:9" x14ac:dyDescent="0.25">
      <c r="G1880" s="1"/>
      <c r="I1880" s="3"/>
    </row>
    <row r="1881" spans="7:9" x14ac:dyDescent="0.25">
      <c r="G1881" s="1"/>
      <c r="I1881" s="3"/>
    </row>
    <row r="1882" spans="7:9" x14ac:dyDescent="0.25">
      <c r="G1882" s="1"/>
      <c r="I1882" s="3"/>
    </row>
    <row r="1883" spans="7:9" x14ac:dyDescent="0.25">
      <c r="G1883" s="1"/>
      <c r="I1883" s="3"/>
    </row>
    <row r="1884" spans="7:9" x14ac:dyDescent="0.25">
      <c r="G1884" s="1"/>
      <c r="I1884" s="3"/>
    </row>
    <row r="1885" spans="7:9" x14ac:dyDescent="0.25">
      <c r="G1885" s="1"/>
      <c r="I1885" s="3"/>
    </row>
    <row r="1886" spans="7:9" x14ac:dyDescent="0.25">
      <c r="G1886" s="1"/>
      <c r="I1886" s="3"/>
    </row>
    <row r="1887" spans="7:9" x14ac:dyDescent="0.25">
      <c r="G1887" s="1"/>
      <c r="I1887" s="3"/>
    </row>
    <row r="1888" spans="7:9" x14ac:dyDescent="0.25">
      <c r="G1888" s="1"/>
      <c r="I1888" s="3"/>
    </row>
    <row r="1889" spans="7:9" x14ac:dyDescent="0.25">
      <c r="G1889" s="1"/>
      <c r="I1889" s="3"/>
    </row>
    <row r="1890" spans="7:9" x14ac:dyDescent="0.25">
      <c r="G1890" s="1"/>
      <c r="I1890" s="3"/>
    </row>
    <row r="1891" spans="7:9" x14ac:dyDescent="0.25">
      <c r="G1891" s="1"/>
      <c r="I1891" s="3"/>
    </row>
    <row r="1892" spans="7:9" x14ac:dyDescent="0.25">
      <c r="G1892" s="1"/>
      <c r="I1892" s="3"/>
    </row>
    <row r="1893" spans="7:9" x14ac:dyDescent="0.25">
      <c r="G1893" s="1"/>
      <c r="I1893" s="3"/>
    </row>
    <row r="1894" spans="7:9" x14ac:dyDescent="0.25">
      <c r="G1894" s="1"/>
      <c r="I1894" s="3"/>
    </row>
    <row r="1895" spans="7:9" x14ac:dyDescent="0.25">
      <c r="G1895" s="1"/>
      <c r="I1895" s="3"/>
    </row>
    <row r="1896" spans="7:9" x14ac:dyDescent="0.25">
      <c r="G1896" s="1"/>
      <c r="I1896" s="3"/>
    </row>
    <row r="1897" spans="7:9" x14ac:dyDescent="0.25">
      <c r="G1897" s="1"/>
      <c r="I1897" s="3"/>
    </row>
    <row r="1898" spans="7:9" x14ac:dyDescent="0.25">
      <c r="G1898" s="1"/>
      <c r="I1898" s="3"/>
    </row>
    <row r="1899" spans="7:9" x14ac:dyDescent="0.25">
      <c r="G1899" s="1"/>
      <c r="I1899" s="3"/>
    </row>
    <row r="1900" spans="7:9" x14ac:dyDescent="0.25">
      <c r="G1900" s="1"/>
      <c r="I1900" s="3"/>
    </row>
    <row r="1901" spans="7:9" x14ac:dyDescent="0.25">
      <c r="G1901" s="1"/>
      <c r="I1901" s="3"/>
    </row>
    <row r="1902" spans="7:9" x14ac:dyDescent="0.25">
      <c r="G1902" s="1"/>
      <c r="I1902" s="3"/>
    </row>
    <row r="1903" spans="7:9" x14ac:dyDescent="0.25">
      <c r="G1903" s="1"/>
      <c r="I1903" s="3"/>
    </row>
    <row r="1904" spans="7:9" x14ac:dyDescent="0.25">
      <c r="G1904" s="1"/>
      <c r="I1904" s="3"/>
    </row>
    <row r="1905" spans="7:9" x14ac:dyDescent="0.25">
      <c r="G1905" s="1"/>
      <c r="I1905" s="3"/>
    </row>
    <row r="1906" spans="7:9" x14ac:dyDescent="0.25">
      <c r="G1906" s="1"/>
      <c r="I1906" s="3"/>
    </row>
    <row r="1907" spans="7:9" x14ac:dyDescent="0.25">
      <c r="G1907" s="1"/>
      <c r="I1907" s="3"/>
    </row>
    <row r="1908" spans="7:9" x14ac:dyDescent="0.25">
      <c r="G1908" s="1"/>
      <c r="I1908" s="3"/>
    </row>
    <row r="1909" spans="7:9" x14ac:dyDescent="0.25">
      <c r="G1909" s="1"/>
      <c r="I1909" s="3"/>
    </row>
    <row r="1910" spans="7:9" x14ac:dyDescent="0.25">
      <c r="G1910" s="1"/>
      <c r="I1910" s="3"/>
    </row>
    <row r="1911" spans="7:9" x14ac:dyDescent="0.25">
      <c r="G1911" s="1"/>
      <c r="I1911"/>
    </row>
    <row r="1912" spans="7:9" x14ac:dyDescent="0.25">
      <c r="G1912" s="1"/>
      <c r="I1912"/>
    </row>
    <row r="1913" spans="7:9" x14ac:dyDescent="0.25">
      <c r="G1913" s="1"/>
      <c r="I1913"/>
    </row>
    <row r="1914" spans="7:9" x14ac:dyDescent="0.25">
      <c r="G1914" s="1"/>
      <c r="I1914"/>
    </row>
    <row r="1915" spans="7:9" x14ac:dyDescent="0.25">
      <c r="G1915" s="1"/>
      <c r="I1915"/>
    </row>
    <row r="1916" spans="7:9" x14ac:dyDescent="0.25">
      <c r="G1916" s="1"/>
      <c r="I1916"/>
    </row>
    <row r="1917" spans="7:9" x14ac:dyDescent="0.25">
      <c r="G1917" s="1"/>
      <c r="I1917"/>
    </row>
    <row r="1918" spans="7:9" x14ac:dyDescent="0.25">
      <c r="G1918" s="1"/>
      <c r="I1918"/>
    </row>
    <row r="1919" spans="7:9" x14ac:dyDescent="0.25">
      <c r="G1919" s="1"/>
      <c r="I1919"/>
    </row>
    <row r="1920" spans="7:9" x14ac:dyDescent="0.25">
      <c r="G1920" s="1"/>
      <c r="I1920"/>
    </row>
    <row r="1921" spans="7:9" x14ac:dyDescent="0.25">
      <c r="G1921" s="1"/>
      <c r="I1921"/>
    </row>
    <row r="1922" spans="7:9" x14ac:dyDescent="0.25">
      <c r="G1922" s="1"/>
      <c r="I1922"/>
    </row>
    <row r="1923" spans="7:9" x14ac:dyDescent="0.25">
      <c r="G1923" s="1"/>
      <c r="I1923"/>
    </row>
    <row r="1924" spans="7:9" x14ac:dyDescent="0.25">
      <c r="G1924" s="1"/>
      <c r="I1924"/>
    </row>
    <row r="1925" spans="7:9" x14ac:dyDescent="0.25">
      <c r="G1925" s="1"/>
      <c r="I1925"/>
    </row>
    <row r="1926" spans="7:9" x14ac:dyDescent="0.25">
      <c r="G1926" s="1"/>
      <c r="I1926"/>
    </row>
    <row r="1927" spans="7:9" x14ac:dyDescent="0.25">
      <c r="G1927" s="1"/>
      <c r="I1927"/>
    </row>
    <row r="1928" spans="7:9" x14ac:dyDescent="0.25">
      <c r="G1928" s="1"/>
      <c r="I1928"/>
    </row>
    <row r="1929" spans="7:9" x14ac:dyDescent="0.25">
      <c r="G1929" s="1"/>
      <c r="I1929"/>
    </row>
    <row r="1930" spans="7:9" x14ac:dyDescent="0.25">
      <c r="G1930" s="1"/>
      <c r="I1930"/>
    </row>
    <row r="1931" spans="7:9" x14ac:dyDescent="0.25">
      <c r="G1931" s="1"/>
      <c r="I1931"/>
    </row>
    <row r="1932" spans="7:9" x14ac:dyDescent="0.25">
      <c r="G1932" s="1"/>
      <c r="I1932"/>
    </row>
    <row r="1933" spans="7:9" x14ac:dyDescent="0.25">
      <c r="G1933" s="1"/>
      <c r="I1933"/>
    </row>
    <row r="1934" spans="7:9" x14ac:dyDescent="0.25">
      <c r="G1934" s="1"/>
      <c r="I1934"/>
    </row>
    <row r="1935" spans="7:9" x14ac:dyDescent="0.25">
      <c r="G1935" s="1"/>
      <c r="I1935"/>
    </row>
    <row r="1936" spans="7:9" x14ac:dyDescent="0.25">
      <c r="G1936" s="1"/>
      <c r="I1936"/>
    </row>
    <row r="1937" spans="7:9" x14ac:dyDescent="0.25">
      <c r="G1937" s="1"/>
      <c r="I1937"/>
    </row>
    <row r="1938" spans="7:9" x14ac:dyDescent="0.25">
      <c r="G1938" s="1"/>
      <c r="I1938"/>
    </row>
    <row r="1939" spans="7:9" x14ac:dyDescent="0.25">
      <c r="G1939" s="1"/>
      <c r="I1939"/>
    </row>
    <row r="1940" spans="7:9" x14ac:dyDescent="0.25">
      <c r="G1940" s="1"/>
      <c r="I1940"/>
    </row>
    <row r="1941" spans="7:9" x14ac:dyDescent="0.25">
      <c r="G1941" s="1"/>
      <c r="I1941"/>
    </row>
    <row r="1942" spans="7:9" x14ac:dyDescent="0.25">
      <c r="G1942" s="1"/>
      <c r="I1942"/>
    </row>
    <row r="1943" spans="7:9" x14ac:dyDescent="0.25">
      <c r="G1943" s="1"/>
      <c r="I1943"/>
    </row>
    <row r="1944" spans="7:9" x14ac:dyDescent="0.25">
      <c r="G1944" s="1"/>
      <c r="I1944"/>
    </row>
    <row r="1945" spans="7:9" x14ac:dyDescent="0.25">
      <c r="G1945" s="1"/>
      <c r="I1945"/>
    </row>
    <row r="1946" spans="7:9" x14ac:dyDescent="0.25">
      <c r="G1946" s="1"/>
      <c r="I1946"/>
    </row>
    <row r="1947" spans="7:9" x14ac:dyDescent="0.25">
      <c r="G1947" s="1"/>
      <c r="I1947"/>
    </row>
    <row r="1948" spans="7:9" x14ac:dyDescent="0.25">
      <c r="G1948" s="1"/>
      <c r="I1948"/>
    </row>
    <row r="1949" spans="7:9" x14ac:dyDescent="0.25">
      <c r="G1949" s="1"/>
      <c r="I1949"/>
    </row>
    <row r="1950" spans="7:9" x14ac:dyDescent="0.25">
      <c r="G1950" s="1"/>
      <c r="I1950"/>
    </row>
    <row r="1951" spans="7:9" x14ac:dyDescent="0.25">
      <c r="G1951" s="1"/>
      <c r="I1951"/>
    </row>
    <row r="1952" spans="7:9" x14ac:dyDescent="0.25">
      <c r="G1952" s="1"/>
      <c r="I1952"/>
    </row>
    <row r="1953" spans="7:9" x14ac:dyDescent="0.25">
      <c r="G1953" s="1"/>
      <c r="I1953"/>
    </row>
    <row r="1954" spans="7:9" x14ac:dyDescent="0.25">
      <c r="G1954" s="1"/>
      <c r="I1954"/>
    </row>
    <row r="1955" spans="7:9" x14ac:dyDescent="0.25">
      <c r="G1955" s="1"/>
      <c r="I1955"/>
    </row>
    <row r="1956" spans="7:9" x14ac:dyDescent="0.25">
      <c r="G1956" s="1"/>
      <c r="I1956"/>
    </row>
    <row r="1957" spans="7:9" x14ac:dyDescent="0.25">
      <c r="G1957" s="1"/>
      <c r="I1957"/>
    </row>
    <row r="1958" spans="7:9" x14ac:dyDescent="0.25">
      <c r="G1958" s="1"/>
      <c r="I1958"/>
    </row>
    <row r="1959" spans="7:9" x14ac:dyDescent="0.25">
      <c r="G1959" s="1"/>
      <c r="I1959"/>
    </row>
    <row r="1960" spans="7:9" x14ac:dyDescent="0.25">
      <c r="G1960" s="1"/>
      <c r="I1960"/>
    </row>
    <row r="1961" spans="7:9" x14ac:dyDescent="0.25">
      <c r="G1961" s="1"/>
      <c r="I1961"/>
    </row>
    <row r="1962" spans="7:9" x14ac:dyDescent="0.25">
      <c r="G1962" s="1"/>
      <c r="I1962"/>
    </row>
    <row r="1963" spans="7:9" x14ac:dyDescent="0.25">
      <c r="G1963" s="1"/>
      <c r="I1963"/>
    </row>
    <row r="1964" spans="7:9" x14ac:dyDescent="0.25">
      <c r="G1964" s="1"/>
      <c r="I1964"/>
    </row>
    <row r="1965" spans="7:9" x14ac:dyDescent="0.25">
      <c r="G1965" s="1"/>
      <c r="I1965"/>
    </row>
    <row r="1966" spans="7:9" x14ac:dyDescent="0.25">
      <c r="G1966" s="1"/>
      <c r="I1966"/>
    </row>
    <row r="1967" spans="7:9" x14ac:dyDescent="0.25">
      <c r="G1967" s="1"/>
      <c r="I1967"/>
    </row>
    <row r="1968" spans="7:9" x14ac:dyDescent="0.25">
      <c r="G1968" s="1"/>
      <c r="I1968"/>
    </row>
    <row r="1969" spans="7:9" x14ac:dyDescent="0.25">
      <c r="G1969" s="1"/>
      <c r="I1969"/>
    </row>
    <row r="1970" spans="7:9" x14ac:dyDescent="0.25">
      <c r="G1970" s="1"/>
      <c r="I1970"/>
    </row>
    <row r="1971" spans="7:9" x14ac:dyDescent="0.25">
      <c r="G1971" s="1"/>
      <c r="I1971"/>
    </row>
    <row r="1972" spans="7:9" x14ac:dyDescent="0.25">
      <c r="G1972" s="1"/>
      <c r="I1972"/>
    </row>
    <row r="1973" spans="7:9" x14ac:dyDescent="0.25">
      <c r="G1973" s="1"/>
      <c r="I1973"/>
    </row>
    <row r="1974" spans="7:9" x14ac:dyDescent="0.25">
      <c r="G1974" s="1"/>
      <c r="I1974" s="3"/>
    </row>
    <row r="1975" spans="7:9" x14ac:dyDescent="0.25">
      <c r="G1975" s="1"/>
      <c r="I1975" s="3"/>
    </row>
    <row r="1976" spans="7:9" x14ac:dyDescent="0.25">
      <c r="G1976" s="1"/>
      <c r="I1976" s="3"/>
    </row>
    <row r="1977" spans="7:9" x14ac:dyDescent="0.25">
      <c r="G1977" s="1"/>
      <c r="I1977" s="3"/>
    </row>
    <row r="1978" spans="7:9" x14ac:dyDescent="0.25">
      <c r="G1978" s="1"/>
      <c r="I1978" s="3"/>
    </row>
    <row r="1979" spans="7:9" x14ac:dyDescent="0.25">
      <c r="G1979" s="1"/>
      <c r="I1979" s="3"/>
    </row>
    <row r="1980" spans="7:9" x14ac:dyDescent="0.25">
      <c r="G1980" s="1"/>
      <c r="I1980" s="3"/>
    </row>
    <row r="1981" spans="7:9" x14ac:dyDescent="0.25">
      <c r="G1981" s="1"/>
      <c r="I1981" s="3"/>
    </row>
    <row r="1982" spans="7:9" x14ac:dyDescent="0.25">
      <c r="G1982" s="1"/>
      <c r="I1982" s="3"/>
    </row>
    <row r="1983" spans="7:9" x14ac:dyDescent="0.25">
      <c r="G1983" s="1"/>
      <c r="I1983" s="3"/>
    </row>
    <row r="1984" spans="7:9" x14ac:dyDescent="0.25">
      <c r="G1984" s="1"/>
      <c r="I1984" s="3"/>
    </row>
    <row r="1985" spans="7:9" x14ac:dyDescent="0.25">
      <c r="G1985" s="1"/>
      <c r="I1985" s="3"/>
    </row>
    <row r="1986" spans="7:9" x14ac:dyDescent="0.25">
      <c r="G1986" s="1"/>
      <c r="I1986" s="3"/>
    </row>
    <row r="1987" spans="7:9" x14ac:dyDescent="0.25">
      <c r="G1987" s="1"/>
      <c r="I1987" s="3"/>
    </row>
    <row r="1988" spans="7:9" x14ac:dyDescent="0.25">
      <c r="G1988" s="1"/>
      <c r="I1988" s="3"/>
    </row>
    <row r="1989" spans="7:9" x14ac:dyDescent="0.25">
      <c r="G1989" s="1"/>
      <c r="I1989" s="3"/>
    </row>
    <row r="1990" spans="7:9" x14ac:dyDescent="0.25">
      <c r="G1990" s="1"/>
      <c r="I1990" s="3"/>
    </row>
    <row r="1991" spans="7:9" x14ac:dyDescent="0.25">
      <c r="G1991" s="1"/>
      <c r="I1991"/>
    </row>
    <row r="1992" spans="7:9" x14ac:dyDescent="0.25">
      <c r="G1992" s="1"/>
      <c r="I1992"/>
    </row>
    <row r="1993" spans="7:9" x14ac:dyDescent="0.25">
      <c r="G1993" s="1"/>
      <c r="I1993"/>
    </row>
    <row r="1994" spans="7:9" x14ac:dyDescent="0.25">
      <c r="G1994" s="1"/>
      <c r="I1994"/>
    </row>
    <row r="1995" spans="7:9" x14ac:dyDescent="0.25">
      <c r="G1995" s="1"/>
      <c r="I1995"/>
    </row>
    <row r="1996" spans="7:9" x14ac:dyDescent="0.25">
      <c r="G1996" s="1"/>
      <c r="I1996"/>
    </row>
    <row r="1997" spans="7:9" x14ac:dyDescent="0.25">
      <c r="G1997" s="1"/>
      <c r="I1997"/>
    </row>
    <row r="1998" spans="7:9" x14ac:dyDescent="0.25">
      <c r="G1998" s="1"/>
      <c r="I1998"/>
    </row>
    <row r="1999" spans="7:9" x14ac:dyDescent="0.25">
      <c r="G1999" s="1"/>
      <c r="I1999"/>
    </row>
    <row r="2000" spans="7:9" x14ac:dyDescent="0.25">
      <c r="G2000" s="1"/>
      <c r="I2000"/>
    </row>
    <row r="2001" spans="7:9" x14ac:dyDescent="0.25">
      <c r="G2001" s="1"/>
      <c r="I2001"/>
    </row>
    <row r="2002" spans="7:9" x14ac:dyDescent="0.25">
      <c r="G2002" s="1"/>
      <c r="I2002"/>
    </row>
    <row r="2003" spans="7:9" x14ac:dyDescent="0.25">
      <c r="G2003" s="1"/>
      <c r="I2003"/>
    </row>
    <row r="2004" spans="7:9" x14ac:dyDescent="0.25">
      <c r="G2004" s="1"/>
      <c r="I2004"/>
    </row>
    <row r="2005" spans="7:9" x14ac:dyDescent="0.25">
      <c r="G2005" s="1"/>
      <c r="I2005"/>
    </row>
    <row r="2006" spans="7:9" x14ac:dyDescent="0.25">
      <c r="G2006" s="1"/>
      <c r="I2006"/>
    </row>
    <row r="2007" spans="7:9" x14ac:dyDescent="0.25">
      <c r="G2007" s="1"/>
      <c r="I2007"/>
    </row>
    <row r="2008" spans="7:9" x14ac:dyDescent="0.25">
      <c r="G2008" s="1"/>
      <c r="I2008"/>
    </row>
    <row r="2009" spans="7:9" x14ac:dyDescent="0.25">
      <c r="G2009" s="1"/>
      <c r="I2009"/>
    </row>
    <row r="2010" spans="7:9" x14ac:dyDescent="0.25">
      <c r="G2010" s="1"/>
      <c r="I2010"/>
    </row>
    <row r="2011" spans="7:9" x14ac:dyDescent="0.25">
      <c r="G2011" s="1"/>
      <c r="I2011"/>
    </row>
    <row r="2012" spans="7:9" x14ac:dyDescent="0.25">
      <c r="G2012" s="1"/>
      <c r="I2012"/>
    </row>
    <row r="2013" spans="7:9" x14ac:dyDescent="0.25">
      <c r="G2013" s="1"/>
      <c r="I2013"/>
    </row>
    <row r="2014" spans="7:9" x14ac:dyDescent="0.25">
      <c r="G2014" s="1"/>
      <c r="I2014"/>
    </row>
    <row r="2015" spans="7:9" x14ac:dyDescent="0.25">
      <c r="G2015" s="1"/>
      <c r="I2015"/>
    </row>
    <row r="2016" spans="7:9" x14ac:dyDescent="0.25">
      <c r="G2016" s="1"/>
      <c r="I2016"/>
    </row>
    <row r="2017" spans="7:9" x14ac:dyDescent="0.25">
      <c r="G2017" s="1"/>
      <c r="I2017"/>
    </row>
    <row r="2018" spans="7:9" x14ac:dyDescent="0.25">
      <c r="G2018" s="1"/>
      <c r="I2018"/>
    </row>
    <row r="2019" spans="7:9" x14ac:dyDescent="0.25">
      <c r="G2019" s="1"/>
      <c r="I2019"/>
    </row>
    <row r="2020" spans="7:9" x14ac:dyDescent="0.25">
      <c r="G2020" s="1"/>
      <c r="I2020"/>
    </row>
    <row r="2021" spans="7:9" x14ac:dyDescent="0.25">
      <c r="G2021" s="1"/>
      <c r="I2021"/>
    </row>
    <row r="2022" spans="7:9" x14ac:dyDescent="0.25">
      <c r="G2022" s="1"/>
      <c r="I2022"/>
    </row>
    <row r="2023" spans="7:9" x14ac:dyDescent="0.25">
      <c r="G2023" s="1"/>
      <c r="I2023"/>
    </row>
    <row r="2024" spans="7:9" x14ac:dyDescent="0.25">
      <c r="G2024" s="1"/>
      <c r="I2024"/>
    </row>
    <row r="2025" spans="7:9" x14ac:dyDescent="0.25">
      <c r="G2025" s="1"/>
      <c r="I2025"/>
    </row>
    <row r="2026" spans="7:9" x14ac:dyDescent="0.25">
      <c r="G2026" s="1"/>
      <c r="I2026"/>
    </row>
    <row r="2027" spans="7:9" x14ac:dyDescent="0.25">
      <c r="G2027" s="1"/>
      <c r="I2027"/>
    </row>
    <row r="2028" spans="7:9" x14ac:dyDescent="0.25">
      <c r="G2028" s="1"/>
      <c r="I2028"/>
    </row>
    <row r="2029" spans="7:9" x14ac:dyDescent="0.25">
      <c r="G2029" s="1"/>
      <c r="I2029"/>
    </row>
    <row r="2030" spans="7:9" x14ac:dyDescent="0.25">
      <c r="G2030" s="1"/>
      <c r="I2030"/>
    </row>
    <row r="2031" spans="7:9" x14ac:dyDescent="0.25">
      <c r="G2031" s="1"/>
      <c r="I2031"/>
    </row>
    <row r="2032" spans="7:9" x14ac:dyDescent="0.25">
      <c r="G2032" s="1"/>
      <c r="I2032"/>
    </row>
    <row r="2033" spans="7:9" x14ac:dyDescent="0.25">
      <c r="G2033" s="1"/>
      <c r="I2033"/>
    </row>
    <row r="2034" spans="7:9" x14ac:dyDescent="0.25">
      <c r="G2034" s="1"/>
      <c r="I2034"/>
    </row>
    <row r="2035" spans="7:9" x14ac:dyDescent="0.25">
      <c r="G2035" s="1"/>
      <c r="I2035"/>
    </row>
    <row r="2036" spans="7:9" x14ac:dyDescent="0.25">
      <c r="G2036" s="1"/>
      <c r="I2036"/>
    </row>
    <row r="2037" spans="7:9" x14ac:dyDescent="0.25">
      <c r="G2037" s="1"/>
      <c r="I2037"/>
    </row>
    <row r="2038" spans="7:9" x14ac:dyDescent="0.25">
      <c r="G2038" s="1"/>
      <c r="I2038"/>
    </row>
    <row r="2039" spans="7:9" x14ac:dyDescent="0.25">
      <c r="G2039" s="1"/>
      <c r="I2039"/>
    </row>
    <row r="2040" spans="7:9" x14ac:dyDescent="0.25">
      <c r="G2040" s="1"/>
      <c r="I2040"/>
    </row>
    <row r="2041" spans="7:9" x14ac:dyDescent="0.25">
      <c r="G2041" s="1"/>
      <c r="I2041"/>
    </row>
    <row r="2042" spans="7:9" x14ac:dyDescent="0.25">
      <c r="G2042" s="1"/>
      <c r="I2042"/>
    </row>
    <row r="2043" spans="7:9" x14ac:dyDescent="0.25">
      <c r="G2043" s="1"/>
      <c r="I2043"/>
    </row>
    <row r="2044" spans="7:9" x14ac:dyDescent="0.25">
      <c r="G2044" s="1"/>
      <c r="I2044"/>
    </row>
    <row r="2045" spans="7:9" x14ac:dyDescent="0.25">
      <c r="G2045" s="1"/>
      <c r="I2045"/>
    </row>
    <row r="2046" spans="7:9" x14ac:dyDescent="0.25">
      <c r="G2046" s="1"/>
      <c r="I2046"/>
    </row>
    <row r="2047" spans="7:9" x14ac:dyDescent="0.25">
      <c r="G2047" s="1"/>
      <c r="I2047" s="3"/>
    </row>
    <row r="2048" spans="7:9" x14ac:dyDescent="0.25">
      <c r="G2048" s="1"/>
      <c r="I2048" s="3"/>
    </row>
    <row r="2049" spans="7:9" x14ac:dyDescent="0.25">
      <c r="G2049" s="1"/>
      <c r="I2049" s="3"/>
    </row>
    <row r="2050" spans="7:9" x14ac:dyDescent="0.25">
      <c r="G2050" s="1"/>
      <c r="I2050" s="3"/>
    </row>
    <row r="2051" spans="7:9" x14ac:dyDescent="0.25">
      <c r="G2051" s="1"/>
      <c r="I2051" s="3"/>
    </row>
    <row r="2052" spans="7:9" x14ac:dyDescent="0.25">
      <c r="G2052" s="1"/>
      <c r="I2052" s="3"/>
    </row>
    <row r="2053" spans="7:9" x14ac:dyDescent="0.25">
      <c r="G2053" s="1"/>
      <c r="I2053" s="3"/>
    </row>
    <row r="2054" spans="7:9" x14ac:dyDescent="0.25">
      <c r="G2054" s="1"/>
      <c r="I2054" s="3"/>
    </row>
    <row r="2055" spans="7:9" x14ac:dyDescent="0.25">
      <c r="G2055" s="1"/>
      <c r="I2055" s="3"/>
    </row>
    <row r="2056" spans="7:9" x14ac:dyDescent="0.25">
      <c r="G2056" s="1"/>
      <c r="I2056" s="3"/>
    </row>
    <row r="2057" spans="7:9" x14ac:dyDescent="0.25">
      <c r="G2057" s="1"/>
      <c r="I2057" s="3"/>
    </row>
    <row r="2058" spans="7:9" x14ac:dyDescent="0.25">
      <c r="G2058" s="1"/>
      <c r="I2058" s="3"/>
    </row>
    <row r="2059" spans="7:9" x14ac:dyDescent="0.25">
      <c r="G2059" s="1"/>
      <c r="I2059" s="3"/>
    </row>
    <row r="2060" spans="7:9" x14ac:dyDescent="0.25">
      <c r="G2060" s="1"/>
      <c r="I2060" s="3"/>
    </row>
    <row r="2061" spans="7:9" x14ac:dyDescent="0.25">
      <c r="G2061" s="1"/>
      <c r="I2061" s="3"/>
    </row>
    <row r="2062" spans="7:9" x14ac:dyDescent="0.25">
      <c r="G2062" s="1"/>
      <c r="I2062" s="3"/>
    </row>
    <row r="2063" spans="7:9" x14ac:dyDescent="0.25">
      <c r="G2063" s="1"/>
      <c r="I2063" s="3"/>
    </row>
    <row r="2064" spans="7:9" x14ac:dyDescent="0.25">
      <c r="G2064" s="1"/>
      <c r="I2064" s="3"/>
    </row>
    <row r="2065" spans="7:9" x14ac:dyDescent="0.25">
      <c r="G2065" s="1"/>
      <c r="I2065" s="3"/>
    </row>
    <row r="2066" spans="7:9" x14ac:dyDescent="0.25">
      <c r="G2066" s="1"/>
      <c r="I2066" s="3"/>
    </row>
    <row r="2067" spans="7:9" x14ac:dyDescent="0.25">
      <c r="G2067" s="1"/>
      <c r="I2067" s="3"/>
    </row>
    <row r="2068" spans="7:9" x14ac:dyDescent="0.25">
      <c r="G2068" s="1"/>
      <c r="I2068" s="3"/>
    </row>
    <row r="2069" spans="7:9" x14ac:dyDescent="0.25">
      <c r="G2069" s="1"/>
      <c r="I2069" s="3"/>
    </row>
    <row r="2070" spans="7:9" x14ac:dyDescent="0.25">
      <c r="G2070" s="1"/>
      <c r="I2070" s="3"/>
    </row>
    <row r="2071" spans="7:9" x14ac:dyDescent="0.25">
      <c r="G2071" s="1"/>
      <c r="I2071" s="3"/>
    </row>
    <row r="2072" spans="7:9" x14ac:dyDescent="0.25">
      <c r="G2072" s="1"/>
      <c r="I2072" s="3"/>
    </row>
    <row r="2073" spans="7:9" x14ac:dyDescent="0.25">
      <c r="G2073" s="1"/>
      <c r="I2073" s="3"/>
    </row>
    <row r="2074" spans="7:9" x14ac:dyDescent="0.25">
      <c r="G2074" s="1"/>
      <c r="I2074" s="3"/>
    </row>
    <row r="2075" spans="7:9" x14ac:dyDescent="0.25">
      <c r="G2075" s="1"/>
      <c r="I2075" s="3"/>
    </row>
    <row r="2076" spans="7:9" x14ac:dyDescent="0.25">
      <c r="G2076" s="1"/>
      <c r="I2076" s="3"/>
    </row>
    <row r="2077" spans="7:9" x14ac:dyDescent="0.25">
      <c r="G2077" s="1"/>
      <c r="I2077" s="3"/>
    </row>
    <row r="2078" spans="7:9" x14ac:dyDescent="0.25">
      <c r="G2078" s="1"/>
      <c r="I2078" s="3"/>
    </row>
    <row r="2079" spans="7:9" x14ac:dyDescent="0.25">
      <c r="G2079" s="1"/>
      <c r="I2079" s="3"/>
    </row>
    <row r="2080" spans="7:9" x14ac:dyDescent="0.25">
      <c r="G2080" s="1"/>
      <c r="I2080" s="3"/>
    </row>
    <row r="2081" spans="7:9" x14ac:dyDescent="0.25">
      <c r="G2081" s="1"/>
      <c r="I2081" s="3"/>
    </row>
    <row r="2082" spans="7:9" x14ac:dyDescent="0.25">
      <c r="G2082" s="1"/>
      <c r="I2082" s="3"/>
    </row>
    <row r="2083" spans="7:9" x14ac:dyDescent="0.25">
      <c r="G2083" s="1"/>
      <c r="I2083" s="3"/>
    </row>
    <row r="2084" spans="7:9" x14ac:dyDescent="0.25">
      <c r="G2084" s="1"/>
      <c r="I2084" s="3"/>
    </row>
    <row r="2085" spans="7:9" x14ac:dyDescent="0.25">
      <c r="G2085" s="1"/>
      <c r="I2085" s="3"/>
    </row>
    <row r="2086" spans="7:9" x14ac:dyDescent="0.25">
      <c r="G2086" s="1"/>
      <c r="I2086" s="3"/>
    </row>
    <row r="2087" spans="7:9" x14ac:dyDescent="0.25">
      <c r="G2087" s="1"/>
      <c r="I2087" s="3"/>
    </row>
    <row r="2088" spans="7:9" x14ac:dyDescent="0.25">
      <c r="G2088" s="1"/>
      <c r="I2088" s="3"/>
    </row>
    <row r="2089" spans="7:9" x14ac:dyDescent="0.25">
      <c r="G2089" s="1"/>
      <c r="I2089" s="3"/>
    </row>
    <row r="2090" spans="7:9" x14ac:dyDescent="0.25">
      <c r="G2090" s="1"/>
      <c r="I2090" s="3"/>
    </row>
    <row r="2091" spans="7:9" x14ac:dyDescent="0.25">
      <c r="G2091" s="1"/>
      <c r="I2091" s="3"/>
    </row>
    <row r="2092" spans="7:9" x14ac:dyDescent="0.25">
      <c r="G2092" s="1"/>
      <c r="I2092" s="3"/>
    </row>
    <row r="2093" spans="7:9" x14ac:dyDescent="0.25">
      <c r="G2093" s="1"/>
      <c r="I2093" s="3"/>
    </row>
    <row r="2094" spans="7:9" x14ac:dyDescent="0.25">
      <c r="G2094" s="1"/>
      <c r="I2094" s="3"/>
    </row>
    <row r="2095" spans="7:9" x14ac:dyDescent="0.25">
      <c r="G2095" s="1"/>
      <c r="I2095" s="3"/>
    </row>
    <row r="2096" spans="7:9" x14ac:dyDescent="0.25">
      <c r="G2096" s="1"/>
      <c r="I2096" s="3"/>
    </row>
    <row r="2097" spans="7:9" x14ac:dyDescent="0.25">
      <c r="G2097" s="1"/>
      <c r="I2097" s="3"/>
    </row>
    <row r="2098" spans="7:9" x14ac:dyDescent="0.25">
      <c r="G2098" s="1"/>
      <c r="I2098" s="3"/>
    </row>
    <row r="2099" spans="7:9" x14ac:dyDescent="0.25">
      <c r="G2099" s="1"/>
      <c r="I2099" s="3"/>
    </row>
    <row r="2100" spans="7:9" x14ac:dyDescent="0.25">
      <c r="G2100" s="1"/>
      <c r="I2100" s="3"/>
    </row>
    <row r="2101" spans="7:9" x14ac:dyDescent="0.25">
      <c r="G2101" s="1"/>
      <c r="I2101" s="3"/>
    </row>
    <row r="2102" spans="7:9" x14ac:dyDescent="0.25">
      <c r="G2102" s="1"/>
      <c r="I2102" s="3"/>
    </row>
    <row r="2103" spans="7:9" x14ac:dyDescent="0.25">
      <c r="G2103" s="1"/>
      <c r="I2103" s="3"/>
    </row>
    <row r="2104" spans="7:9" x14ac:dyDescent="0.25">
      <c r="G2104" s="1"/>
      <c r="I2104" s="3"/>
    </row>
    <row r="2105" spans="7:9" x14ac:dyDescent="0.25">
      <c r="G2105" s="1"/>
      <c r="I2105" s="3"/>
    </row>
    <row r="2106" spans="7:9" x14ac:dyDescent="0.25">
      <c r="G2106" s="1"/>
      <c r="I2106" s="3"/>
    </row>
    <row r="2107" spans="7:9" x14ac:dyDescent="0.25">
      <c r="G2107" s="1"/>
      <c r="I2107" s="3"/>
    </row>
    <row r="2108" spans="7:9" x14ac:dyDescent="0.25">
      <c r="G2108" s="1"/>
      <c r="I2108" s="3"/>
    </row>
    <row r="2109" spans="7:9" x14ac:dyDescent="0.25">
      <c r="G2109" s="1"/>
      <c r="I2109" s="3"/>
    </row>
    <row r="2110" spans="7:9" x14ac:dyDescent="0.25">
      <c r="G2110" s="1"/>
      <c r="I2110" s="3"/>
    </row>
    <row r="2111" spans="7:9" x14ac:dyDescent="0.25">
      <c r="G2111" s="1"/>
      <c r="I2111" s="3"/>
    </row>
    <row r="2112" spans="7:9" x14ac:dyDescent="0.25">
      <c r="G2112" s="1"/>
      <c r="I2112" s="3"/>
    </row>
    <row r="2113" spans="7:9" x14ac:dyDescent="0.25">
      <c r="G2113" s="1"/>
      <c r="I2113" s="3"/>
    </row>
    <row r="2114" spans="7:9" x14ac:dyDescent="0.25">
      <c r="G2114" s="1"/>
      <c r="I2114" s="3"/>
    </row>
    <row r="2115" spans="7:9" x14ac:dyDescent="0.25">
      <c r="G2115" s="1"/>
      <c r="I2115" s="3"/>
    </row>
    <row r="2116" spans="7:9" x14ac:dyDescent="0.25">
      <c r="G2116" s="1"/>
      <c r="I2116" s="3"/>
    </row>
    <row r="2117" spans="7:9" x14ac:dyDescent="0.25">
      <c r="G2117" s="1"/>
      <c r="I2117" s="3"/>
    </row>
    <row r="2118" spans="7:9" x14ac:dyDescent="0.25">
      <c r="G2118" s="1"/>
      <c r="I2118" s="3"/>
    </row>
    <row r="2119" spans="7:9" x14ac:dyDescent="0.25">
      <c r="G2119" s="1"/>
      <c r="I2119" s="3"/>
    </row>
    <row r="2120" spans="7:9" x14ac:dyDescent="0.25">
      <c r="G2120" s="1"/>
      <c r="I2120" s="3"/>
    </row>
    <row r="2121" spans="7:9" x14ac:dyDescent="0.25">
      <c r="G2121" s="1"/>
      <c r="I2121" s="3"/>
    </row>
    <row r="2122" spans="7:9" x14ac:dyDescent="0.25">
      <c r="G2122" s="1"/>
      <c r="I2122" s="3"/>
    </row>
    <row r="2123" spans="7:9" x14ac:dyDescent="0.25">
      <c r="G2123" s="1"/>
      <c r="I2123" s="3"/>
    </row>
    <row r="2124" spans="7:9" x14ac:dyDescent="0.25">
      <c r="G2124" s="1"/>
      <c r="I2124" s="3"/>
    </row>
    <row r="2125" spans="7:9" x14ac:dyDescent="0.25">
      <c r="G2125" s="1"/>
      <c r="I2125" s="3"/>
    </row>
    <row r="2126" spans="7:9" x14ac:dyDescent="0.25">
      <c r="G2126" s="1"/>
      <c r="I2126" s="3"/>
    </row>
    <row r="2127" spans="7:9" x14ac:dyDescent="0.25">
      <c r="G2127" s="1"/>
      <c r="I2127" s="3"/>
    </row>
    <row r="2128" spans="7:9" x14ac:dyDescent="0.25">
      <c r="G2128" s="1"/>
      <c r="I2128" s="3"/>
    </row>
    <row r="2129" spans="7:9" x14ac:dyDescent="0.25">
      <c r="G2129" s="1"/>
      <c r="I2129" s="3"/>
    </row>
    <row r="2130" spans="7:9" x14ac:dyDescent="0.25">
      <c r="G2130" s="1"/>
      <c r="I2130" s="3"/>
    </row>
    <row r="2131" spans="7:9" x14ac:dyDescent="0.25">
      <c r="G2131" s="1"/>
      <c r="I2131" s="3"/>
    </row>
    <row r="2132" spans="7:9" x14ac:dyDescent="0.25">
      <c r="G2132" s="1"/>
      <c r="I2132" s="3"/>
    </row>
    <row r="2133" spans="7:9" x14ac:dyDescent="0.25">
      <c r="G2133" s="1"/>
      <c r="I2133" s="3"/>
    </row>
    <row r="2134" spans="7:9" x14ac:dyDescent="0.25">
      <c r="G2134" s="1"/>
      <c r="I2134" s="3"/>
    </row>
    <row r="2135" spans="7:9" x14ac:dyDescent="0.25">
      <c r="G2135" s="1"/>
      <c r="I2135" s="3"/>
    </row>
    <row r="2136" spans="7:9" x14ac:dyDescent="0.25">
      <c r="G2136" s="1"/>
      <c r="I2136" s="3"/>
    </row>
    <row r="2137" spans="7:9" x14ac:dyDescent="0.25">
      <c r="G2137" s="1"/>
      <c r="I2137"/>
    </row>
    <row r="2138" spans="7:9" x14ac:dyDescent="0.25">
      <c r="G2138" s="1"/>
      <c r="I2138"/>
    </row>
    <row r="2139" spans="7:9" x14ac:dyDescent="0.25">
      <c r="G2139" s="1"/>
      <c r="I2139"/>
    </row>
    <row r="2140" spans="7:9" x14ac:dyDescent="0.25">
      <c r="G2140" s="1"/>
      <c r="I2140"/>
    </row>
    <row r="2141" spans="7:9" x14ac:dyDescent="0.25">
      <c r="G2141" s="1"/>
      <c r="I2141"/>
    </row>
    <row r="2142" spans="7:9" x14ac:dyDescent="0.25">
      <c r="G2142" s="1"/>
      <c r="I2142"/>
    </row>
    <row r="2143" spans="7:9" x14ac:dyDescent="0.25">
      <c r="G2143" s="1"/>
      <c r="I2143"/>
    </row>
    <row r="2144" spans="7:9" x14ac:dyDescent="0.25">
      <c r="G2144" s="1"/>
      <c r="I2144"/>
    </row>
    <row r="2145" spans="7:9" x14ac:dyDescent="0.25">
      <c r="G2145" s="1"/>
      <c r="I2145"/>
    </row>
    <row r="2146" spans="7:9" x14ac:dyDescent="0.25">
      <c r="G2146" s="1"/>
      <c r="I2146"/>
    </row>
    <row r="2147" spans="7:9" x14ac:dyDescent="0.25">
      <c r="G2147" s="1"/>
      <c r="I2147"/>
    </row>
    <row r="2148" spans="7:9" x14ac:dyDescent="0.25">
      <c r="G2148" s="1"/>
      <c r="I2148"/>
    </row>
    <row r="2149" spans="7:9" x14ac:dyDescent="0.25">
      <c r="G2149" s="1"/>
      <c r="I2149"/>
    </row>
    <row r="2150" spans="7:9" x14ac:dyDescent="0.25">
      <c r="G2150" s="1"/>
      <c r="I2150"/>
    </row>
    <row r="2151" spans="7:9" x14ac:dyDescent="0.25">
      <c r="G2151" s="1"/>
      <c r="I2151"/>
    </row>
    <row r="2152" spans="7:9" x14ac:dyDescent="0.25">
      <c r="G2152" s="1"/>
      <c r="I2152"/>
    </row>
    <row r="2153" spans="7:9" x14ac:dyDescent="0.25">
      <c r="G2153" s="1"/>
      <c r="I2153"/>
    </row>
    <row r="2154" spans="7:9" x14ac:dyDescent="0.25">
      <c r="G2154" s="1"/>
      <c r="I2154"/>
    </row>
    <row r="2155" spans="7:9" x14ac:dyDescent="0.25">
      <c r="G2155" s="1"/>
      <c r="I2155"/>
    </row>
    <row r="2156" spans="7:9" x14ac:dyDescent="0.25">
      <c r="G2156" s="1"/>
      <c r="I2156"/>
    </row>
    <row r="2157" spans="7:9" x14ac:dyDescent="0.25">
      <c r="G2157" s="1"/>
      <c r="I2157"/>
    </row>
    <row r="2158" spans="7:9" x14ac:dyDescent="0.25">
      <c r="G2158" s="1"/>
      <c r="I2158"/>
    </row>
    <row r="2159" spans="7:9" x14ac:dyDescent="0.25">
      <c r="G2159" s="1"/>
      <c r="I2159"/>
    </row>
    <row r="2160" spans="7:9" x14ac:dyDescent="0.25">
      <c r="G2160" s="1"/>
      <c r="I2160"/>
    </row>
    <row r="2161" spans="7:9" x14ac:dyDescent="0.25">
      <c r="G2161" s="1"/>
      <c r="I2161"/>
    </row>
    <row r="2162" spans="7:9" x14ac:dyDescent="0.25">
      <c r="G2162" s="1"/>
      <c r="I2162"/>
    </row>
    <row r="2163" spans="7:9" x14ac:dyDescent="0.25">
      <c r="G2163" s="1"/>
      <c r="I2163"/>
    </row>
    <row r="2164" spans="7:9" x14ac:dyDescent="0.25">
      <c r="G2164" s="1"/>
      <c r="I2164"/>
    </row>
    <row r="2165" spans="7:9" x14ac:dyDescent="0.25">
      <c r="G2165" s="1"/>
      <c r="I2165"/>
    </row>
    <row r="2166" spans="7:9" x14ac:dyDescent="0.25">
      <c r="G2166" s="1"/>
      <c r="I2166"/>
    </row>
    <row r="2167" spans="7:9" x14ac:dyDescent="0.25">
      <c r="G2167" s="1"/>
      <c r="I2167"/>
    </row>
    <row r="2168" spans="7:9" x14ac:dyDescent="0.25">
      <c r="G2168" s="1"/>
      <c r="I2168"/>
    </row>
    <row r="2169" spans="7:9" x14ac:dyDescent="0.25">
      <c r="G2169" s="1"/>
      <c r="I2169"/>
    </row>
    <row r="2170" spans="7:9" x14ac:dyDescent="0.25">
      <c r="G2170" s="1"/>
      <c r="I2170"/>
    </row>
    <row r="2171" spans="7:9" x14ac:dyDescent="0.25">
      <c r="G2171" s="1"/>
      <c r="I2171"/>
    </row>
    <row r="2172" spans="7:9" x14ac:dyDescent="0.25">
      <c r="G2172" s="1"/>
      <c r="I2172"/>
    </row>
    <row r="2173" spans="7:9" x14ac:dyDescent="0.25">
      <c r="G2173" s="1"/>
      <c r="I2173"/>
    </row>
    <row r="2174" spans="7:9" x14ac:dyDescent="0.25">
      <c r="G2174" s="1"/>
      <c r="I2174"/>
    </row>
    <row r="2175" spans="7:9" x14ac:dyDescent="0.25">
      <c r="G2175" s="1"/>
      <c r="I2175"/>
    </row>
    <row r="2176" spans="7:9" x14ac:dyDescent="0.25">
      <c r="G2176" s="1"/>
      <c r="I2176"/>
    </row>
    <row r="2177" spans="7:9" x14ac:dyDescent="0.25">
      <c r="G2177" s="1"/>
      <c r="I2177" s="3"/>
    </row>
    <row r="2178" spans="7:9" x14ac:dyDescent="0.25">
      <c r="G2178" s="1"/>
      <c r="I2178" s="3"/>
    </row>
    <row r="2179" spans="7:9" x14ac:dyDescent="0.25">
      <c r="G2179" s="1"/>
      <c r="I2179" s="3"/>
    </row>
    <row r="2180" spans="7:9" x14ac:dyDescent="0.25">
      <c r="G2180" s="1"/>
      <c r="I2180" s="3"/>
    </row>
    <row r="2181" spans="7:9" x14ac:dyDescent="0.25">
      <c r="G2181" s="1"/>
      <c r="I2181" s="3"/>
    </row>
    <row r="2182" spans="7:9" x14ac:dyDescent="0.25">
      <c r="G2182" s="1"/>
      <c r="I2182" s="3"/>
    </row>
    <row r="2183" spans="7:9" x14ac:dyDescent="0.25">
      <c r="G2183" s="1"/>
      <c r="I2183" s="3"/>
    </row>
    <row r="2184" spans="7:9" x14ac:dyDescent="0.25">
      <c r="G2184" s="1"/>
      <c r="I2184" s="3"/>
    </row>
    <row r="2185" spans="7:9" x14ac:dyDescent="0.25">
      <c r="G2185" s="1"/>
      <c r="I2185" s="3"/>
    </row>
    <row r="2186" spans="7:9" x14ac:dyDescent="0.25">
      <c r="G2186" s="1"/>
      <c r="I2186" s="3"/>
    </row>
    <row r="2187" spans="7:9" x14ac:dyDescent="0.25">
      <c r="G2187" s="1"/>
      <c r="I2187" s="3"/>
    </row>
    <row r="2188" spans="7:9" x14ac:dyDescent="0.25">
      <c r="G2188" s="1"/>
      <c r="I2188" s="3"/>
    </row>
    <row r="2189" spans="7:9" x14ac:dyDescent="0.25">
      <c r="G2189" s="1"/>
      <c r="I2189" s="3"/>
    </row>
    <row r="2190" spans="7:9" x14ac:dyDescent="0.25">
      <c r="G2190" s="1"/>
      <c r="I2190" s="3"/>
    </row>
    <row r="2191" spans="7:9" x14ac:dyDescent="0.25">
      <c r="G2191" s="1"/>
      <c r="I2191" s="3"/>
    </row>
    <row r="2192" spans="7:9" x14ac:dyDescent="0.25">
      <c r="G2192" s="1"/>
      <c r="I2192" s="3"/>
    </row>
    <row r="2193" spans="7:9" x14ac:dyDescent="0.25">
      <c r="G2193" s="1"/>
      <c r="I2193" s="3"/>
    </row>
    <row r="2194" spans="7:9" x14ac:dyDescent="0.25">
      <c r="G2194" s="1"/>
      <c r="I2194" s="3"/>
    </row>
    <row r="2195" spans="7:9" x14ac:dyDescent="0.25">
      <c r="G2195" s="1"/>
      <c r="I2195" s="3"/>
    </row>
    <row r="2196" spans="7:9" x14ac:dyDescent="0.25">
      <c r="G2196" s="1"/>
      <c r="I2196" s="3"/>
    </row>
    <row r="2197" spans="7:9" x14ac:dyDescent="0.25">
      <c r="G2197" s="1"/>
      <c r="I2197" s="3"/>
    </row>
    <row r="2198" spans="7:9" x14ac:dyDescent="0.25">
      <c r="G2198" s="1"/>
      <c r="I2198" s="3"/>
    </row>
    <row r="2199" spans="7:9" x14ac:dyDescent="0.25">
      <c r="G2199" s="1"/>
      <c r="I2199" s="3"/>
    </row>
    <row r="2200" spans="7:9" x14ac:dyDescent="0.25">
      <c r="G2200" s="1"/>
      <c r="I2200" s="3"/>
    </row>
    <row r="2201" spans="7:9" x14ac:dyDescent="0.25">
      <c r="G2201" s="1"/>
      <c r="I2201" s="3"/>
    </row>
    <row r="2202" spans="7:9" x14ac:dyDescent="0.25">
      <c r="G2202" s="1"/>
      <c r="I2202" s="3"/>
    </row>
    <row r="2203" spans="7:9" x14ac:dyDescent="0.25">
      <c r="G2203" s="1"/>
      <c r="I2203" s="3"/>
    </row>
    <row r="2204" spans="7:9" x14ac:dyDescent="0.25">
      <c r="G2204" s="1"/>
      <c r="I2204" s="3"/>
    </row>
    <row r="2205" spans="7:9" x14ac:dyDescent="0.25">
      <c r="G2205" s="1"/>
      <c r="I2205" s="3"/>
    </row>
    <row r="2206" spans="7:9" x14ac:dyDescent="0.25">
      <c r="G2206" s="1"/>
      <c r="I2206" s="3"/>
    </row>
    <row r="2207" spans="7:9" x14ac:dyDescent="0.25">
      <c r="G2207" s="1"/>
      <c r="I2207" s="3"/>
    </row>
    <row r="2208" spans="7:9" x14ac:dyDescent="0.25">
      <c r="G2208" s="1"/>
      <c r="I2208" s="3"/>
    </row>
    <row r="2209" spans="7:9" x14ac:dyDescent="0.25">
      <c r="G2209" s="1"/>
      <c r="I2209" s="3"/>
    </row>
    <row r="2210" spans="7:9" x14ac:dyDescent="0.25">
      <c r="G2210" s="1"/>
      <c r="I2210" s="3"/>
    </row>
    <row r="2211" spans="7:9" x14ac:dyDescent="0.25">
      <c r="G2211" s="1"/>
      <c r="I2211" s="3"/>
    </row>
    <row r="2212" spans="7:9" x14ac:dyDescent="0.25">
      <c r="G2212" s="1"/>
      <c r="I2212" s="3"/>
    </row>
    <row r="2213" spans="7:9" x14ac:dyDescent="0.25">
      <c r="G2213" s="1"/>
      <c r="I2213" s="3"/>
    </row>
    <row r="2214" spans="7:9" x14ac:dyDescent="0.25">
      <c r="G2214" s="1"/>
      <c r="I2214" s="3"/>
    </row>
    <row r="2215" spans="7:9" x14ac:dyDescent="0.25">
      <c r="G2215" s="1"/>
      <c r="I2215" s="3"/>
    </row>
    <row r="2216" spans="7:9" x14ac:dyDescent="0.25">
      <c r="G2216" s="1"/>
      <c r="I2216" s="3"/>
    </row>
  </sheetData>
  <conditionalFormatting sqref="B829:G861 D862:F1376">
    <cfRule type="duplicateValues" dxfId="1" priority="24"/>
  </conditionalFormatting>
  <conditionalFormatting sqref="B1651:G1683 D1684:F2216">
    <cfRule type="duplicateValues" dxfId="0" priority="2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Nguyen, Binh</dc:creator>
  <cp:keywords/>
  <dc:description/>
  <cp:lastModifiedBy>Cao, Michelle</cp:lastModifiedBy>
  <cp:revision/>
  <dcterms:created xsi:type="dcterms:W3CDTF">2025-04-09T17:45:17Z</dcterms:created>
  <dcterms:modified xsi:type="dcterms:W3CDTF">2025-05-05T16:17:11Z</dcterms:modified>
  <cp:category/>
  <cp:contentStatus/>
</cp:coreProperties>
</file>